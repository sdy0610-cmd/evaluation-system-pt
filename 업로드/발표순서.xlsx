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DY\Desktop\AI\evaluation-system-pt\업로드\"/>
    </mc:Choice>
  </mc:AlternateContent>
  <xr:revisionPtr revIDLastSave="0" documentId="8_{358626F5-EF54-40DA-B873-1A26F71FEE8C}" xr6:coauthVersionLast="47" xr6:coauthVersionMax="47" xr10:uidLastSave="{00000000-0000-0000-0000-000000000000}"/>
  <bookViews>
    <workbookView xWindow="-120" yWindow="-120" windowWidth="29040" windowHeight="15720" xr2:uid="{96E3CCDE-2F48-42B1-AB42-07AD94AE30E7}"/>
  </bookViews>
  <sheets>
    <sheet name="26년 타임테이블_조정안(전세라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83" i="1" l="1"/>
  <c r="BE82" i="1"/>
  <c r="BD82" i="1"/>
  <c r="AS82" i="1"/>
  <c r="AQ82" i="1"/>
  <c r="AP82" i="1"/>
  <c r="AO82" i="1"/>
  <c r="AN82" i="1"/>
  <c r="AL82" i="1"/>
  <c r="AK82" i="1"/>
  <c r="AJ82" i="1"/>
  <c r="AD82" i="1"/>
  <c r="AB82" i="1"/>
  <c r="AA82" i="1"/>
  <c r="Z82" i="1"/>
  <c r="T82" i="1"/>
  <c r="R82" i="1"/>
  <c r="Q82" i="1"/>
  <c r="P82" i="1"/>
  <c r="O82" i="1"/>
  <c r="M82" i="1"/>
  <c r="L82" i="1"/>
  <c r="K82" i="1"/>
  <c r="J82" i="1"/>
  <c r="H82" i="1"/>
  <c r="G82" i="1"/>
  <c r="F82" i="1"/>
  <c r="BE81" i="1"/>
  <c r="BD81" i="1"/>
  <c r="BC81" i="1"/>
  <c r="BA81" i="1"/>
  <c r="AZ81" i="1"/>
  <c r="AY81" i="1"/>
  <c r="AX81" i="1"/>
  <c r="AV81" i="1"/>
  <c r="AU81" i="1"/>
  <c r="AT81" i="1"/>
  <c r="AS81" i="1"/>
  <c r="AQ81" i="1"/>
  <c r="AO81" i="1"/>
  <c r="AL81" i="1"/>
  <c r="AK81" i="1"/>
  <c r="AJ81" i="1"/>
  <c r="AI81" i="1"/>
  <c r="AG81" i="1"/>
  <c r="AB81" i="1"/>
  <c r="AA81" i="1"/>
  <c r="Z81" i="1"/>
  <c r="Y81" i="1"/>
  <c r="W81" i="1"/>
  <c r="V81" i="1"/>
  <c r="U81" i="1"/>
  <c r="T81" i="1"/>
  <c r="R81" i="1"/>
  <c r="Q81" i="1"/>
  <c r="P81" i="1"/>
  <c r="O81" i="1"/>
  <c r="M81" i="1"/>
  <c r="L81" i="1"/>
  <c r="K81" i="1"/>
  <c r="J81" i="1"/>
  <c r="H81" i="1"/>
  <c r="G81" i="1"/>
  <c r="F81" i="1"/>
  <c r="BA80" i="1"/>
  <c r="AV80" i="1"/>
  <c r="AQ80" i="1"/>
  <c r="AL80" i="1"/>
  <c r="AK80" i="1"/>
  <c r="AJ80" i="1"/>
  <c r="AI80" i="1"/>
  <c r="AG80" i="1"/>
  <c r="AB80" i="1"/>
  <c r="U80" i="1"/>
  <c r="R80" i="1"/>
  <c r="P80" i="1"/>
  <c r="K80" i="1"/>
  <c r="F80" i="1"/>
  <c r="BD79" i="1"/>
  <c r="BA79" i="1"/>
  <c r="AV79" i="1"/>
  <c r="AQ79" i="1"/>
  <c r="AO79" i="1"/>
  <c r="AL79" i="1"/>
  <c r="AG79" i="1"/>
  <c r="AB79" i="1"/>
  <c r="Z79" i="1"/>
  <c r="U79" i="1"/>
  <c r="P79" i="1"/>
  <c r="K79" i="1"/>
  <c r="F79" i="1"/>
  <c r="BA78" i="1"/>
  <c r="AV78" i="1"/>
  <c r="AQ78" i="1"/>
  <c r="AL78" i="1"/>
  <c r="AG78" i="1"/>
  <c r="AB78" i="1"/>
  <c r="U78" i="1"/>
  <c r="R78" i="1"/>
  <c r="P78" i="1"/>
  <c r="K78" i="1"/>
  <c r="F78" i="1"/>
  <c r="BD77" i="1"/>
  <c r="BA77" i="1"/>
  <c r="AV77" i="1"/>
  <c r="AQ77" i="1"/>
  <c r="AO77" i="1"/>
  <c r="AL77" i="1"/>
  <c r="AG77" i="1"/>
  <c r="AB77" i="1"/>
  <c r="Z77" i="1"/>
  <c r="U77" i="1"/>
  <c r="P77" i="1"/>
  <c r="K77" i="1"/>
  <c r="H77" i="1"/>
  <c r="G77" i="1"/>
  <c r="F77" i="1"/>
  <c r="BA76" i="1"/>
  <c r="AV76" i="1"/>
  <c r="AQ76" i="1"/>
  <c r="AL76" i="1"/>
  <c r="AG76" i="1"/>
  <c r="AB76" i="1"/>
  <c r="U76" i="1"/>
  <c r="R76" i="1"/>
  <c r="P76" i="1"/>
  <c r="K76" i="1"/>
  <c r="H76" i="1"/>
  <c r="G76" i="1"/>
  <c r="F76" i="1"/>
  <c r="BE75" i="1"/>
  <c r="BD75" i="1"/>
  <c r="BC75" i="1"/>
  <c r="BA75" i="1"/>
  <c r="AV75" i="1"/>
  <c r="AQ75" i="1"/>
  <c r="AO75" i="1"/>
  <c r="AL75" i="1"/>
  <c r="AG75" i="1"/>
  <c r="AB75" i="1"/>
  <c r="Z75" i="1"/>
  <c r="Y75" i="1"/>
  <c r="W75" i="1"/>
  <c r="V75" i="1"/>
  <c r="U75" i="1"/>
  <c r="P75" i="1"/>
  <c r="K75" i="1"/>
  <c r="F75" i="1"/>
  <c r="BE74" i="1"/>
  <c r="BD74" i="1"/>
  <c r="BC74" i="1"/>
  <c r="BA74" i="1"/>
  <c r="AV74" i="1"/>
  <c r="AQ74" i="1"/>
  <c r="AP74" i="1"/>
  <c r="AO74" i="1"/>
  <c r="AN74" i="1"/>
  <c r="AL74" i="1"/>
  <c r="AG74" i="1"/>
  <c r="AB74" i="1"/>
  <c r="AA74" i="1"/>
  <c r="Z74" i="1"/>
  <c r="Y74" i="1"/>
  <c r="W74" i="1"/>
  <c r="V74" i="1"/>
  <c r="U74" i="1"/>
  <c r="R74" i="1"/>
  <c r="P74" i="1"/>
  <c r="K74" i="1"/>
  <c r="F74" i="1"/>
  <c r="BE73" i="1"/>
  <c r="BD73" i="1"/>
  <c r="BC73" i="1"/>
  <c r="BA73" i="1"/>
  <c r="AZ73" i="1"/>
  <c r="AY73" i="1"/>
  <c r="AX73" i="1"/>
  <c r="AV73" i="1"/>
  <c r="AU73" i="1"/>
  <c r="AT73" i="1"/>
  <c r="AS73" i="1"/>
  <c r="AQ73" i="1"/>
  <c r="AP73" i="1"/>
  <c r="AO73" i="1"/>
  <c r="AN73" i="1"/>
  <c r="AL73" i="1"/>
  <c r="AK73" i="1"/>
  <c r="AJ73" i="1"/>
  <c r="AI73" i="1"/>
  <c r="AG73" i="1"/>
  <c r="AF73" i="1"/>
  <c r="AE73" i="1"/>
  <c r="AD73" i="1"/>
  <c r="AB73" i="1"/>
  <c r="AA73" i="1"/>
  <c r="Z73" i="1"/>
  <c r="Y73" i="1"/>
  <c r="W73" i="1"/>
  <c r="V73" i="1"/>
  <c r="U73" i="1"/>
  <c r="T73" i="1"/>
  <c r="R73" i="1"/>
  <c r="Q73" i="1"/>
  <c r="P73" i="1"/>
  <c r="O73" i="1"/>
  <c r="M73" i="1"/>
  <c r="L73" i="1"/>
  <c r="K73" i="1"/>
  <c r="J73" i="1"/>
  <c r="H73" i="1"/>
  <c r="G73" i="1"/>
  <c r="F73" i="1"/>
  <c r="BA72" i="1"/>
  <c r="AV72" i="1"/>
  <c r="AQ72" i="1"/>
  <c r="AL72" i="1"/>
  <c r="AG72" i="1"/>
  <c r="AB72" i="1"/>
  <c r="Y72" i="1"/>
  <c r="W72" i="1"/>
  <c r="V72" i="1"/>
  <c r="U72" i="1"/>
  <c r="P72" i="1"/>
  <c r="K72" i="1"/>
  <c r="F72" i="1"/>
  <c r="BD71" i="1"/>
  <c r="BA71" i="1"/>
  <c r="AV71" i="1"/>
  <c r="AQ71" i="1"/>
  <c r="AO71" i="1"/>
  <c r="AL71" i="1"/>
  <c r="AG71" i="1"/>
  <c r="AB71" i="1"/>
  <c r="Z71" i="1"/>
  <c r="U71" i="1"/>
  <c r="P71" i="1"/>
  <c r="K71" i="1"/>
  <c r="F71" i="1"/>
  <c r="BA70" i="1"/>
  <c r="AV70" i="1"/>
  <c r="AQ70" i="1"/>
  <c r="AL70" i="1"/>
  <c r="AG70" i="1"/>
  <c r="AB70" i="1"/>
  <c r="U70" i="1"/>
  <c r="R70" i="1"/>
  <c r="P70" i="1"/>
  <c r="K70" i="1"/>
  <c r="F70" i="1"/>
  <c r="BD69" i="1"/>
  <c r="BA69" i="1"/>
  <c r="AV69" i="1"/>
  <c r="AQ69" i="1"/>
  <c r="AO69" i="1"/>
  <c r="AL69" i="1"/>
  <c r="AG69" i="1"/>
  <c r="AB69" i="1"/>
  <c r="Z69" i="1"/>
  <c r="U69" i="1"/>
  <c r="P69" i="1"/>
  <c r="K69" i="1"/>
  <c r="F69" i="1"/>
  <c r="BA68" i="1"/>
  <c r="AV68" i="1"/>
  <c r="AQ68" i="1"/>
  <c r="AL68" i="1"/>
  <c r="AG68" i="1"/>
  <c r="AB68" i="1"/>
  <c r="U68" i="1"/>
  <c r="P68" i="1"/>
  <c r="K68" i="1"/>
  <c r="F68" i="1"/>
  <c r="BE67" i="1"/>
  <c r="BD67" i="1"/>
  <c r="BC67" i="1"/>
  <c r="BA67" i="1"/>
  <c r="AZ67" i="1"/>
  <c r="AY67" i="1"/>
  <c r="AX67" i="1"/>
  <c r="AV67" i="1"/>
  <c r="AU67" i="1"/>
  <c r="AT67" i="1"/>
  <c r="AS67" i="1"/>
  <c r="AQ67" i="1"/>
  <c r="AP67" i="1"/>
  <c r="AO67" i="1"/>
  <c r="AN67" i="1"/>
  <c r="AL67" i="1"/>
  <c r="AK67" i="1"/>
  <c r="AJ67" i="1"/>
  <c r="AI67" i="1"/>
  <c r="AG67" i="1"/>
  <c r="AF67" i="1"/>
  <c r="AE67" i="1"/>
  <c r="AD67" i="1"/>
  <c r="AB67" i="1"/>
  <c r="AA67" i="1"/>
  <c r="Z67" i="1"/>
  <c r="Y67" i="1"/>
  <c r="W67" i="1"/>
  <c r="V67" i="1"/>
  <c r="U67" i="1"/>
  <c r="T67" i="1"/>
  <c r="R67" i="1"/>
  <c r="Q67" i="1"/>
  <c r="P67" i="1"/>
  <c r="O67" i="1"/>
  <c r="M67" i="1"/>
  <c r="L67" i="1"/>
  <c r="K67" i="1"/>
  <c r="J67" i="1"/>
  <c r="H67" i="1"/>
  <c r="G67" i="1"/>
  <c r="F67" i="1"/>
  <c r="BD66" i="1"/>
  <c r="BC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R66" i="1"/>
  <c r="P66" i="1"/>
  <c r="M66" i="1"/>
  <c r="K66" i="1"/>
  <c r="H66" i="1"/>
  <c r="F66" i="1"/>
  <c r="BE65" i="1"/>
  <c r="BD65" i="1"/>
  <c r="BC65" i="1"/>
  <c r="BA65" i="1"/>
  <c r="AZ65" i="1"/>
  <c r="AY65" i="1"/>
  <c r="AX65" i="1"/>
  <c r="AV65" i="1"/>
  <c r="AU65" i="1"/>
  <c r="AT65" i="1"/>
  <c r="AS65" i="1"/>
  <c r="AQ65" i="1"/>
  <c r="AP65" i="1"/>
  <c r="AO65" i="1"/>
  <c r="AN65" i="1"/>
  <c r="AL65" i="1"/>
  <c r="AK65" i="1"/>
  <c r="AJ65" i="1"/>
  <c r="AI65" i="1"/>
  <c r="AG65" i="1"/>
  <c r="AF65" i="1"/>
  <c r="AE65" i="1"/>
  <c r="AD65" i="1"/>
  <c r="AB65" i="1"/>
  <c r="AA65" i="1"/>
  <c r="Z65" i="1"/>
  <c r="Y65" i="1"/>
  <c r="W65" i="1"/>
  <c r="V65" i="1"/>
  <c r="U65" i="1"/>
  <c r="T65" i="1"/>
  <c r="R65" i="1"/>
  <c r="Q65" i="1"/>
  <c r="P65" i="1"/>
  <c r="O65" i="1"/>
  <c r="M65" i="1"/>
  <c r="L65" i="1"/>
  <c r="K65" i="1"/>
  <c r="J65" i="1"/>
  <c r="H65" i="1"/>
  <c r="G65" i="1"/>
  <c r="F65" i="1"/>
  <c r="BE64" i="1"/>
  <c r="BD64" i="1"/>
  <c r="BC64" i="1"/>
  <c r="BA64" i="1"/>
  <c r="AZ64" i="1"/>
  <c r="AY64" i="1"/>
  <c r="AX64" i="1"/>
  <c r="AV64" i="1"/>
  <c r="AU64" i="1"/>
  <c r="AT64" i="1"/>
  <c r="AS64" i="1"/>
  <c r="AQ64" i="1"/>
  <c r="AP64" i="1"/>
  <c r="AO64" i="1"/>
  <c r="AN64" i="1"/>
  <c r="AL64" i="1"/>
  <c r="AK64" i="1"/>
  <c r="AJ64" i="1"/>
  <c r="AI64" i="1"/>
  <c r="AG64" i="1"/>
  <c r="AF64" i="1"/>
  <c r="AE64" i="1"/>
  <c r="AD64" i="1"/>
  <c r="AB64" i="1"/>
  <c r="AA64" i="1"/>
  <c r="Z64" i="1"/>
  <c r="Y64" i="1"/>
  <c r="W64" i="1"/>
  <c r="V64" i="1"/>
  <c r="U64" i="1"/>
  <c r="T64" i="1"/>
  <c r="R64" i="1"/>
  <c r="Q64" i="1"/>
  <c r="P64" i="1"/>
  <c r="O64" i="1"/>
  <c r="M64" i="1"/>
  <c r="L64" i="1"/>
  <c r="K64" i="1"/>
  <c r="J64" i="1"/>
  <c r="H64" i="1"/>
  <c r="G64" i="1"/>
  <c r="F64" i="1"/>
  <c r="BE63" i="1"/>
  <c r="BD63" i="1"/>
  <c r="BC63" i="1"/>
  <c r="BA63" i="1"/>
  <c r="AZ63" i="1"/>
  <c r="AY63" i="1"/>
  <c r="AX63" i="1"/>
  <c r="AV63" i="1"/>
  <c r="AU63" i="1"/>
  <c r="AT63" i="1"/>
  <c r="AS63" i="1"/>
  <c r="AQ63" i="1"/>
  <c r="AP63" i="1"/>
  <c r="AO63" i="1"/>
  <c r="AN63" i="1"/>
  <c r="AL63" i="1"/>
  <c r="AK63" i="1"/>
  <c r="AJ63" i="1"/>
  <c r="AI63" i="1"/>
  <c r="AG63" i="1"/>
  <c r="AF63" i="1"/>
  <c r="AE63" i="1"/>
  <c r="AD63" i="1"/>
  <c r="AB63" i="1"/>
  <c r="AA63" i="1"/>
  <c r="Z63" i="1"/>
  <c r="Y63" i="1"/>
  <c r="W63" i="1"/>
  <c r="V63" i="1"/>
  <c r="U63" i="1"/>
  <c r="T63" i="1"/>
  <c r="R63" i="1"/>
  <c r="Q63" i="1"/>
  <c r="P63" i="1"/>
  <c r="O63" i="1"/>
  <c r="M63" i="1"/>
  <c r="L63" i="1"/>
  <c r="K63" i="1"/>
  <c r="J63" i="1"/>
  <c r="H63" i="1"/>
  <c r="G63" i="1"/>
  <c r="F63" i="1"/>
  <c r="BE62" i="1"/>
  <c r="BD62" i="1"/>
  <c r="BC62" i="1"/>
  <c r="BA62" i="1"/>
  <c r="AZ62" i="1"/>
  <c r="AY62" i="1"/>
  <c r="AX62" i="1"/>
  <c r="AV62" i="1"/>
  <c r="AU62" i="1"/>
  <c r="AT62" i="1"/>
  <c r="AS62" i="1"/>
  <c r="AQ62" i="1"/>
  <c r="AP62" i="1"/>
  <c r="AO62" i="1"/>
  <c r="AN62" i="1"/>
  <c r="AL62" i="1"/>
  <c r="AK62" i="1"/>
  <c r="AJ62" i="1"/>
  <c r="AI62" i="1"/>
  <c r="AG62" i="1"/>
  <c r="AF62" i="1"/>
  <c r="AE62" i="1"/>
  <c r="AD62" i="1"/>
  <c r="AB62" i="1"/>
  <c r="AA62" i="1"/>
  <c r="Z62" i="1"/>
  <c r="Y62" i="1"/>
  <c r="W62" i="1"/>
  <c r="V62" i="1"/>
  <c r="U62" i="1"/>
  <c r="T62" i="1"/>
  <c r="R62" i="1"/>
  <c r="Q62" i="1"/>
  <c r="P62" i="1"/>
  <c r="O62" i="1"/>
  <c r="M62" i="1"/>
  <c r="L62" i="1"/>
  <c r="K62" i="1"/>
  <c r="J62" i="1"/>
  <c r="H62" i="1"/>
  <c r="G62" i="1"/>
  <c r="F62" i="1"/>
  <c r="BE61" i="1"/>
  <c r="BD61" i="1"/>
  <c r="BC61" i="1"/>
  <c r="BA61" i="1"/>
  <c r="AZ61" i="1"/>
  <c r="AY61" i="1"/>
  <c r="AX61" i="1"/>
  <c r="AV61" i="1"/>
  <c r="AU61" i="1"/>
  <c r="AT61" i="1"/>
  <c r="AS61" i="1"/>
  <c r="AQ61" i="1"/>
  <c r="AP61" i="1"/>
  <c r="AO61" i="1"/>
  <c r="AN61" i="1"/>
  <c r="AL61" i="1"/>
  <c r="AK61" i="1"/>
  <c r="AJ61" i="1"/>
  <c r="AI61" i="1"/>
  <c r="AG61" i="1"/>
  <c r="AF61" i="1"/>
  <c r="AE61" i="1"/>
  <c r="AD61" i="1"/>
  <c r="AB61" i="1"/>
  <c r="AA61" i="1"/>
  <c r="Z61" i="1"/>
  <c r="Y61" i="1"/>
  <c r="W61" i="1"/>
  <c r="V61" i="1"/>
  <c r="U61" i="1"/>
  <c r="T61" i="1"/>
  <c r="R61" i="1"/>
  <c r="Q61" i="1"/>
  <c r="P61" i="1"/>
  <c r="O61" i="1"/>
  <c r="M61" i="1"/>
  <c r="L61" i="1"/>
  <c r="K61" i="1"/>
  <c r="J61" i="1"/>
  <c r="H61" i="1"/>
  <c r="G61" i="1"/>
  <c r="F61" i="1"/>
  <c r="BE60" i="1"/>
  <c r="BD60" i="1"/>
  <c r="BC60" i="1"/>
  <c r="BA60" i="1"/>
  <c r="AZ60" i="1"/>
  <c r="AY60" i="1"/>
  <c r="AX60" i="1"/>
  <c r="AV60" i="1"/>
  <c r="AU60" i="1"/>
  <c r="AT60" i="1"/>
  <c r="AS60" i="1"/>
  <c r="AQ60" i="1"/>
  <c r="AP60" i="1"/>
  <c r="AO60" i="1"/>
  <c r="AN60" i="1"/>
  <c r="AL60" i="1"/>
  <c r="AK60" i="1"/>
  <c r="AJ60" i="1"/>
  <c r="AI60" i="1"/>
  <c r="AG60" i="1"/>
  <c r="AF60" i="1"/>
  <c r="AE60" i="1"/>
  <c r="AD60" i="1"/>
  <c r="AB60" i="1"/>
  <c r="AA60" i="1"/>
  <c r="Z60" i="1"/>
  <c r="Y60" i="1"/>
  <c r="W60" i="1"/>
  <c r="V60" i="1"/>
  <c r="U60" i="1"/>
  <c r="T60" i="1"/>
  <c r="R60" i="1"/>
  <c r="Q60" i="1"/>
  <c r="P60" i="1"/>
  <c r="O60" i="1"/>
  <c r="M60" i="1"/>
  <c r="L60" i="1"/>
  <c r="K60" i="1"/>
  <c r="J60" i="1"/>
  <c r="H60" i="1"/>
  <c r="G60" i="1"/>
  <c r="F60" i="1"/>
  <c r="BE59" i="1"/>
  <c r="BD59" i="1"/>
  <c r="BC59" i="1"/>
  <c r="BA59" i="1"/>
  <c r="AZ59" i="1"/>
  <c r="AY59" i="1"/>
  <c r="AX59" i="1"/>
  <c r="AV59" i="1"/>
  <c r="AU59" i="1"/>
  <c r="AT59" i="1"/>
  <c r="AS59" i="1"/>
  <c r="AQ59" i="1"/>
  <c r="AP59" i="1"/>
  <c r="AO59" i="1"/>
  <c r="AN59" i="1"/>
  <c r="AL59" i="1"/>
  <c r="AG59" i="1"/>
  <c r="AF59" i="1"/>
  <c r="AE59" i="1"/>
  <c r="AD59" i="1"/>
  <c r="AB59" i="1"/>
  <c r="AA59" i="1"/>
  <c r="Z59" i="1"/>
  <c r="Y59" i="1"/>
  <c r="W59" i="1"/>
  <c r="V59" i="1"/>
  <c r="U59" i="1"/>
  <c r="P59" i="1"/>
  <c r="K59" i="1"/>
  <c r="F59" i="1"/>
  <c r="BE58" i="1"/>
  <c r="BD58" i="1"/>
  <c r="BC58" i="1"/>
  <c r="BA58" i="1"/>
  <c r="AZ58" i="1"/>
  <c r="AY58" i="1"/>
  <c r="AX58" i="1"/>
  <c r="AV58" i="1"/>
  <c r="AU58" i="1"/>
  <c r="AT58" i="1"/>
  <c r="AS58" i="1"/>
  <c r="AQ58" i="1"/>
  <c r="AP58" i="1"/>
  <c r="AO58" i="1"/>
  <c r="AN58" i="1"/>
  <c r="AL58" i="1"/>
  <c r="AG58" i="1"/>
  <c r="AF58" i="1"/>
  <c r="AE58" i="1"/>
  <c r="AD58" i="1"/>
  <c r="AB58" i="1"/>
  <c r="AA58" i="1"/>
  <c r="Z58" i="1"/>
  <c r="Y58" i="1"/>
  <c r="W58" i="1"/>
  <c r="V58" i="1"/>
  <c r="U58" i="1"/>
  <c r="R58" i="1"/>
  <c r="P58" i="1"/>
  <c r="K58" i="1"/>
  <c r="F58" i="1"/>
  <c r="BE57" i="1"/>
  <c r="BD57" i="1"/>
  <c r="BC57" i="1"/>
  <c r="BA57" i="1"/>
  <c r="AZ57" i="1"/>
  <c r="AY57" i="1"/>
  <c r="AX57" i="1"/>
  <c r="AV57" i="1"/>
  <c r="AU57" i="1"/>
  <c r="AT57" i="1"/>
  <c r="AS57" i="1"/>
  <c r="AQ57" i="1"/>
  <c r="AO57" i="1"/>
  <c r="AL57" i="1"/>
  <c r="AG57" i="1"/>
  <c r="AF57" i="1"/>
  <c r="AE57" i="1"/>
  <c r="AD57" i="1"/>
  <c r="AB57" i="1"/>
  <c r="AA57" i="1"/>
  <c r="Z57" i="1"/>
  <c r="U57" i="1"/>
  <c r="P57" i="1"/>
  <c r="K57" i="1"/>
  <c r="F57" i="1"/>
  <c r="BE56" i="1"/>
  <c r="BD56" i="1"/>
  <c r="BC56" i="1"/>
  <c r="BA56" i="1"/>
  <c r="AZ56" i="1"/>
  <c r="AY56" i="1"/>
  <c r="AX56" i="1"/>
  <c r="AV56" i="1"/>
  <c r="AU56" i="1"/>
  <c r="AT56" i="1"/>
  <c r="AS56" i="1"/>
  <c r="AQ56" i="1"/>
  <c r="AL56" i="1"/>
  <c r="AG56" i="1"/>
  <c r="AF56" i="1"/>
  <c r="AE56" i="1"/>
  <c r="AD56" i="1"/>
  <c r="AB56" i="1"/>
  <c r="AA56" i="1"/>
  <c r="Z56" i="1"/>
  <c r="U56" i="1"/>
  <c r="P56" i="1"/>
  <c r="K56" i="1"/>
  <c r="F56" i="1"/>
  <c r="BE55" i="1"/>
  <c r="BD55" i="1"/>
  <c r="BC55" i="1"/>
  <c r="BA55" i="1"/>
  <c r="AZ55" i="1"/>
  <c r="AY55" i="1"/>
  <c r="AX55" i="1"/>
  <c r="AV55" i="1"/>
  <c r="AU55" i="1"/>
  <c r="AT55" i="1"/>
  <c r="AS55" i="1"/>
  <c r="AQ55" i="1"/>
  <c r="AO55" i="1"/>
  <c r="AL55" i="1"/>
  <c r="AG55" i="1"/>
  <c r="AF55" i="1"/>
  <c r="AE55" i="1"/>
  <c r="AD55" i="1"/>
  <c r="AB55" i="1"/>
  <c r="AA55" i="1"/>
  <c r="Z55" i="1"/>
  <c r="U55" i="1"/>
  <c r="P55" i="1"/>
  <c r="K55" i="1"/>
  <c r="F55" i="1"/>
  <c r="BE54" i="1"/>
  <c r="BD54" i="1"/>
  <c r="BC54" i="1"/>
  <c r="BA54" i="1"/>
  <c r="AZ54" i="1"/>
  <c r="AY54" i="1"/>
  <c r="AX54" i="1"/>
  <c r="AV54" i="1"/>
  <c r="AU54" i="1"/>
  <c r="AT54" i="1"/>
  <c r="AS54" i="1"/>
  <c r="AQ54" i="1"/>
  <c r="AL54" i="1"/>
  <c r="AG54" i="1"/>
  <c r="AF54" i="1"/>
  <c r="AE54" i="1"/>
  <c r="AD54" i="1"/>
  <c r="AB54" i="1"/>
  <c r="AA54" i="1"/>
  <c r="Z54" i="1"/>
  <c r="U54" i="1"/>
  <c r="R54" i="1"/>
  <c r="P54" i="1"/>
  <c r="K54" i="1"/>
  <c r="F54" i="1"/>
  <c r="BE53" i="1"/>
  <c r="BD53" i="1"/>
  <c r="BC53" i="1"/>
  <c r="BA53" i="1"/>
  <c r="AZ53" i="1"/>
  <c r="AY53" i="1"/>
  <c r="AX53" i="1"/>
  <c r="AV53" i="1"/>
  <c r="AU53" i="1"/>
  <c r="AT53" i="1"/>
  <c r="AS53" i="1"/>
  <c r="AQ53" i="1"/>
  <c r="AP53" i="1"/>
  <c r="AO53" i="1"/>
  <c r="AN53" i="1"/>
  <c r="AL53" i="1"/>
  <c r="AG53" i="1"/>
  <c r="AF53" i="1"/>
  <c r="AE53" i="1"/>
  <c r="AD53" i="1"/>
  <c r="AB53" i="1"/>
  <c r="AA53" i="1"/>
  <c r="Z53" i="1"/>
  <c r="Y53" i="1"/>
  <c r="W53" i="1"/>
  <c r="V53" i="1"/>
  <c r="U53" i="1"/>
  <c r="P53" i="1"/>
  <c r="K53" i="1"/>
  <c r="F53" i="1"/>
  <c r="BE52" i="1"/>
  <c r="BD52" i="1"/>
  <c r="BC52" i="1"/>
  <c r="BA52" i="1"/>
  <c r="AZ52" i="1"/>
  <c r="AY52" i="1"/>
  <c r="AX52" i="1"/>
  <c r="AV52" i="1"/>
  <c r="AU52" i="1"/>
  <c r="AT52" i="1"/>
  <c r="AS52" i="1"/>
  <c r="AQ52" i="1"/>
  <c r="AP52" i="1"/>
  <c r="AO52" i="1"/>
  <c r="AN52" i="1"/>
  <c r="AL52" i="1"/>
  <c r="AK52" i="1"/>
  <c r="AJ52" i="1"/>
  <c r="AI52" i="1"/>
  <c r="AG52" i="1"/>
  <c r="AF52" i="1"/>
  <c r="AE52" i="1"/>
  <c r="AD52" i="1"/>
  <c r="AB52" i="1"/>
  <c r="AA52" i="1"/>
  <c r="Z52" i="1"/>
  <c r="Y52" i="1"/>
  <c r="W52" i="1"/>
  <c r="V52" i="1"/>
  <c r="U52" i="1"/>
  <c r="T52" i="1"/>
  <c r="R52" i="1"/>
  <c r="Q52" i="1"/>
  <c r="P52" i="1"/>
  <c r="O52" i="1"/>
  <c r="M52" i="1"/>
  <c r="L52" i="1"/>
  <c r="K52" i="1"/>
  <c r="J52" i="1"/>
  <c r="H52" i="1"/>
  <c r="G52" i="1"/>
  <c r="F52" i="1"/>
  <c r="BE51" i="1"/>
  <c r="BD51" i="1"/>
  <c r="BC51" i="1"/>
  <c r="BA51" i="1"/>
  <c r="AZ51" i="1"/>
  <c r="AY51" i="1"/>
  <c r="AX51" i="1"/>
  <c r="AV51" i="1"/>
  <c r="AU51" i="1"/>
  <c r="AT51" i="1"/>
  <c r="AS51" i="1"/>
  <c r="AQ51" i="1"/>
  <c r="AO51" i="1"/>
  <c r="AL51" i="1"/>
  <c r="AG51" i="1"/>
  <c r="AF51" i="1"/>
  <c r="AE51" i="1"/>
  <c r="AD51" i="1"/>
  <c r="AB51" i="1"/>
  <c r="AA51" i="1"/>
  <c r="Z51" i="1"/>
  <c r="Y51" i="1"/>
  <c r="W51" i="1"/>
  <c r="V51" i="1"/>
  <c r="U51" i="1"/>
  <c r="P51" i="1"/>
  <c r="K51" i="1"/>
  <c r="F51" i="1"/>
  <c r="BE50" i="1"/>
  <c r="BD50" i="1"/>
  <c r="BC50" i="1"/>
  <c r="BA50" i="1"/>
  <c r="AZ50" i="1"/>
  <c r="AY50" i="1"/>
  <c r="AX50" i="1"/>
  <c r="AV50" i="1"/>
  <c r="AU50" i="1"/>
  <c r="AT50" i="1"/>
  <c r="AS50" i="1"/>
  <c r="AQ50" i="1"/>
  <c r="AL50" i="1"/>
  <c r="AG50" i="1"/>
  <c r="AF50" i="1"/>
  <c r="AE50" i="1"/>
  <c r="AD50" i="1"/>
  <c r="AB50" i="1"/>
  <c r="AA50" i="1"/>
  <c r="Z50" i="1"/>
  <c r="U50" i="1"/>
  <c r="R50" i="1"/>
  <c r="P50" i="1"/>
  <c r="K50" i="1"/>
  <c r="H50" i="1"/>
  <c r="F50" i="1"/>
  <c r="BE49" i="1"/>
  <c r="BD49" i="1"/>
  <c r="BC49" i="1"/>
  <c r="BA49" i="1"/>
  <c r="AZ49" i="1"/>
  <c r="AY49" i="1"/>
  <c r="AX49" i="1"/>
  <c r="AV49" i="1"/>
  <c r="AU49" i="1"/>
  <c r="AT49" i="1"/>
  <c r="AS49" i="1"/>
  <c r="AQ49" i="1"/>
  <c r="AO49" i="1"/>
  <c r="AL49" i="1"/>
  <c r="AG49" i="1"/>
  <c r="AF49" i="1"/>
  <c r="AE49" i="1"/>
  <c r="AD49" i="1"/>
  <c r="AB49" i="1"/>
  <c r="AA49" i="1"/>
  <c r="Z49" i="1"/>
  <c r="U49" i="1"/>
  <c r="P49" i="1"/>
  <c r="K49" i="1"/>
  <c r="F49" i="1"/>
  <c r="BE48" i="1"/>
  <c r="BD48" i="1"/>
  <c r="BC48" i="1"/>
  <c r="BA48" i="1"/>
  <c r="AZ48" i="1"/>
  <c r="AY48" i="1"/>
  <c r="AX48" i="1"/>
  <c r="AV48" i="1"/>
  <c r="AU48" i="1"/>
  <c r="AT48" i="1"/>
  <c r="AS48" i="1"/>
  <c r="AQ48" i="1"/>
  <c r="AL48" i="1"/>
  <c r="AG48" i="1"/>
  <c r="AF48" i="1"/>
  <c r="AE48" i="1"/>
  <c r="AD48" i="1"/>
  <c r="AB48" i="1"/>
  <c r="AA48" i="1"/>
  <c r="Z48" i="1"/>
  <c r="U48" i="1"/>
  <c r="R48" i="1"/>
  <c r="P48" i="1"/>
  <c r="K48" i="1"/>
  <c r="F48" i="1"/>
  <c r="BE47" i="1"/>
  <c r="BD47" i="1"/>
  <c r="BC47" i="1"/>
  <c r="BA47" i="1"/>
  <c r="AZ47" i="1"/>
  <c r="AY47" i="1"/>
  <c r="AX47" i="1"/>
  <c r="AV47" i="1"/>
  <c r="AU47" i="1"/>
  <c r="AT47" i="1"/>
  <c r="AS47" i="1"/>
  <c r="AQ47" i="1"/>
  <c r="AO47" i="1"/>
  <c r="AL47" i="1"/>
  <c r="AG47" i="1"/>
  <c r="AF47" i="1"/>
  <c r="AE47" i="1"/>
  <c r="AD47" i="1"/>
  <c r="AB47" i="1"/>
  <c r="AA47" i="1"/>
  <c r="Z47" i="1"/>
  <c r="U47" i="1"/>
  <c r="P47" i="1"/>
  <c r="K47" i="1"/>
  <c r="F47" i="1"/>
  <c r="C43" i="1"/>
  <c r="A43" i="1"/>
  <c r="AS42" i="1"/>
  <c r="AP81" i="1" s="1"/>
  <c r="AR42" i="1"/>
  <c r="AQ42" i="1"/>
  <c r="AP42" i="1"/>
  <c r="AN81" i="1" s="1"/>
  <c r="AI42" i="1"/>
  <c r="AF81" i="1" s="1"/>
  <c r="AH42" i="1"/>
  <c r="AG42" i="1"/>
  <c r="AE81" i="1" s="1"/>
  <c r="AF42" i="1"/>
  <c r="AD81" i="1" s="1"/>
  <c r="C42" i="1"/>
  <c r="A42" i="1"/>
  <c r="BH41" i="1"/>
  <c r="BE80" i="1" s="1"/>
  <c r="BG41" i="1"/>
  <c r="BF41" i="1"/>
  <c r="BD80" i="1" s="1"/>
  <c r="BE41" i="1"/>
  <c r="BC80" i="1" s="1"/>
  <c r="BC41" i="1"/>
  <c r="AZ75" i="1" s="1"/>
  <c r="BB41" i="1"/>
  <c r="BA41" i="1"/>
  <c r="AY75" i="1" s="1"/>
  <c r="AZ41" i="1"/>
  <c r="AX75" i="1" s="1"/>
  <c r="AX41" i="1"/>
  <c r="AU80" i="1" s="1"/>
  <c r="AW41" i="1"/>
  <c r="AV41" i="1"/>
  <c r="AT80" i="1" s="1"/>
  <c r="AU41" i="1"/>
  <c r="AS80" i="1" s="1"/>
  <c r="AS41" i="1"/>
  <c r="AP80" i="1" s="1"/>
  <c r="AR41" i="1"/>
  <c r="AQ41" i="1"/>
  <c r="AO80" i="1" s="1"/>
  <c r="AP41" i="1"/>
  <c r="AN80" i="1" s="1"/>
  <c r="AN41" i="1"/>
  <c r="AK79" i="1" s="1"/>
  <c r="AM41" i="1"/>
  <c r="AL41" i="1"/>
  <c r="AJ79" i="1" s="1"/>
  <c r="AK41" i="1"/>
  <c r="AI79" i="1" s="1"/>
  <c r="AI41" i="1"/>
  <c r="AF80" i="1" s="1"/>
  <c r="AH41" i="1"/>
  <c r="AG41" i="1"/>
  <c r="AE80" i="1" s="1"/>
  <c r="AF41" i="1"/>
  <c r="AD80" i="1" s="1"/>
  <c r="AD41" i="1"/>
  <c r="AA80" i="1" s="1"/>
  <c r="AC41" i="1"/>
  <c r="AB41" i="1"/>
  <c r="Z80" i="1" s="1"/>
  <c r="AA41" i="1"/>
  <c r="T41" i="1"/>
  <c r="T80" i="1" s="1"/>
  <c r="S41" i="1"/>
  <c r="R41" i="1"/>
  <c r="Q41" i="1"/>
  <c r="Q80" i="1" s="1"/>
  <c r="O41" i="1"/>
  <c r="T75" i="1" s="1"/>
  <c r="N41" i="1"/>
  <c r="M41" i="1"/>
  <c r="R75" i="1" s="1"/>
  <c r="L41" i="1"/>
  <c r="Q75" i="1" s="1"/>
  <c r="J41" i="1"/>
  <c r="J80" i="1" s="1"/>
  <c r="I41" i="1"/>
  <c r="H41" i="1"/>
  <c r="H80" i="1" s="1"/>
  <c r="G41" i="1"/>
  <c r="G80" i="1" s="1"/>
  <c r="C41" i="1"/>
  <c r="A41" i="1"/>
  <c r="BH40" i="1"/>
  <c r="BE78" i="1" s="1"/>
  <c r="BG40" i="1"/>
  <c r="BF40" i="1"/>
  <c r="BD78" i="1" s="1"/>
  <c r="BE40" i="1"/>
  <c r="BC78" i="1" s="1"/>
  <c r="BC40" i="1"/>
  <c r="AZ72" i="1" s="1"/>
  <c r="BB40" i="1"/>
  <c r="BA40" i="1"/>
  <c r="AY72" i="1" s="1"/>
  <c r="AZ40" i="1"/>
  <c r="AX72" i="1" s="1"/>
  <c r="AX40" i="1"/>
  <c r="AU79" i="1" s="1"/>
  <c r="AW40" i="1"/>
  <c r="AV40" i="1"/>
  <c r="AT79" i="1" s="1"/>
  <c r="AU40" i="1"/>
  <c r="AS79" i="1" s="1"/>
  <c r="AS40" i="1"/>
  <c r="AP79" i="1" s="1"/>
  <c r="AR40" i="1"/>
  <c r="AQ40" i="1"/>
  <c r="AP40" i="1"/>
  <c r="AN79" i="1" s="1"/>
  <c r="AN40" i="1"/>
  <c r="AK78" i="1" s="1"/>
  <c r="AM40" i="1"/>
  <c r="AL40" i="1"/>
  <c r="AJ78" i="1" s="1"/>
  <c r="AK40" i="1"/>
  <c r="AI78" i="1" s="1"/>
  <c r="AI40" i="1"/>
  <c r="AF77" i="1" s="1"/>
  <c r="AH40" i="1"/>
  <c r="AG40" i="1"/>
  <c r="AE77" i="1" s="1"/>
  <c r="AF40" i="1"/>
  <c r="AD77" i="1" s="1"/>
  <c r="AD40" i="1"/>
  <c r="AA79" i="1" s="1"/>
  <c r="AC40" i="1"/>
  <c r="AB40" i="1"/>
  <c r="AA40" i="1"/>
  <c r="Y40" i="1"/>
  <c r="Y76" i="1" s="1"/>
  <c r="X40" i="1"/>
  <c r="W40" i="1"/>
  <c r="W76" i="1" s="1"/>
  <c r="V40" i="1"/>
  <c r="V76" i="1" s="1"/>
  <c r="T40" i="1"/>
  <c r="T79" i="1" s="1"/>
  <c r="S40" i="1"/>
  <c r="R40" i="1"/>
  <c r="R79" i="1" s="1"/>
  <c r="Q40" i="1"/>
  <c r="Q79" i="1" s="1"/>
  <c r="O40" i="1"/>
  <c r="O79" i="1" s="1"/>
  <c r="N40" i="1"/>
  <c r="M40" i="1"/>
  <c r="M79" i="1" s="1"/>
  <c r="L40" i="1"/>
  <c r="L79" i="1" s="1"/>
  <c r="J40" i="1"/>
  <c r="J79" i="1" s="1"/>
  <c r="I40" i="1"/>
  <c r="H40" i="1"/>
  <c r="H78" i="1" s="1"/>
  <c r="G40" i="1"/>
  <c r="G78" i="1" s="1"/>
  <c r="C40" i="1"/>
  <c r="A40" i="1"/>
  <c r="BH39" i="1"/>
  <c r="BE77" i="1" s="1"/>
  <c r="BG39" i="1"/>
  <c r="BF39" i="1"/>
  <c r="BE39" i="1"/>
  <c r="BC77" i="1" s="1"/>
  <c r="BC39" i="1"/>
  <c r="AZ78" i="1" s="1"/>
  <c r="BB39" i="1"/>
  <c r="BA39" i="1"/>
  <c r="AY78" i="1" s="1"/>
  <c r="AZ39" i="1"/>
  <c r="AX78" i="1" s="1"/>
  <c r="AX39" i="1"/>
  <c r="AU77" i="1" s="1"/>
  <c r="AW39" i="1"/>
  <c r="AV39" i="1"/>
  <c r="AT77" i="1" s="1"/>
  <c r="AU39" i="1"/>
  <c r="AS77" i="1" s="1"/>
  <c r="AS39" i="1"/>
  <c r="AP78" i="1" s="1"/>
  <c r="AR39" i="1"/>
  <c r="AQ39" i="1"/>
  <c r="AO78" i="1" s="1"/>
  <c r="AP39" i="1"/>
  <c r="AN78" i="1" s="1"/>
  <c r="AN39" i="1"/>
  <c r="AK71" i="1" s="1"/>
  <c r="AM39" i="1"/>
  <c r="AL39" i="1"/>
  <c r="AJ71" i="1" s="1"/>
  <c r="AK39" i="1"/>
  <c r="AI71" i="1" s="1"/>
  <c r="AI39" i="1"/>
  <c r="AF79" i="1" s="1"/>
  <c r="AH39" i="1"/>
  <c r="AG39" i="1"/>
  <c r="AE79" i="1" s="1"/>
  <c r="AF39" i="1"/>
  <c r="AD79" i="1" s="1"/>
  <c r="AD39" i="1"/>
  <c r="AA78" i="1" s="1"/>
  <c r="AC39" i="1"/>
  <c r="AB39" i="1"/>
  <c r="Z78" i="1" s="1"/>
  <c r="AA39" i="1"/>
  <c r="Y39" i="1"/>
  <c r="Y77" i="1" s="1"/>
  <c r="X39" i="1"/>
  <c r="W39" i="1"/>
  <c r="W77" i="1" s="1"/>
  <c r="V39" i="1"/>
  <c r="V77" i="1" s="1"/>
  <c r="T39" i="1"/>
  <c r="T78" i="1" s="1"/>
  <c r="S39" i="1"/>
  <c r="R39" i="1"/>
  <c r="Q39" i="1"/>
  <c r="Q78" i="1" s="1"/>
  <c r="O39" i="1"/>
  <c r="O78" i="1" s="1"/>
  <c r="N39" i="1"/>
  <c r="M39" i="1"/>
  <c r="M78" i="1" s="1"/>
  <c r="L39" i="1"/>
  <c r="L78" i="1" s="1"/>
  <c r="J39" i="1"/>
  <c r="J78" i="1" s="1"/>
  <c r="I39" i="1"/>
  <c r="H39" i="1"/>
  <c r="H72" i="1" s="1"/>
  <c r="G39" i="1"/>
  <c r="G72" i="1" s="1"/>
  <c r="C39" i="1"/>
  <c r="A39" i="1"/>
  <c r="BH38" i="1"/>
  <c r="BE70" i="1" s="1"/>
  <c r="BG38" i="1"/>
  <c r="BF38" i="1"/>
  <c r="BD70" i="1" s="1"/>
  <c r="BE38" i="1"/>
  <c r="BC70" i="1" s="1"/>
  <c r="BC38" i="1"/>
  <c r="AZ70" i="1" s="1"/>
  <c r="BB38" i="1"/>
  <c r="BA38" i="1"/>
  <c r="AY70" i="1" s="1"/>
  <c r="AZ38" i="1"/>
  <c r="AX70" i="1" s="1"/>
  <c r="AX38" i="1"/>
  <c r="AU76" i="1" s="1"/>
  <c r="AW38" i="1"/>
  <c r="AV38" i="1"/>
  <c r="AT76" i="1" s="1"/>
  <c r="AU38" i="1"/>
  <c r="AS76" i="1" s="1"/>
  <c r="AS38" i="1"/>
  <c r="AP77" i="1" s="1"/>
  <c r="AR38" i="1"/>
  <c r="AQ38" i="1"/>
  <c r="AP38" i="1"/>
  <c r="AN77" i="1" s="1"/>
  <c r="AN38" i="1"/>
  <c r="AK69" i="1" s="1"/>
  <c r="AM38" i="1"/>
  <c r="AL38" i="1"/>
  <c r="AJ69" i="1" s="1"/>
  <c r="AK38" i="1"/>
  <c r="AI69" i="1" s="1"/>
  <c r="AI38" i="1"/>
  <c r="AF78" i="1" s="1"/>
  <c r="AH38" i="1"/>
  <c r="AG38" i="1"/>
  <c r="AE78" i="1" s="1"/>
  <c r="AF38" i="1"/>
  <c r="AD78" i="1" s="1"/>
  <c r="AD38" i="1"/>
  <c r="AA77" i="1" s="1"/>
  <c r="AC38" i="1"/>
  <c r="AB38" i="1"/>
  <c r="AA38" i="1"/>
  <c r="Y38" i="1"/>
  <c r="Y71" i="1" s="1"/>
  <c r="X38" i="1"/>
  <c r="W38" i="1"/>
  <c r="W71" i="1" s="1"/>
  <c r="V38" i="1"/>
  <c r="V71" i="1" s="1"/>
  <c r="T38" i="1"/>
  <c r="T77" i="1" s="1"/>
  <c r="S38" i="1"/>
  <c r="R38" i="1"/>
  <c r="R77" i="1" s="1"/>
  <c r="Q38" i="1"/>
  <c r="Q77" i="1" s="1"/>
  <c r="O38" i="1"/>
  <c r="O71" i="1" s="1"/>
  <c r="N38" i="1"/>
  <c r="M38" i="1"/>
  <c r="M71" i="1" s="1"/>
  <c r="L38" i="1"/>
  <c r="L71" i="1" s="1"/>
  <c r="J38" i="1"/>
  <c r="J77" i="1" s="1"/>
  <c r="I38" i="1"/>
  <c r="H38" i="1"/>
  <c r="H71" i="1" s="1"/>
  <c r="G38" i="1"/>
  <c r="G71" i="1" s="1"/>
  <c r="C38" i="1"/>
  <c r="A38" i="1"/>
  <c r="BH37" i="1"/>
  <c r="BE69" i="1" s="1"/>
  <c r="BG37" i="1"/>
  <c r="BF37" i="1"/>
  <c r="BE37" i="1"/>
  <c r="BC69" i="1" s="1"/>
  <c r="BC37" i="1"/>
  <c r="AZ77" i="1" s="1"/>
  <c r="BB37" i="1"/>
  <c r="BA37" i="1"/>
  <c r="AY77" i="1" s="1"/>
  <c r="AZ37" i="1"/>
  <c r="AX77" i="1" s="1"/>
  <c r="AX37" i="1"/>
  <c r="AU75" i="1" s="1"/>
  <c r="AW37" i="1"/>
  <c r="AV37" i="1"/>
  <c r="AT75" i="1" s="1"/>
  <c r="AU37" i="1"/>
  <c r="AS75" i="1" s="1"/>
  <c r="AS37" i="1"/>
  <c r="AP76" i="1" s="1"/>
  <c r="AR37" i="1"/>
  <c r="AQ37" i="1"/>
  <c r="AO76" i="1" s="1"/>
  <c r="AP37" i="1"/>
  <c r="AN76" i="1" s="1"/>
  <c r="AN37" i="1"/>
  <c r="AK75" i="1" s="1"/>
  <c r="AM37" i="1"/>
  <c r="AL37" i="1"/>
  <c r="AJ75" i="1" s="1"/>
  <c r="AK37" i="1"/>
  <c r="AI75" i="1" s="1"/>
  <c r="AI37" i="1"/>
  <c r="AF76" i="1" s="1"/>
  <c r="AH37" i="1"/>
  <c r="AG37" i="1"/>
  <c r="AE76" i="1" s="1"/>
  <c r="AF37" i="1"/>
  <c r="AD76" i="1" s="1"/>
  <c r="AD37" i="1"/>
  <c r="AA69" i="1" s="1"/>
  <c r="AC37" i="1"/>
  <c r="AB37" i="1"/>
  <c r="AA37" i="1"/>
  <c r="T37" i="1"/>
  <c r="T76" i="1" s="1"/>
  <c r="S37" i="1"/>
  <c r="R37" i="1"/>
  <c r="Q37" i="1"/>
  <c r="Q76" i="1" s="1"/>
  <c r="O37" i="1"/>
  <c r="O69" i="1" s="1"/>
  <c r="N37" i="1"/>
  <c r="M37" i="1"/>
  <c r="M69" i="1" s="1"/>
  <c r="L37" i="1"/>
  <c r="L69" i="1" s="1"/>
  <c r="J37" i="1"/>
  <c r="J76" i="1" s="1"/>
  <c r="I37" i="1"/>
  <c r="H37" i="1"/>
  <c r="H70" i="1" s="1"/>
  <c r="G37" i="1"/>
  <c r="G70" i="1" s="1"/>
  <c r="C37" i="1"/>
  <c r="A37" i="1"/>
  <c r="BC36" i="1"/>
  <c r="AZ71" i="1" s="1"/>
  <c r="BB36" i="1"/>
  <c r="BA36" i="1"/>
  <c r="AY71" i="1" s="1"/>
  <c r="AZ36" i="1"/>
  <c r="AX71" i="1" s="1"/>
  <c r="AX36" i="1"/>
  <c r="AU72" i="1" s="1"/>
  <c r="AW36" i="1"/>
  <c r="AV36" i="1"/>
  <c r="AT72" i="1" s="1"/>
  <c r="AU36" i="1"/>
  <c r="AS72" i="1" s="1"/>
  <c r="AS36" i="1"/>
  <c r="AP75" i="1" s="1"/>
  <c r="AR36" i="1"/>
  <c r="AQ36" i="1"/>
  <c r="AP36" i="1"/>
  <c r="AN75" i="1" s="1"/>
  <c r="AN36" i="1"/>
  <c r="AK74" i="1" s="1"/>
  <c r="AM36" i="1"/>
  <c r="AL36" i="1"/>
  <c r="AJ74" i="1" s="1"/>
  <c r="AK36" i="1"/>
  <c r="AI74" i="1" s="1"/>
  <c r="AI36" i="1"/>
  <c r="AF75" i="1" s="1"/>
  <c r="AH36" i="1"/>
  <c r="AG36" i="1"/>
  <c r="AE75" i="1" s="1"/>
  <c r="AF36" i="1"/>
  <c r="AD75" i="1" s="1"/>
  <c r="AD36" i="1"/>
  <c r="AA75" i="1" s="1"/>
  <c r="AC36" i="1"/>
  <c r="AB36" i="1"/>
  <c r="AA36" i="1"/>
  <c r="T36" i="1"/>
  <c r="O59" i="1" s="1"/>
  <c r="S36" i="1"/>
  <c r="R36" i="1"/>
  <c r="M59" i="1" s="1"/>
  <c r="Q36" i="1"/>
  <c r="L59" i="1" s="1"/>
  <c r="O36" i="1"/>
  <c r="O76" i="1" s="1"/>
  <c r="N36" i="1"/>
  <c r="M36" i="1"/>
  <c r="M72" i="1" s="1"/>
  <c r="L36" i="1"/>
  <c r="L72" i="1" s="1"/>
  <c r="J36" i="1"/>
  <c r="J75" i="1" s="1"/>
  <c r="I36" i="1"/>
  <c r="H36" i="1"/>
  <c r="H75" i="1" s="1"/>
  <c r="G36" i="1"/>
  <c r="G75" i="1" s="1"/>
  <c r="C36" i="1"/>
  <c r="A36" i="1"/>
  <c r="BC35" i="1"/>
  <c r="AZ79" i="1" s="1"/>
  <c r="BB35" i="1"/>
  <c r="BA35" i="1"/>
  <c r="AY79" i="1" s="1"/>
  <c r="AZ35" i="1"/>
  <c r="AX79" i="1" s="1"/>
  <c r="AX35" i="1"/>
  <c r="AU71" i="1" s="1"/>
  <c r="AW35" i="1"/>
  <c r="AV35" i="1"/>
  <c r="AT71" i="1" s="1"/>
  <c r="AU35" i="1"/>
  <c r="AS71" i="1" s="1"/>
  <c r="AI35" i="1"/>
  <c r="AF74" i="1" s="1"/>
  <c r="AH35" i="1"/>
  <c r="AG35" i="1"/>
  <c r="AE74" i="1" s="1"/>
  <c r="AF35" i="1"/>
  <c r="AD74" i="1" s="1"/>
  <c r="T35" i="1"/>
  <c r="T74" i="1" s="1"/>
  <c r="S35" i="1"/>
  <c r="R35" i="1"/>
  <c r="Q35" i="1"/>
  <c r="Q74" i="1" s="1"/>
  <c r="O35" i="1"/>
  <c r="O80" i="1" s="1"/>
  <c r="N35" i="1"/>
  <c r="M35" i="1"/>
  <c r="M77" i="1" s="1"/>
  <c r="L35" i="1"/>
  <c r="L77" i="1" s="1"/>
  <c r="J35" i="1"/>
  <c r="J74" i="1" s="1"/>
  <c r="I35" i="1"/>
  <c r="H35" i="1"/>
  <c r="H74" i="1" s="1"/>
  <c r="G35" i="1"/>
  <c r="G74" i="1" s="1"/>
  <c r="A35" i="1"/>
  <c r="BH33" i="1"/>
  <c r="BE79" i="1" s="1"/>
  <c r="BG33" i="1"/>
  <c r="BF33" i="1"/>
  <c r="BE33" i="1"/>
  <c r="BC79" i="1" s="1"/>
  <c r="BC33" i="1"/>
  <c r="AZ74" i="1" s="1"/>
  <c r="BB33" i="1"/>
  <c r="BA33" i="1"/>
  <c r="AY74" i="1" s="1"/>
  <c r="AZ33" i="1"/>
  <c r="AX74" i="1" s="1"/>
  <c r="AX33" i="1"/>
  <c r="AU74" i="1" s="1"/>
  <c r="AW33" i="1"/>
  <c r="AV33" i="1"/>
  <c r="AT74" i="1" s="1"/>
  <c r="AU33" i="1"/>
  <c r="AS74" i="1" s="1"/>
  <c r="AS33" i="1"/>
  <c r="AP72" i="1" s="1"/>
  <c r="AR33" i="1"/>
  <c r="AQ33" i="1"/>
  <c r="AO72" i="1" s="1"/>
  <c r="AP33" i="1"/>
  <c r="AN72" i="1" s="1"/>
  <c r="AN33" i="1"/>
  <c r="AK77" i="1" s="1"/>
  <c r="AM33" i="1"/>
  <c r="AL33" i="1"/>
  <c r="AJ77" i="1" s="1"/>
  <c r="AK33" i="1"/>
  <c r="AI77" i="1" s="1"/>
  <c r="AI33" i="1"/>
  <c r="AF72" i="1" s="1"/>
  <c r="AH33" i="1"/>
  <c r="AG33" i="1"/>
  <c r="AE72" i="1" s="1"/>
  <c r="AF33" i="1"/>
  <c r="AD72" i="1" s="1"/>
  <c r="AD33" i="1"/>
  <c r="AA72" i="1" s="1"/>
  <c r="AC33" i="1"/>
  <c r="AB33" i="1"/>
  <c r="Z72" i="1" s="1"/>
  <c r="AA33" i="1"/>
  <c r="Y33" i="1"/>
  <c r="Y80" i="1" s="1"/>
  <c r="X33" i="1"/>
  <c r="W33" i="1"/>
  <c r="W80" i="1" s="1"/>
  <c r="V33" i="1"/>
  <c r="V80" i="1" s="1"/>
  <c r="T33" i="1"/>
  <c r="T72" i="1" s="1"/>
  <c r="S33" i="1"/>
  <c r="R33" i="1"/>
  <c r="R72" i="1" s="1"/>
  <c r="Q33" i="1"/>
  <c r="Q72" i="1" s="1"/>
  <c r="O33" i="1"/>
  <c r="O72" i="1" s="1"/>
  <c r="N33" i="1"/>
  <c r="M33" i="1"/>
  <c r="M70" i="1" s="1"/>
  <c r="L33" i="1"/>
  <c r="L70" i="1" s="1"/>
  <c r="J33" i="1"/>
  <c r="J72" i="1" s="1"/>
  <c r="I33" i="1"/>
  <c r="H33" i="1"/>
  <c r="G33" i="1"/>
  <c r="C33" i="1"/>
  <c r="A33" i="1"/>
  <c r="BH32" i="1"/>
  <c r="BE76" i="1" s="1"/>
  <c r="BG32" i="1"/>
  <c r="BF32" i="1"/>
  <c r="BD76" i="1" s="1"/>
  <c r="BE32" i="1"/>
  <c r="BC76" i="1" s="1"/>
  <c r="BC32" i="1"/>
  <c r="AZ80" i="1" s="1"/>
  <c r="BB32" i="1"/>
  <c r="BA32" i="1"/>
  <c r="AY80" i="1" s="1"/>
  <c r="AZ32" i="1"/>
  <c r="AX80" i="1" s="1"/>
  <c r="AX32" i="1"/>
  <c r="AU68" i="1" s="1"/>
  <c r="AW32" i="1"/>
  <c r="AV32" i="1"/>
  <c r="AT68" i="1" s="1"/>
  <c r="AU32" i="1"/>
  <c r="AS68" i="1" s="1"/>
  <c r="AS32" i="1"/>
  <c r="AP71" i="1" s="1"/>
  <c r="AR32" i="1"/>
  <c r="AQ32" i="1"/>
  <c r="AP32" i="1"/>
  <c r="AN71" i="1" s="1"/>
  <c r="AN32" i="1"/>
  <c r="AK76" i="1" s="1"/>
  <c r="AM32" i="1"/>
  <c r="AL32" i="1"/>
  <c r="AJ76" i="1" s="1"/>
  <c r="AK32" i="1"/>
  <c r="AI76" i="1" s="1"/>
  <c r="AI32" i="1"/>
  <c r="AF71" i="1" s="1"/>
  <c r="AH32" i="1"/>
  <c r="AG32" i="1"/>
  <c r="AE71" i="1" s="1"/>
  <c r="AF32" i="1"/>
  <c r="AD71" i="1" s="1"/>
  <c r="AD32" i="1"/>
  <c r="AA71" i="1" s="1"/>
  <c r="AC32" i="1"/>
  <c r="AB32" i="1"/>
  <c r="AA32" i="1"/>
  <c r="Y32" i="1"/>
  <c r="Y79" i="1" s="1"/>
  <c r="X32" i="1"/>
  <c r="W32" i="1"/>
  <c r="W79" i="1" s="1"/>
  <c r="V32" i="1"/>
  <c r="V79" i="1" s="1"/>
  <c r="T32" i="1"/>
  <c r="T70" i="1" s="1"/>
  <c r="S32" i="1"/>
  <c r="R32" i="1"/>
  <c r="Q32" i="1"/>
  <c r="Q70" i="1" s="1"/>
  <c r="O32" i="1"/>
  <c r="O77" i="1" s="1"/>
  <c r="N32" i="1"/>
  <c r="M32" i="1"/>
  <c r="M75" i="1" s="1"/>
  <c r="L32" i="1"/>
  <c r="L75" i="1" s="1"/>
  <c r="J32" i="1"/>
  <c r="J71" i="1" s="1"/>
  <c r="I32" i="1"/>
  <c r="H32" i="1"/>
  <c r="G32" i="1"/>
  <c r="C32" i="1"/>
  <c r="A32" i="1"/>
  <c r="BH31" i="1"/>
  <c r="BE72" i="1" s="1"/>
  <c r="BG31" i="1"/>
  <c r="BF31" i="1"/>
  <c r="BD72" i="1" s="1"/>
  <c r="BE31" i="1"/>
  <c r="BC72" i="1" s="1"/>
  <c r="BC31" i="1"/>
  <c r="AZ76" i="1" s="1"/>
  <c r="BB31" i="1"/>
  <c r="BA31" i="1"/>
  <c r="AY76" i="1" s="1"/>
  <c r="AZ31" i="1"/>
  <c r="AX76" i="1" s="1"/>
  <c r="AX31" i="1"/>
  <c r="AU69" i="1" s="1"/>
  <c r="AW31" i="1"/>
  <c r="AV31" i="1"/>
  <c r="AT69" i="1" s="1"/>
  <c r="AU31" i="1"/>
  <c r="AS69" i="1" s="1"/>
  <c r="AS31" i="1"/>
  <c r="AP70" i="1" s="1"/>
  <c r="AR31" i="1"/>
  <c r="AQ31" i="1"/>
  <c r="AO70" i="1" s="1"/>
  <c r="AP31" i="1"/>
  <c r="AN70" i="1" s="1"/>
  <c r="AN31" i="1"/>
  <c r="AK70" i="1" s="1"/>
  <c r="AM31" i="1"/>
  <c r="AL31" i="1"/>
  <c r="AJ70" i="1" s="1"/>
  <c r="AK31" i="1"/>
  <c r="AI70" i="1" s="1"/>
  <c r="AI31" i="1"/>
  <c r="AF70" i="1" s="1"/>
  <c r="AH31" i="1"/>
  <c r="AG31" i="1"/>
  <c r="AE70" i="1" s="1"/>
  <c r="AF31" i="1"/>
  <c r="AD70" i="1" s="1"/>
  <c r="AD31" i="1"/>
  <c r="AA70" i="1" s="1"/>
  <c r="AC31" i="1"/>
  <c r="AB31" i="1"/>
  <c r="Z70" i="1" s="1"/>
  <c r="AA31" i="1"/>
  <c r="Y31" i="1"/>
  <c r="Y70" i="1" s="1"/>
  <c r="X31" i="1"/>
  <c r="W31" i="1"/>
  <c r="W70" i="1" s="1"/>
  <c r="V31" i="1"/>
  <c r="V70" i="1" s="1"/>
  <c r="T31" i="1"/>
  <c r="T68" i="1" s="1"/>
  <c r="S31" i="1"/>
  <c r="R31" i="1"/>
  <c r="R68" i="1" s="1"/>
  <c r="Q31" i="1"/>
  <c r="Q68" i="1" s="1"/>
  <c r="O31" i="1"/>
  <c r="O70" i="1" s="1"/>
  <c r="N31" i="1"/>
  <c r="M31" i="1"/>
  <c r="M68" i="1" s="1"/>
  <c r="L31" i="1"/>
  <c r="L68" i="1" s="1"/>
  <c r="J31" i="1"/>
  <c r="J70" i="1" s="1"/>
  <c r="I31" i="1"/>
  <c r="H31" i="1"/>
  <c r="H79" i="1" s="1"/>
  <c r="G31" i="1"/>
  <c r="G79" i="1" s="1"/>
  <c r="C31" i="1"/>
  <c r="A31" i="1"/>
  <c r="BH30" i="1"/>
  <c r="BE71" i="1" s="1"/>
  <c r="BG30" i="1"/>
  <c r="BF30" i="1"/>
  <c r="BE30" i="1"/>
  <c r="BC71" i="1" s="1"/>
  <c r="BC30" i="1"/>
  <c r="AZ69" i="1" s="1"/>
  <c r="BB30" i="1"/>
  <c r="BA30" i="1"/>
  <c r="AY69" i="1" s="1"/>
  <c r="AZ30" i="1"/>
  <c r="AX69" i="1" s="1"/>
  <c r="AX30" i="1"/>
  <c r="AU70" i="1" s="1"/>
  <c r="AW30" i="1"/>
  <c r="AV30" i="1"/>
  <c r="AT70" i="1" s="1"/>
  <c r="AU30" i="1"/>
  <c r="AS70" i="1" s="1"/>
  <c r="AS30" i="1"/>
  <c r="AP69" i="1" s="1"/>
  <c r="AR30" i="1"/>
  <c r="AQ30" i="1"/>
  <c r="AP30" i="1"/>
  <c r="AN69" i="1" s="1"/>
  <c r="AN30" i="1"/>
  <c r="AK72" i="1" s="1"/>
  <c r="AM30" i="1"/>
  <c r="AL30" i="1"/>
  <c r="AJ72" i="1" s="1"/>
  <c r="AK30" i="1"/>
  <c r="AI72" i="1" s="1"/>
  <c r="AI30" i="1"/>
  <c r="AF69" i="1" s="1"/>
  <c r="AH30" i="1"/>
  <c r="AG30" i="1"/>
  <c r="AE69" i="1" s="1"/>
  <c r="AF30" i="1"/>
  <c r="AD69" i="1" s="1"/>
  <c r="AD30" i="1"/>
  <c r="AA76" i="1" s="1"/>
  <c r="AC30" i="1"/>
  <c r="AB30" i="1"/>
  <c r="Z76" i="1" s="1"/>
  <c r="AA30" i="1"/>
  <c r="Y30" i="1"/>
  <c r="Y54" i="1" s="1"/>
  <c r="X30" i="1"/>
  <c r="W30" i="1"/>
  <c r="W54" i="1" s="1"/>
  <c r="V30" i="1"/>
  <c r="V54" i="1" s="1"/>
  <c r="T30" i="1"/>
  <c r="T69" i="1" s="1"/>
  <c r="S30" i="1"/>
  <c r="R30" i="1"/>
  <c r="R69" i="1" s="1"/>
  <c r="Q30" i="1"/>
  <c r="Q69" i="1" s="1"/>
  <c r="O30" i="1"/>
  <c r="O75" i="1" s="1"/>
  <c r="N30" i="1"/>
  <c r="M30" i="1"/>
  <c r="M76" i="1" s="1"/>
  <c r="L30" i="1"/>
  <c r="L76" i="1" s="1"/>
  <c r="J30" i="1"/>
  <c r="J69" i="1" s="1"/>
  <c r="I30" i="1"/>
  <c r="H30" i="1"/>
  <c r="H69" i="1" s="1"/>
  <c r="G30" i="1"/>
  <c r="G69" i="1" s="1"/>
  <c r="C30" i="1"/>
  <c r="A30" i="1"/>
  <c r="BH29" i="1"/>
  <c r="BE68" i="1" s="1"/>
  <c r="BG29" i="1"/>
  <c r="BF29" i="1"/>
  <c r="BD68" i="1" s="1"/>
  <c r="BE29" i="1"/>
  <c r="BC68" i="1" s="1"/>
  <c r="BC29" i="1"/>
  <c r="AZ68" i="1" s="1"/>
  <c r="BB29" i="1"/>
  <c r="BA29" i="1"/>
  <c r="AY68" i="1" s="1"/>
  <c r="AZ29" i="1"/>
  <c r="AX68" i="1" s="1"/>
  <c r="AX29" i="1"/>
  <c r="AU78" i="1" s="1"/>
  <c r="AW29" i="1"/>
  <c r="AV29" i="1"/>
  <c r="AT78" i="1" s="1"/>
  <c r="AU29" i="1"/>
  <c r="AS78" i="1" s="1"/>
  <c r="AS29" i="1"/>
  <c r="AP68" i="1" s="1"/>
  <c r="AR29" i="1"/>
  <c r="AQ29" i="1"/>
  <c r="AO68" i="1" s="1"/>
  <c r="AP29" i="1"/>
  <c r="AN68" i="1" s="1"/>
  <c r="AN29" i="1"/>
  <c r="AK68" i="1" s="1"/>
  <c r="AM29" i="1"/>
  <c r="AL29" i="1"/>
  <c r="AJ68" i="1" s="1"/>
  <c r="AK29" i="1"/>
  <c r="AI68" i="1" s="1"/>
  <c r="AI29" i="1"/>
  <c r="AF68" i="1" s="1"/>
  <c r="AH29" i="1"/>
  <c r="AG29" i="1"/>
  <c r="AE68" i="1" s="1"/>
  <c r="AF29" i="1"/>
  <c r="AD68" i="1" s="1"/>
  <c r="AD29" i="1"/>
  <c r="AA68" i="1" s="1"/>
  <c r="AC29" i="1"/>
  <c r="AB29" i="1"/>
  <c r="Z68" i="1" s="1"/>
  <c r="AA29" i="1"/>
  <c r="Y29" i="1"/>
  <c r="Y56" i="1" s="1"/>
  <c r="X29" i="1"/>
  <c r="W29" i="1"/>
  <c r="W56" i="1" s="1"/>
  <c r="V29" i="1"/>
  <c r="V56" i="1" s="1"/>
  <c r="T29" i="1"/>
  <c r="T71" i="1" s="1"/>
  <c r="S29" i="1"/>
  <c r="R29" i="1"/>
  <c r="R71" i="1" s="1"/>
  <c r="Q29" i="1"/>
  <c r="Q71" i="1" s="1"/>
  <c r="O29" i="1"/>
  <c r="O68" i="1" s="1"/>
  <c r="N29" i="1"/>
  <c r="M29" i="1"/>
  <c r="M80" i="1" s="1"/>
  <c r="L29" i="1"/>
  <c r="L80" i="1" s="1"/>
  <c r="J29" i="1"/>
  <c r="J68" i="1" s="1"/>
  <c r="I29" i="1"/>
  <c r="H29" i="1"/>
  <c r="H68" i="1" s="1"/>
  <c r="G29" i="1"/>
  <c r="G68" i="1" s="1"/>
  <c r="A29" i="1"/>
  <c r="BH27" i="1"/>
  <c r="BE66" i="1" s="1"/>
  <c r="BC27" i="1"/>
  <c r="AZ66" i="1" s="1"/>
  <c r="AZ27" i="1"/>
  <c r="AX66" i="1" s="1"/>
  <c r="AX27" i="1"/>
  <c r="AU66" i="1" s="1"/>
  <c r="AU27" i="1"/>
  <c r="AS66" i="1" s="1"/>
  <c r="AS27" i="1"/>
  <c r="AP66" i="1" s="1"/>
  <c r="AP27" i="1"/>
  <c r="AN66" i="1" s="1"/>
  <c r="AN27" i="1"/>
  <c r="AK66" i="1" s="1"/>
  <c r="AK27" i="1"/>
  <c r="AI66" i="1" s="1"/>
  <c r="AI27" i="1"/>
  <c r="AF66" i="1" s="1"/>
  <c r="AF27" i="1"/>
  <c r="AD66" i="1" s="1"/>
  <c r="AD27" i="1"/>
  <c r="AA66" i="1" s="1"/>
  <c r="AA27" i="1"/>
  <c r="Y27" i="1"/>
  <c r="Y66" i="1" s="1"/>
  <c r="V27" i="1"/>
  <c r="V66" i="1" s="1"/>
  <c r="T27" i="1"/>
  <c r="T66" i="1" s="1"/>
  <c r="Q27" i="1"/>
  <c r="Q66" i="1" s="1"/>
  <c r="O27" i="1"/>
  <c r="O66" i="1" s="1"/>
  <c r="L27" i="1"/>
  <c r="L66" i="1" s="1"/>
  <c r="J27" i="1"/>
  <c r="J66" i="1" s="1"/>
  <c r="G27" i="1"/>
  <c r="G66" i="1" s="1"/>
  <c r="C22" i="1"/>
  <c r="A22" i="1"/>
  <c r="C21" i="1"/>
  <c r="A21" i="1"/>
  <c r="AN20" i="1"/>
  <c r="AK51" i="1" s="1"/>
  <c r="AM20" i="1"/>
  <c r="AL20" i="1"/>
  <c r="AJ51" i="1" s="1"/>
  <c r="AK20" i="1"/>
  <c r="AI51" i="1" s="1"/>
  <c r="T20" i="1"/>
  <c r="T59" i="1" s="1"/>
  <c r="S20" i="1"/>
  <c r="R20" i="1"/>
  <c r="R59" i="1" s="1"/>
  <c r="Q20" i="1"/>
  <c r="Q59" i="1" s="1"/>
  <c r="O20" i="1"/>
  <c r="O48" i="1" s="1"/>
  <c r="N20" i="1"/>
  <c r="M20" i="1"/>
  <c r="M48" i="1" s="1"/>
  <c r="L20" i="1"/>
  <c r="L48" i="1" s="1"/>
  <c r="J20" i="1"/>
  <c r="J59" i="1" s="1"/>
  <c r="I20" i="1"/>
  <c r="H20" i="1"/>
  <c r="H56" i="1" s="1"/>
  <c r="G20" i="1"/>
  <c r="G56" i="1" s="1"/>
  <c r="C20" i="1"/>
  <c r="A20" i="1"/>
  <c r="AS19" i="1"/>
  <c r="AP50" i="1" s="1"/>
  <c r="AR19" i="1"/>
  <c r="AQ19" i="1"/>
  <c r="AO50" i="1" s="1"/>
  <c r="AP19" i="1"/>
  <c r="AN50" i="1" s="1"/>
  <c r="AN19" i="1"/>
  <c r="AK49" i="1" s="1"/>
  <c r="AM19" i="1"/>
  <c r="AL19" i="1"/>
  <c r="AJ49" i="1" s="1"/>
  <c r="AK19" i="1"/>
  <c r="AI49" i="1" s="1"/>
  <c r="T19" i="1"/>
  <c r="T58" i="1" s="1"/>
  <c r="S19" i="1"/>
  <c r="R19" i="1"/>
  <c r="Q19" i="1"/>
  <c r="Q58" i="1" s="1"/>
  <c r="O19" i="1"/>
  <c r="O47" i="1" s="1"/>
  <c r="N19" i="1"/>
  <c r="M19" i="1"/>
  <c r="M47" i="1" s="1"/>
  <c r="L19" i="1"/>
  <c r="L47" i="1" s="1"/>
  <c r="J19" i="1"/>
  <c r="J58" i="1" s="1"/>
  <c r="I19" i="1"/>
  <c r="H19" i="1"/>
  <c r="H55" i="1" s="1"/>
  <c r="G19" i="1"/>
  <c r="G55" i="1" s="1"/>
  <c r="C19" i="1"/>
  <c r="A19" i="1"/>
  <c r="AS18" i="1"/>
  <c r="AP57" i="1" s="1"/>
  <c r="AR18" i="1"/>
  <c r="AQ18" i="1"/>
  <c r="AP18" i="1"/>
  <c r="AN57" i="1" s="1"/>
  <c r="AN18" i="1"/>
  <c r="AK48" i="1" s="1"/>
  <c r="AM18" i="1"/>
  <c r="AL18" i="1"/>
  <c r="AJ48" i="1" s="1"/>
  <c r="AK18" i="1"/>
  <c r="AI48" i="1" s="1"/>
  <c r="Y18" i="1"/>
  <c r="Y68" i="1" s="1"/>
  <c r="X18" i="1"/>
  <c r="W18" i="1"/>
  <c r="W68" i="1" s="1"/>
  <c r="V18" i="1"/>
  <c r="V68" i="1" s="1"/>
  <c r="T18" i="1"/>
  <c r="T57" i="1" s="1"/>
  <c r="S18" i="1"/>
  <c r="R18" i="1"/>
  <c r="R57" i="1" s="1"/>
  <c r="Q18" i="1"/>
  <c r="Q57" i="1" s="1"/>
  <c r="O18" i="1"/>
  <c r="O49" i="1" s="1"/>
  <c r="N18" i="1"/>
  <c r="M18" i="1"/>
  <c r="M49" i="1" s="1"/>
  <c r="L18" i="1"/>
  <c r="L49" i="1" s="1"/>
  <c r="J18" i="1"/>
  <c r="J57" i="1" s="1"/>
  <c r="I18" i="1"/>
  <c r="H18" i="1"/>
  <c r="H54" i="1" s="1"/>
  <c r="G18" i="1"/>
  <c r="G54" i="1" s="1"/>
  <c r="C18" i="1"/>
  <c r="A18" i="1"/>
  <c r="AS17" i="1"/>
  <c r="AP48" i="1" s="1"/>
  <c r="AR17" i="1"/>
  <c r="AQ17" i="1"/>
  <c r="AO48" i="1" s="1"/>
  <c r="AP17" i="1"/>
  <c r="AN48" i="1" s="1"/>
  <c r="AN17" i="1"/>
  <c r="AK56" i="1" s="1"/>
  <c r="AM17" i="1"/>
  <c r="AL17" i="1"/>
  <c r="AJ56" i="1" s="1"/>
  <c r="AK17" i="1"/>
  <c r="AI56" i="1" s="1"/>
  <c r="Y17" i="1"/>
  <c r="Y55" i="1" s="1"/>
  <c r="X17" i="1"/>
  <c r="W17" i="1"/>
  <c r="W55" i="1" s="1"/>
  <c r="V17" i="1"/>
  <c r="V55" i="1" s="1"/>
  <c r="T17" i="1"/>
  <c r="T56" i="1" s="1"/>
  <c r="S17" i="1"/>
  <c r="R17" i="1"/>
  <c r="R56" i="1" s="1"/>
  <c r="Q17" i="1"/>
  <c r="Q56" i="1" s="1"/>
  <c r="O17" i="1"/>
  <c r="O57" i="1" s="1"/>
  <c r="N17" i="1"/>
  <c r="M17" i="1"/>
  <c r="M57" i="1" s="1"/>
  <c r="L17" i="1"/>
  <c r="L57" i="1" s="1"/>
  <c r="J17" i="1"/>
  <c r="J56" i="1" s="1"/>
  <c r="I17" i="1"/>
  <c r="H17" i="1"/>
  <c r="H48" i="1" s="1"/>
  <c r="G17" i="1"/>
  <c r="G48" i="1" s="1"/>
  <c r="C17" i="1"/>
  <c r="A17" i="1"/>
  <c r="AS16" i="1"/>
  <c r="AP47" i="1" s="1"/>
  <c r="AR16" i="1"/>
  <c r="AQ16" i="1"/>
  <c r="AP16" i="1"/>
  <c r="AN47" i="1" s="1"/>
  <c r="AN16" i="1"/>
  <c r="AK55" i="1" s="1"/>
  <c r="AM16" i="1"/>
  <c r="AL16" i="1"/>
  <c r="AJ55" i="1" s="1"/>
  <c r="AK16" i="1"/>
  <c r="AI55" i="1" s="1"/>
  <c r="Y16" i="1"/>
  <c r="Y69" i="1" s="1"/>
  <c r="X16" i="1"/>
  <c r="W16" i="1"/>
  <c r="W69" i="1" s="1"/>
  <c r="V16" i="1"/>
  <c r="V69" i="1" s="1"/>
  <c r="T16" i="1"/>
  <c r="T51" i="1" s="1"/>
  <c r="S16" i="1"/>
  <c r="R16" i="1"/>
  <c r="R51" i="1" s="1"/>
  <c r="Q16" i="1"/>
  <c r="Q51" i="1" s="1"/>
  <c r="O16" i="1"/>
  <c r="O56" i="1" s="1"/>
  <c r="N16" i="1"/>
  <c r="M16" i="1"/>
  <c r="M56" i="1" s="1"/>
  <c r="L16" i="1"/>
  <c r="L56" i="1" s="1"/>
  <c r="J16" i="1"/>
  <c r="J55" i="1" s="1"/>
  <c r="I16" i="1"/>
  <c r="H16" i="1"/>
  <c r="H57" i="1" s="1"/>
  <c r="G16" i="1"/>
  <c r="G57" i="1" s="1"/>
  <c r="C16" i="1"/>
  <c r="A16" i="1"/>
  <c r="AS15" i="1"/>
  <c r="AP55" i="1" s="1"/>
  <c r="AR15" i="1"/>
  <c r="AQ15" i="1"/>
  <c r="AP15" i="1"/>
  <c r="AN55" i="1" s="1"/>
  <c r="AN15" i="1"/>
  <c r="AK54" i="1" s="1"/>
  <c r="AM15" i="1"/>
  <c r="AL15" i="1"/>
  <c r="AJ54" i="1" s="1"/>
  <c r="AK15" i="1"/>
  <c r="AI54" i="1" s="1"/>
  <c r="Y15" i="1"/>
  <c r="Y50" i="1" s="1"/>
  <c r="X15" i="1"/>
  <c r="W15" i="1"/>
  <c r="W50" i="1" s="1"/>
  <c r="V15" i="1"/>
  <c r="V50" i="1" s="1"/>
  <c r="T15" i="1"/>
  <c r="T47" i="1" s="1"/>
  <c r="S15" i="1"/>
  <c r="R15" i="1"/>
  <c r="R47" i="1" s="1"/>
  <c r="Q15" i="1"/>
  <c r="Q47" i="1" s="1"/>
  <c r="O15" i="1"/>
  <c r="O53" i="1" s="1"/>
  <c r="N15" i="1"/>
  <c r="M15" i="1"/>
  <c r="M53" i="1" s="1"/>
  <c r="L15" i="1"/>
  <c r="L53" i="1" s="1"/>
  <c r="J15" i="1"/>
  <c r="J54" i="1" s="1"/>
  <c r="I15" i="1"/>
  <c r="H15" i="1"/>
  <c r="H59" i="1" s="1"/>
  <c r="G15" i="1"/>
  <c r="G59" i="1" s="1"/>
  <c r="C15" i="1"/>
  <c r="A15" i="1"/>
  <c r="AS14" i="1"/>
  <c r="AP54" i="1" s="1"/>
  <c r="AR14" i="1"/>
  <c r="AQ14" i="1"/>
  <c r="AO54" i="1" s="1"/>
  <c r="AP14" i="1"/>
  <c r="AN54" i="1" s="1"/>
  <c r="AN14" i="1"/>
  <c r="AK53" i="1" s="1"/>
  <c r="AM14" i="1"/>
  <c r="AL14" i="1"/>
  <c r="AJ53" i="1" s="1"/>
  <c r="AK14" i="1"/>
  <c r="AI53" i="1" s="1"/>
  <c r="Y14" i="1"/>
  <c r="Y78" i="1" s="1"/>
  <c r="X14" i="1"/>
  <c r="W14" i="1"/>
  <c r="W78" i="1" s="1"/>
  <c r="V14" i="1"/>
  <c r="V78" i="1" s="1"/>
  <c r="T14" i="1"/>
  <c r="T53" i="1" s="1"/>
  <c r="S14" i="1"/>
  <c r="R14" i="1"/>
  <c r="R53" i="1" s="1"/>
  <c r="Q14" i="1"/>
  <c r="Q53" i="1" s="1"/>
  <c r="O14" i="1"/>
  <c r="O74" i="1" s="1"/>
  <c r="N14" i="1"/>
  <c r="M14" i="1"/>
  <c r="M74" i="1" s="1"/>
  <c r="L14" i="1"/>
  <c r="L74" i="1" s="1"/>
  <c r="J14" i="1"/>
  <c r="J53" i="1" s="1"/>
  <c r="I14" i="1"/>
  <c r="H14" i="1"/>
  <c r="H58" i="1" s="1"/>
  <c r="G14" i="1"/>
  <c r="G58" i="1" s="1"/>
  <c r="A14" i="1"/>
  <c r="AN12" i="1"/>
  <c r="AK47" i="1" s="1"/>
  <c r="AM12" i="1"/>
  <c r="AL12" i="1"/>
  <c r="AJ47" i="1" s="1"/>
  <c r="AK12" i="1"/>
  <c r="AI47" i="1" s="1"/>
  <c r="T12" i="1"/>
  <c r="T49" i="1" s="1"/>
  <c r="S12" i="1"/>
  <c r="R12" i="1"/>
  <c r="R49" i="1" s="1"/>
  <c r="Q12" i="1"/>
  <c r="Q49" i="1" s="1"/>
  <c r="O12" i="1"/>
  <c r="O51" i="1" s="1"/>
  <c r="N12" i="1"/>
  <c r="M12" i="1"/>
  <c r="M51" i="1" s="1"/>
  <c r="L12" i="1"/>
  <c r="L51" i="1" s="1"/>
  <c r="J12" i="1"/>
  <c r="J51" i="1" s="1"/>
  <c r="I12" i="1"/>
  <c r="H12" i="1"/>
  <c r="H47" i="1" s="1"/>
  <c r="G12" i="1"/>
  <c r="G47" i="1" s="1"/>
  <c r="C12" i="1"/>
  <c r="A12" i="1"/>
  <c r="AS11" i="1"/>
  <c r="AP56" i="1" s="1"/>
  <c r="AR11" i="1"/>
  <c r="AQ11" i="1"/>
  <c r="AO56" i="1" s="1"/>
  <c r="AP11" i="1"/>
  <c r="AN56" i="1" s="1"/>
  <c r="AN11" i="1"/>
  <c r="AK50" i="1" s="1"/>
  <c r="AM11" i="1"/>
  <c r="AL11" i="1"/>
  <c r="AJ50" i="1" s="1"/>
  <c r="AK11" i="1"/>
  <c r="AI50" i="1" s="1"/>
  <c r="Y11" i="1"/>
  <c r="Y57" i="1" s="1"/>
  <c r="X11" i="1"/>
  <c r="W11" i="1"/>
  <c r="W57" i="1" s="1"/>
  <c r="V11" i="1"/>
  <c r="V57" i="1" s="1"/>
  <c r="T11" i="1"/>
  <c r="T55" i="1" s="1"/>
  <c r="S11" i="1"/>
  <c r="R11" i="1"/>
  <c r="R55" i="1" s="1"/>
  <c r="Q11" i="1"/>
  <c r="Q55" i="1" s="1"/>
  <c r="O11" i="1"/>
  <c r="O50" i="1" s="1"/>
  <c r="N11" i="1"/>
  <c r="M11" i="1"/>
  <c r="M50" i="1" s="1"/>
  <c r="L11" i="1"/>
  <c r="L50" i="1" s="1"/>
  <c r="J11" i="1"/>
  <c r="J50" i="1" s="1"/>
  <c r="I11" i="1"/>
  <c r="H11" i="1"/>
  <c r="G11" i="1"/>
  <c r="G50" i="1" s="1"/>
  <c r="C11" i="1"/>
  <c r="A11" i="1"/>
  <c r="AS10" i="1"/>
  <c r="AP51" i="1" s="1"/>
  <c r="AR10" i="1"/>
  <c r="AQ10" i="1"/>
  <c r="AP10" i="1"/>
  <c r="AN51" i="1" s="1"/>
  <c r="AN10" i="1"/>
  <c r="AK59" i="1" s="1"/>
  <c r="AM10" i="1"/>
  <c r="AL10" i="1"/>
  <c r="AJ59" i="1" s="1"/>
  <c r="AK10" i="1"/>
  <c r="AI59" i="1" s="1"/>
  <c r="Y10" i="1"/>
  <c r="Y49" i="1" s="1"/>
  <c r="X10" i="1"/>
  <c r="W10" i="1"/>
  <c r="W49" i="1" s="1"/>
  <c r="V10" i="1"/>
  <c r="V49" i="1" s="1"/>
  <c r="T10" i="1"/>
  <c r="T54" i="1" s="1"/>
  <c r="S10" i="1"/>
  <c r="R10" i="1"/>
  <c r="Q10" i="1"/>
  <c r="Q54" i="1" s="1"/>
  <c r="O10" i="1"/>
  <c r="O54" i="1" s="1"/>
  <c r="N10" i="1"/>
  <c r="M10" i="1"/>
  <c r="M54" i="1" s="1"/>
  <c r="L10" i="1"/>
  <c r="L54" i="1" s="1"/>
  <c r="J10" i="1"/>
  <c r="J49" i="1" s="1"/>
  <c r="I10" i="1"/>
  <c r="H10" i="1"/>
  <c r="H49" i="1" s="1"/>
  <c r="G10" i="1"/>
  <c r="G49" i="1" s="1"/>
  <c r="C10" i="1"/>
  <c r="A10" i="1"/>
  <c r="AS9" i="1"/>
  <c r="AR9" i="1"/>
  <c r="AQ9" i="1"/>
  <c r="AP9" i="1"/>
  <c r="AN9" i="1"/>
  <c r="AK58" i="1" s="1"/>
  <c r="AM9" i="1"/>
  <c r="AL9" i="1"/>
  <c r="AJ58" i="1" s="1"/>
  <c r="AK9" i="1"/>
  <c r="AI58" i="1" s="1"/>
  <c r="Y9" i="1"/>
  <c r="Y48" i="1" s="1"/>
  <c r="X9" i="1"/>
  <c r="W9" i="1"/>
  <c r="W48" i="1" s="1"/>
  <c r="V9" i="1"/>
  <c r="V48" i="1" s="1"/>
  <c r="T9" i="1"/>
  <c r="T48" i="1" s="1"/>
  <c r="S9" i="1"/>
  <c r="R9" i="1"/>
  <c r="Q9" i="1"/>
  <c r="Q48" i="1" s="1"/>
  <c r="O9" i="1"/>
  <c r="O58" i="1" s="1"/>
  <c r="N9" i="1"/>
  <c r="M9" i="1"/>
  <c r="M58" i="1" s="1"/>
  <c r="L9" i="1"/>
  <c r="L58" i="1" s="1"/>
  <c r="J9" i="1"/>
  <c r="J48" i="1" s="1"/>
  <c r="I9" i="1"/>
  <c r="H9" i="1"/>
  <c r="H51" i="1" s="1"/>
  <c r="G9" i="1"/>
  <c r="G51" i="1" s="1"/>
  <c r="C9" i="1"/>
  <c r="A9" i="1"/>
  <c r="AS8" i="1"/>
  <c r="AP49" i="1" s="1"/>
  <c r="AR8" i="1"/>
  <c r="AQ8" i="1"/>
  <c r="AP8" i="1"/>
  <c r="AN49" i="1" s="1"/>
  <c r="AN8" i="1"/>
  <c r="AK57" i="1" s="1"/>
  <c r="AM8" i="1"/>
  <c r="AL8" i="1"/>
  <c r="AJ57" i="1" s="1"/>
  <c r="AK8" i="1"/>
  <c r="AI57" i="1" s="1"/>
  <c r="Y8" i="1"/>
  <c r="Y47" i="1" s="1"/>
  <c r="X8" i="1"/>
  <c r="W8" i="1"/>
  <c r="W47" i="1" s="1"/>
  <c r="V8" i="1"/>
  <c r="V47" i="1" s="1"/>
  <c r="T8" i="1"/>
  <c r="T50" i="1" s="1"/>
  <c r="S8" i="1"/>
  <c r="R8" i="1"/>
  <c r="Q8" i="1"/>
  <c r="Q50" i="1" s="1"/>
  <c r="O8" i="1"/>
  <c r="O55" i="1" s="1"/>
  <c r="N8" i="1"/>
  <c r="M8" i="1"/>
  <c r="M55" i="1" s="1"/>
  <c r="L8" i="1"/>
  <c r="L55" i="1" s="1"/>
  <c r="J8" i="1"/>
  <c r="J47" i="1" s="1"/>
  <c r="I8" i="1"/>
  <c r="H8" i="1"/>
  <c r="H53" i="1" s="1"/>
  <c r="G8" i="1"/>
  <c r="G53" i="1" s="1"/>
  <c r="A8" i="1"/>
</calcChain>
</file>

<file path=xl/sharedStrings.xml><?xml version="1.0" encoding="utf-8"?>
<sst xmlns="http://schemas.openxmlformats.org/spreadsheetml/2006/main" count="119" uniqueCount="51">
  <si>
    <t>발표10분 질의 10분 이동5분</t>
    <phoneticPr fontId="2" type="noConversion"/>
  </si>
  <si>
    <t>: 추가 취소자</t>
    <phoneticPr fontId="2" type="noConversion"/>
  </si>
  <si>
    <t>: 유형 중복(실특으로 통합 발표, 2개 심사표 작성(이승원-지역기반중복, 박한규-대학발 중복)</t>
    <phoneticPr fontId="2" type="noConversion"/>
  </si>
  <si>
    <t>: 온라인 발표</t>
    <phoneticPr fontId="2" type="noConversion"/>
  </si>
  <si>
    <t>정보ㆍ통신1</t>
    <phoneticPr fontId="5" type="noConversion"/>
  </si>
  <si>
    <t>정보ㆍ통신2</t>
    <phoneticPr fontId="5" type="noConversion"/>
  </si>
  <si>
    <t>정보ㆍ통신3(친성)</t>
    <phoneticPr fontId="5" type="noConversion"/>
  </si>
  <si>
    <t>정보ㆍ통신4</t>
    <phoneticPr fontId="5" type="noConversion"/>
  </si>
  <si>
    <t>전기ㆍ전자</t>
    <phoneticPr fontId="5" type="noConversion"/>
  </si>
  <si>
    <t>기계ㆍ소재</t>
    <phoneticPr fontId="5" type="noConversion"/>
  </si>
  <si>
    <t>바이오ㆍ의료ㆍ생명1</t>
    <phoneticPr fontId="5" type="noConversion"/>
  </si>
  <si>
    <t>바이오ㆍ의료ㆍ생명2</t>
    <phoneticPr fontId="5" type="noConversion"/>
  </si>
  <si>
    <t>화공ㆍ섬유</t>
    <phoneticPr fontId="5" type="noConversion"/>
  </si>
  <si>
    <t>에너지ㆍ자원</t>
    <phoneticPr fontId="5" type="noConversion"/>
  </si>
  <si>
    <t>공예ㆍ디자인</t>
    <phoneticPr fontId="5" type="noConversion"/>
  </si>
  <si>
    <t>연번</t>
    <phoneticPr fontId="2" type="noConversion"/>
  </si>
  <si>
    <t>시작</t>
    <phoneticPr fontId="5" type="noConversion"/>
  </si>
  <si>
    <t>종료</t>
    <phoneticPr fontId="5" type="noConversion"/>
  </si>
  <si>
    <t>소요시간</t>
    <phoneticPr fontId="5" type="noConversion"/>
  </si>
  <si>
    <t>위원7명</t>
    <phoneticPr fontId="5" type="noConversion"/>
  </si>
  <si>
    <t>105호</t>
    <phoneticPr fontId="2" type="noConversion"/>
  </si>
  <si>
    <t>박유진</t>
    <phoneticPr fontId="2" type="noConversion"/>
  </si>
  <si>
    <t>108호</t>
    <phoneticPr fontId="2" type="noConversion"/>
  </si>
  <si>
    <t>이수화</t>
    <phoneticPr fontId="5" type="noConversion"/>
  </si>
  <si>
    <t>107호</t>
    <phoneticPr fontId="2" type="noConversion"/>
  </si>
  <si>
    <t>김이진</t>
    <phoneticPr fontId="5" type="noConversion"/>
  </si>
  <si>
    <t>110호</t>
    <phoneticPr fontId="2" type="noConversion"/>
  </si>
  <si>
    <t>김지희</t>
    <phoneticPr fontId="5" type="noConversion"/>
  </si>
  <si>
    <t>205호</t>
    <phoneticPr fontId="2" type="noConversion"/>
  </si>
  <si>
    <t>신동영</t>
    <phoneticPr fontId="5" type="noConversion"/>
  </si>
  <si>
    <t>1304호</t>
    <phoneticPr fontId="2" type="noConversion"/>
  </si>
  <si>
    <t>박영선</t>
    <phoneticPr fontId="5" type="noConversion"/>
  </si>
  <si>
    <t>1301호</t>
    <phoneticPr fontId="2" type="noConversion"/>
  </si>
  <si>
    <t>김도훈</t>
    <phoneticPr fontId="5" type="noConversion"/>
  </si>
  <si>
    <t>1302호</t>
    <phoneticPr fontId="2" type="noConversion"/>
  </si>
  <si>
    <t>지진훈</t>
    <phoneticPr fontId="5" type="noConversion"/>
  </si>
  <si>
    <t>201호</t>
    <phoneticPr fontId="2" type="noConversion"/>
  </si>
  <si>
    <t>최희정</t>
    <phoneticPr fontId="2" type="noConversion"/>
  </si>
  <si>
    <t>208~209호</t>
    <phoneticPr fontId="2" type="noConversion"/>
  </si>
  <si>
    <t>정승아</t>
    <phoneticPr fontId="2" type="noConversion"/>
  </si>
  <si>
    <t>202호</t>
    <phoneticPr fontId="2" type="noConversion"/>
  </si>
  <si>
    <t>김수진</t>
    <phoneticPr fontId="5" type="noConversion"/>
  </si>
  <si>
    <t>0930</t>
    <phoneticPr fontId="5" type="noConversion"/>
  </si>
  <si>
    <t>1000</t>
    <phoneticPr fontId="5" type="noConversion"/>
  </si>
  <si>
    <t>OT 등</t>
    <phoneticPr fontId="2" type="noConversion"/>
  </si>
  <si>
    <t>1일차</t>
    <phoneticPr fontId="2" type="noConversion"/>
  </si>
  <si>
    <t>점심</t>
    <phoneticPr fontId="2" type="noConversion"/>
  </si>
  <si>
    <t>발표10분 질의 10분 이동5분</t>
    <phoneticPr fontId="5" type="noConversion"/>
  </si>
  <si>
    <t>순번</t>
    <phoneticPr fontId="5" type="noConversion"/>
  </si>
  <si>
    <t>2일차</t>
    <phoneticPr fontId="2" type="noConversion"/>
  </si>
  <si>
    <t>분과별 위원장을 통한 최종 점수 확인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</si>
</sst>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000000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1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41" fontId="3" fillId="0" borderId="0" xfId="1" applyFont="1" applyAlignment="1">
      <alignment horizontal="center" vertical="center" shrinkToFit="1"/>
    </xf>
    <xf numFmtId="41" fontId="3" fillId="0" borderId="0" xfId="1" applyFont="1" applyAlignment="1">
      <alignment vertical="center" shrinkToFit="1"/>
    </xf>
    <xf numFmtId="0" fontId="3" fillId="0" borderId="0" xfId="0" applyFont="1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5" borderId="5" xfId="2" applyFont="1" applyFill="1" applyBorder="1" applyAlignment="1">
      <alignment horizontal="center" vertical="center"/>
    </xf>
    <xf numFmtId="0" fontId="3" fillId="6" borderId="5" xfId="2" applyFont="1" applyFill="1" applyBorder="1" applyAlignment="1">
      <alignment horizontal="center" vertical="center"/>
    </xf>
    <xf numFmtId="0" fontId="3" fillId="6" borderId="6" xfId="2" applyFont="1" applyFill="1" applyBorder="1" applyAlignment="1">
      <alignment horizontal="center" vertical="center"/>
    </xf>
    <xf numFmtId="0" fontId="3" fillId="6" borderId="8" xfId="2" applyFont="1" applyFill="1" applyBorder="1" applyAlignment="1">
      <alignment horizontal="center" vertical="center"/>
    </xf>
    <xf numFmtId="0" fontId="3" fillId="6" borderId="8" xfId="2" applyFont="1" applyFill="1" applyBorder="1" applyAlignment="1">
      <alignment horizontal="center" vertical="center"/>
    </xf>
    <xf numFmtId="0" fontId="3" fillId="6" borderId="5" xfId="2" applyFont="1" applyFill="1" applyBorder="1" applyAlignment="1">
      <alignment horizontal="center" vertical="center" shrinkToFit="1"/>
    </xf>
    <xf numFmtId="0" fontId="1" fillId="0" borderId="5" xfId="2" applyBorder="1" applyAlignment="1">
      <alignment horizontal="center" vertical="center"/>
    </xf>
    <xf numFmtId="49" fontId="1" fillId="0" borderId="5" xfId="2" applyNumberFormat="1" applyBorder="1" applyAlignment="1">
      <alignment horizontal="center" vertical="center"/>
    </xf>
    <xf numFmtId="0" fontId="3" fillId="0" borderId="6" xfId="2" applyFont="1" applyBorder="1" applyAlignment="1">
      <alignment horizontal="center" vertical="center" shrinkToFit="1"/>
    </xf>
    <xf numFmtId="0" fontId="3" fillId="0" borderId="7" xfId="2" applyFont="1" applyBorder="1" applyAlignment="1">
      <alignment horizontal="center" vertical="center" shrinkToFit="1"/>
    </xf>
    <xf numFmtId="0" fontId="3" fillId="0" borderId="8" xfId="2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/>
    </xf>
    <xf numFmtId="41" fontId="3" fillId="0" borderId="5" xfId="1" applyFont="1" applyBorder="1" applyAlignment="1">
      <alignment horizontal="center" vertical="center" shrinkToFit="1"/>
    </xf>
    <xf numFmtId="0" fontId="4" fillId="7" borderId="5" xfId="0" applyFont="1" applyFill="1" applyBorder="1" applyAlignment="1">
      <alignment horizontal="center" vertical="center"/>
    </xf>
    <xf numFmtId="41" fontId="6" fillId="7" borderId="5" xfId="1" applyFont="1" applyFill="1" applyBorder="1" applyAlignment="1">
      <alignment horizontal="center" vertical="center" shrinkToFit="1"/>
    </xf>
    <xf numFmtId="0" fontId="3" fillId="8" borderId="5" xfId="0" applyFont="1" applyFill="1" applyBorder="1" applyAlignment="1">
      <alignment horizontal="center" vertical="center"/>
    </xf>
    <xf numFmtId="41" fontId="3" fillId="8" borderId="5" xfId="1" applyFont="1" applyFill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1" fontId="3" fillId="0" borderId="9" xfId="1" applyFont="1" applyBorder="1" applyAlignment="1">
      <alignment horizontal="center" vertical="center" shrinkToFit="1"/>
    </xf>
    <xf numFmtId="0" fontId="8" fillId="7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41" fontId="6" fillId="7" borderId="10" xfId="1" applyFont="1" applyFill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0" xfId="0" applyFont="1" applyFill="1">
      <alignment vertical="center"/>
    </xf>
    <xf numFmtId="41" fontId="3" fillId="8" borderId="0" xfId="1" applyFont="1" applyFill="1" applyAlignment="1">
      <alignment vertical="center" shrinkToFit="1"/>
    </xf>
    <xf numFmtId="0" fontId="1" fillId="6" borderId="5" xfId="2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1" fontId="3" fillId="0" borderId="12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41" fontId="6" fillId="7" borderId="16" xfId="1" applyFont="1" applyFill="1" applyBorder="1" applyAlignment="1">
      <alignment horizontal="center" vertical="center" shrinkToFit="1"/>
    </xf>
    <xf numFmtId="41" fontId="9" fillId="11" borderId="17" xfId="1" applyFont="1" applyFill="1" applyBorder="1" applyAlignment="1">
      <alignment horizontal="center" vertical="center" shrinkToFit="1"/>
    </xf>
    <xf numFmtId="0" fontId="3" fillId="9" borderId="1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/>
    </xf>
    <xf numFmtId="41" fontId="3" fillId="0" borderId="19" xfId="1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/>
    </xf>
    <xf numFmtId="41" fontId="3" fillId="0" borderId="6" xfId="1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3" fillId="6" borderId="10" xfId="2" applyFont="1" applyFill="1" applyBorder="1" applyAlignment="1">
      <alignment horizontal="center" vertical="center"/>
    </xf>
    <xf numFmtId="0" fontId="3" fillId="6" borderId="22" xfId="2" applyFont="1" applyFill="1" applyBorder="1" applyAlignment="1">
      <alignment horizontal="center" vertical="center"/>
    </xf>
    <xf numFmtId="0" fontId="3" fillId="6" borderId="4" xfId="2" applyFont="1" applyFill="1" applyBorder="1" applyAlignment="1">
      <alignment horizontal="center" vertical="center"/>
    </xf>
    <xf numFmtId="0" fontId="3" fillId="6" borderId="4" xfId="2" applyFont="1" applyFill="1" applyBorder="1" applyAlignment="1">
      <alignment horizontal="center" vertical="center"/>
    </xf>
    <xf numFmtId="0" fontId="3" fillId="6" borderId="10" xfId="2" applyFont="1" applyFill="1" applyBorder="1" applyAlignment="1">
      <alignment horizontal="center" vertical="center" shrinkToFit="1"/>
    </xf>
    <xf numFmtId="0" fontId="4" fillId="0" borderId="5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1" fontId="3" fillId="0" borderId="16" xfId="1" applyFont="1" applyBorder="1" applyAlignment="1">
      <alignment horizontal="center" vertical="center" shrinkToFit="1"/>
    </xf>
    <xf numFmtId="41" fontId="3" fillId="0" borderId="17" xfId="1" applyFont="1" applyFill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/>
    </xf>
    <xf numFmtId="41" fontId="3" fillId="2" borderId="5" xfId="1" applyFont="1" applyFill="1" applyBorder="1" applyAlignment="1">
      <alignment horizontal="center" vertical="center" shrinkToFit="1"/>
    </xf>
    <xf numFmtId="0" fontId="10" fillId="12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3" fillId="8" borderId="5" xfId="0" applyFont="1" applyFill="1" applyBorder="1">
      <alignment vertical="center"/>
    </xf>
    <xf numFmtId="41" fontId="3" fillId="8" borderId="5" xfId="1" applyFont="1" applyFill="1" applyBorder="1" applyAlignment="1">
      <alignment vertical="center" shrinkToFit="1"/>
    </xf>
    <xf numFmtId="41" fontId="3" fillId="0" borderId="10" xfId="1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1" fontId="4" fillId="0" borderId="5" xfId="1" applyFont="1" applyBorder="1" applyAlignment="1">
      <alignment horizontal="center" vertical="center" shrinkToFit="1"/>
    </xf>
    <xf numFmtId="0" fontId="4" fillId="7" borderId="5" xfId="0" applyFont="1" applyFill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/>
    </xf>
    <xf numFmtId="41" fontId="3" fillId="0" borderId="24" xfId="1" applyFont="1" applyBorder="1" applyAlignment="1">
      <alignment horizontal="center" vertical="center" shrinkToFit="1"/>
    </xf>
    <xf numFmtId="41" fontId="3" fillId="0" borderId="25" xfId="1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/>
    </xf>
    <xf numFmtId="41" fontId="3" fillId="0" borderId="19" xfId="1" applyFont="1" applyBorder="1" applyAlignment="1">
      <alignment vertical="center" shrinkToFit="1"/>
    </xf>
    <xf numFmtId="0" fontId="3" fillId="0" borderId="19" xfId="0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12" fillId="7" borderId="27" xfId="0" applyFont="1" applyFill="1" applyBorder="1" applyAlignment="1">
      <alignment horizontal="center" vertical="center"/>
    </xf>
    <xf numFmtId="41" fontId="12" fillId="7" borderId="28" xfId="1" applyFont="1" applyFill="1" applyBorder="1" applyAlignment="1">
      <alignment horizontal="center" vertical="center" shrinkToFit="1"/>
    </xf>
    <xf numFmtId="41" fontId="12" fillId="7" borderId="29" xfId="1" applyFont="1" applyFill="1" applyBorder="1" applyAlignment="1">
      <alignment horizontal="center" vertical="center" shrinkToFit="1"/>
    </xf>
    <xf numFmtId="0" fontId="6" fillId="7" borderId="3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EE08EE3-29D5-43E1-95DC-7BEAB3B744DC}"/>
  </cellStyles>
  <dxfs count="2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DY\Desktop\AI\evaluation-system-pt\&#50629;&#47196;&#46300;\2026&#45380;%20&#52285;&#50629;&#51473;&#49900;&#45824;&#54617;%20&#48156;&#54364;&#54217;&#44032;%20TT_260420.xlsx" TargetMode="External"/><Relationship Id="rId1" Type="http://schemas.openxmlformats.org/officeDocument/2006/relationships/externalLinkPath" Target="2026&#45380;%20&#52285;&#50629;&#51473;&#49900;&#45824;&#54617;%20&#48156;&#54364;&#54217;&#44032;%20TT_2604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서류평가 TO 확정 요청"/>
      <sheetName val="26년 타임테이블(안)"/>
      <sheetName val="26년 타임테이블_조정안(전세라)"/>
      <sheetName val="데이터시트"/>
    </sheetNames>
    <sheetDataSet>
      <sheetData sheetId="0" refreshError="1"/>
      <sheetData sheetId="1" refreshError="1"/>
      <sheetData sheetId="2" refreshError="1"/>
      <sheetData sheetId="3">
        <row r="3">
          <cell r="B3">
            <v>20419206</v>
          </cell>
          <cell r="C3" t="str">
            <v>민경국</v>
          </cell>
          <cell r="D3" t="str">
            <v>alsrudrnr2@naver.com</v>
          </cell>
          <cell r="F3" t="str">
            <v>한국 전통미를 실용적인 디자인으로 재해석한 친환경 패션 브랜드</v>
          </cell>
          <cell r="G3" t="str">
            <v>지역기반</v>
          </cell>
          <cell r="H3" t="str">
            <v>면제</v>
          </cell>
          <cell r="I3" t="str">
            <v>청년</v>
          </cell>
          <cell r="J3" t="str">
            <v>공예ㆍ디자인</v>
          </cell>
          <cell r="K3" t="str">
            <v>공예ㆍ디자인</v>
          </cell>
          <cell r="L3" t="str">
            <v>도약</v>
          </cell>
          <cell r="M3" t="str">
            <v>합격</v>
          </cell>
        </row>
        <row r="4">
          <cell r="B4">
            <v>20416188</v>
          </cell>
          <cell r="C4" t="str">
            <v>왕지혜</v>
          </cell>
          <cell r="D4" t="str">
            <v>classymatekorea@gmail.com</v>
          </cell>
          <cell r="F4" t="str">
            <v>아동 성장·활동 및 타겟 고객층 특성을 반영한 AI 기술 기반 혁신 아동복 개발</v>
          </cell>
          <cell r="G4" t="str">
            <v>지역기반</v>
          </cell>
          <cell r="H4" t="str">
            <v>면제</v>
          </cell>
          <cell r="I4" t="str">
            <v>청년</v>
          </cell>
          <cell r="J4" t="str">
            <v>공예ㆍ디자인</v>
          </cell>
          <cell r="K4" t="str">
            <v>공예ㆍ디자인</v>
          </cell>
          <cell r="L4" t="str">
            <v>초기</v>
          </cell>
          <cell r="M4" t="str">
            <v>합격</v>
          </cell>
        </row>
        <row r="5">
          <cell r="B5">
            <v>20401269</v>
          </cell>
          <cell r="C5" t="str">
            <v>윤수정</v>
          </cell>
          <cell r="D5" t="str">
            <v>somevery_@naver.com</v>
          </cell>
          <cell r="F5" t="str">
            <v>수상 스포츠 이후 아로마테라피를 활용한 ‘After-Water Ritual’ 스킨케어 브랜드</v>
          </cell>
          <cell r="G5" t="str">
            <v>지역기반</v>
          </cell>
          <cell r="H5" t="str">
            <v>면제</v>
          </cell>
          <cell r="I5" t="str">
            <v>청년</v>
          </cell>
          <cell r="J5" t="str">
            <v>화공ㆍ섬유</v>
          </cell>
          <cell r="K5" t="str">
            <v>화공ㆍ섬유</v>
          </cell>
          <cell r="L5" t="str">
            <v>초기</v>
          </cell>
          <cell r="M5" t="str">
            <v>합격</v>
          </cell>
        </row>
        <row r="6">
          <cell r="B6">
            <v>20410202</v>
          </cell>
          <cell r="C6" t="str">
            <v>김준</v>
          </cell>
          <cell r="D6" t="str">
            <v>romoirs@gmail.com</v>
          </cell>
          <cell r="F6" t="str">
            <v>AI 기반 고급 가죽 잡화 맞춤 제작 솔루션</v>
          </cell>
          <cell r="G6" t="str">
            <v>지역기반</v>
          </cell>
          <cell r="H6" t="str">
            <v>면제</v>
          </cell>
          <cell r="I6" t="str">
            <v>청년</v>
          </cell>
          <cell r="J6" t="str">
            <v>화공ㆍ섬유</v>
          </cell>
          <cell r="K6" t="str">
            <v>화공ㆍ섬유</v>
          </cell>
          <cell r="L6" t="str">
            <v>도약</v>
          </cell>
          <cell r="M6" t="str">
            <v>합격</v>
          </cell>
        </row>
        <row r="7">
          <cell r="B7">
            <v>20413968</v>
          </cell>
          <cell r="C7" t="str">
            <v>이승준</v>
          </cell>
          <cell r="D7" t="str">
            <v>shaftmom@gmail.com</v>
          </cell>
          <cell r="F7" t="str">
            <v>(방산 用) SDR(Software-Defined Radio) 기반 이기종 플랫폼 탑재형 소형 엣지 RF 탐지·정밀무력화 통합 안티드론 솔루션</v>
          </cell>
          <cell r="G7" t="str">
            <v>지역기반</v>
          </cell>
          <cell r="H7" t="str">
            <v>면제</v>
          </cell>
          <cell r="I7" t="str">
            <v>청년</v>
          </cell>
          <cell r="J7" t="str">
            <v>전기ㆍ전자</v>
          </cell>
          <cell r="K7" t="str">
            <v>전기ㆍ전자</v>
          </cell>
          <cell r="L7" t="str">
            <v>초기</v>
          </cell>
          <cell r="M7" t="str">
            <v>합격</v>
          </cell>
        </row>
        <row r="8">
          <cell r="B8">
            <v>20414167</v>
          </cell>
          <cell r="C8" t="str">
            <v>손석봉</v>
          </cell>
          <cell r="D8" t="str">
            <v>info@in-lab.co.kr</v>
          </cell>
          <cell r="F8" t="str">
            <v>다층 복합 구조 레이저 방호 원단을 활용한 경량형 레이저 보호복</v>
          </cell>
          <cell r="G8" t="str">
            <v>지역기반</v>
          </cell>
          <cell r="H8" t="str">
            <v>면제</v>
          </cell>
          <cell r="I8" t="str">
            <v>청년</v>
          </cell>
          <cell r="J8" t="str">
            <v>화공ㆍ섬유</v>
          </cell>
          <cell r="K8" t="str">
            <v>화공ㆍ섬유</v>
          </cell>
          <cell r="L8" t="str">
            <v>도약</v>
          </cell>
          <cell r="M8" t="str">
            <v>합격</v>
          </cell>
        </row>
        <row r="9">
          <cell r="B9">
            <v>20415684</v>
          </cell>
          <cell r="C9" t="str">
            <v>김명곤</v>
          </cell>
          <cell r="D9" t="str">
            <v>contact@pairing.kr</v>
          </cell>
          <cell r="F9" t="str">
            <v>클랙</v>
          </cell>
          <cell r="G9" t="str">
            <v>지역기반</v>
          </cell>
          <cell r="H9" t="str">
            <v>면제</v>
          </cell>
          <cell r="I9" t="str">
            <v>청년</v>
          </cell>
          <cell r="J9" t="str">
            <v>정보ㆍ통신</v>
          </cell>
          <cell r="K9" t="str">
            <v>정보ㆍ통신6</v>
          </cell>
          <cell r="L9" t="str">
            <v>도약</v>
          </cell>
          <cell r="M9" t="str">
            <v>합격</v>
          </cell>
          <cell r="N9" t="str">
            <v>21일 발표로 희망</v>
          </cell>
        </row>
        <row r="10">
          <cell r="B10">
            <v>20415817</v>
          </cell>
          <cell r="C10" t="str">
            <v>조만희</v>
          </cell>
          <cell r="D10" t="str">
            <v>ceo@ai-ant.co.kr</v>
          </cell>
          <cell r="F10" t="str">
            <v>AI 기반 인재 역량 데이터 분석 및 교육·채용·재교육 연계 플랫폼</v>
          </cell>
          <cell r="G10" t="str">
            <v>지역기반</v>
          </cell>
          <cell r="H10" t="str">
            <v>면제</v>
          </cell>
          <cell r="I10" t="str">
            <v>중장년</v>
          </cell>
          <cell r="J10" t="str">
            <v>정보ㆍ통신</v>
          </cell>
          <cell r="K10" t="str">
            <v>정보ㆍ통신3</v>
          </cell>
          <cell r="L10" t="str">
            <v>초기</v>
          </cell>
          <cell r="M10" t="str">
            <v>합격</v>
          </cell>
          <cell r="N10" t="str">
            <v>21일 오전 또는 22일 오후 희망</v>
          </cell>
        </row>
        <row r="11">
          <cell r="B11">
            <v>20423046</v>
          </cell>
          <cell r="C11" t="str">
            <v>김대호</v>
          </cell>
          <cell r="D11" t="str">
            <v>daeho.kim@joint.now</v>
          </cell>
          <cell r="F11" t="str">
            <v>JOINT (조인트)</v>
          </cell>
          <cell r="G11" t="str">
            <v>지역기반</v>
          </cell>
          <cell r="H11" t="str">
            <v>면제</v>
          </cell>
          <cell r="I11" t="str">
            <v>중장년</v>
          </cell>
          <cell r="J11" t="str">
            <v>정보ㆍ통신</v>
          </cell>
          <cell r="K11" t="str">
            <v>정보ㆍ통신7</v>
          </cell>
          <cell r="L11" t="str">
            <v>초기</v>
          </cell>
          <cell r="M11" t="str">
            <v>합격</v>
          </cell>
        </row>
        <row r="12">
          <cell r="B12">
            <v>20424540</v>
          </cell>
          <cell r="C12" t="str">
            <v>배기쁨</v>
          </cell>
          <cell r="D12" t="str">
            <v>contact@toasterz.team</v>
          </cell>
          <cell r="F12" t="str">
            <v>AI 기술을 활용한 발효종 관리 기능(발효 시간 예측, 결과 분석)을 제공하는 솔루션</v>
          </cell>
          <cell r="G12" t="str">
            <v>지역기반</v>
          </cell>
          <cell r="H12" t="str">
            <v>면제</v>
          </cell>
          <cell r="I12" t="str">
            <v>청년</v>
          </cell>
          <cell r="J12" t="str">
            <v>정보ㆍ통신</v>
          </cell>
          <cell r="K12" t="str">
            <v>정보ㆍ통신5</v>
          </cell>
          <cell r="L12" t="str">
            <v>초기</v>
          </cell>
          <cell r="M12" t="str">
            <v>합격</v>
          </cell>
        </row>
        <row r="13">
          <cell r="B13">
            <v>20424839</v>
          </cell>
          <cell r="C13" t="str">
            <v>이경원</v>
          </cell>
          <cell r="D13" t="str">
            <v>angela605@naver.com</v>
          </cell>
          <cell r="F13" t="str">
            <v>옷장 속 미술관 : 입는 예술, 글로벌 아트웨어 브랜드 사업화</v>
          </cell>
          <cell r="G13" t="str">
            <v>지역기반</v>
          </cell>
          <cell r="H13" t="str">
            <v>면제</v>
          </cell>
          <cell r="I13" t="str">
            <v>청년</v>
          </cell>
          <cell r="J13" t="str">
            <v>화공ㆍ섬유</v>
          </cell>
          <cell r="K13" t="str">
            <v>화공ㆍ섬유</v>
          </cell>
          <cell r="L13" t="str">
            <v>초기</v>
          </cell>
          <cell r="M13" t="str">
            <v>합격</v>
          </cell>
        </row>
        <row r="14">
          <cell r="B14">
            <v>20419388</v>
          </cell>
          <cell r="C14" t="str">
            <v>이명진</v>
          </cell>
          <cell r="D14" t="str">
            <v>hongagun@gmail.com</v>
          </cell>
          <cell r="F14" t="str">
            <v>AI 기반 업사이클 주얼리 소재 품질관리(SQMS) 및 플랫폼 구축</v>
          </cell>
          <cell r="G14" t="str">
            <v>지역기반</v>
          </cell>
          <cell r="H14" t="str">
            <v>면제</v>
          </cell>
          <cell r="I14" t="str">
            <v>중장년</v>
          </cell>
          <cell r="J14" t="str">
            <v>공예ㆍ디자인</v>
          </cell>
          <cell r="K14" t="str">
            <v>공예ㆍ디자인</v>
          </cell>
          <cell r="L14" t="str">
            <v>초기</v>
          </cell>
          <cell r="M14" t="str">
            <v>합격</v>
          </cell>
        </row>
        <row r="15">
          <cell r="B15">
            <v>20425817</v>
          </cell>
          <cell r="C15" t="str">
            <v>이종근</v>
          </cell>
          <cell r="D15" t="str">
            <v>jk.lee@mpnx.net</v>
          </cell>
          <cell r="F15" t="str">
            <v>글로벌 IP 라이선싱 및 이를 위한 특허 침해 분석 AI 플랫폼</v>
          </cell>
          <cell r="G15" t="str">
            <v>지역기반</v>
          </cell>
          <cell r="H15" t="str">
            <v>면제</v>
          </cell>
          <cell r="I15" t="str">
            <v>중장년</v>
          </cell>
          <cell r="J15" t="str">
            <v>전기ㆍ전자</v>
          </cell>
          <cell r="K15" t="str">
            <v>전기ㆍ전자</v>
          </cell>
          <cell r="L15" t="str">
            <v>초기</v>
          </cell>
          <cell r="M15" t="str">
            <v>합격</v>
          </cell>
          <cell r="N15" t="str">
            <v>22일 10시 50분으로 진행 필요</v>
          </cell>
        </row>
        <row r="16">
          <cell r="B16">
            <v>20426937</v>
          </cell>
          <cell r="C16" t="str">
            <v>이성수</v>
          </cell>
          <cell r="D16" t="str">
            <v>ceo@ayinno.com</v>
          </cell>
          <cell r="F16" t="str">
            <v>차량 CAN 통신의 해킹 감지 및 차단을 위한 온디바이스 AI NPU 반도체</v>
          </cell>
          <cell r="G16" t="str">
            <v>지역기반</v>
          </cell>
          <cell r="H16" t="str">
            <v>면제</v>
          </cell>
          <cell r="I16" t="str">
            <v>중장년</v>
          </cell>
          <cell r="J16" t="str">
            <v>전기ㆍ전자</v>
          </cell>
          <cell r="K16" t="str">
            <v>전기ㆍ전자</v>
          </cell>
          <cell r="L16" t="str">
            <v>도약</v>
          </cell>
          <cell r="M16" t="str">
            <v>합격</v>
          </cell>
        </row>
        <row r="17">
          <cell r="B17">
            <v>20428258</v>
          </cell>
          <cell r="C17" t="str">
            <v>이정현</v>
          </cell>
          <cell r="D17" t="str">
            <v>ehrja11@naver.com</v>
          </cell>
          <cell r="F17" t="str">
            <v>친환경 원천 소재 기술 기반의 제로 웨이스트 브랜드 고도화 솔루션</v>
          </cell>
          <cell r="G17" t="str">
            <v>지역기반</v>
          </cell>
          <cell r="H17" t="str">
            <v>면제</v>
          </cell>
          <cell r="I17" t="str">
            <v>청년</v>
          </cell>
          <cell r="J17" t="str">
            <v>화공ㆍ섬유</v>
          </cell>
          <cell r="K17" t="str">
            <v>화공ㆍ섬유</v>
          </cell>
          <cell r="L17" t="str">
            <v>초기</v>
          </cell>
          <cell r="M17" t="str">
            <v>합격</v>
          </cell>
        </row>
        <row r="18">
          <cell r="B18">
            <v>20428574</v>
          </cell>
          <cell r="C18" t="str">
            <v>최승천</v>
          </cell>
          <cell r="D18" t="str">
            <v>seungchoun.choi@amously.ai</v>
          </cell>
          <cell r="F18" t="str">
            <v>디지털 트윈 기반 반도체 제조 자동화 플랫폼 앰피비언</v>
          </cell>
          <cell r="G18" t="str">
            <v>지역기반</v>
          </cell>
          <cell r="H18" t="str">
            <v>면제</v>
          </cell>
          <cell r="I18" t="str">
            <v>중장년</v>
          </cell>
          <cell r="J18" t="str">
            <v>전기ㆍ전자</v>
          </cell>
          <cell r="K18" t="str">
            <v>전기ㆍ전자</v>
          </cell>
          <cell r="L18" t="str">
            <v>초기</v>
          </cell>
          <cell r="M18" t="str">
            <v>합격</v>
          </cell>
        </row>
        <row r="19">
          <cell r="B19">
            <v>20427563</v>
          </cell>
          <cell r="C19" t="str">
            <v>김성욱</v>
          </cell>
          <cell r="D19" t="str">
            <v>drainfilter14@gmail.com</v>
          </cell>
          <cell r="F19" t="str">
            <v>기후위기 재해예방 대응형 지하주차장 침수예방 무동력 배수 필터</v>
          </cell>
          <cell r="G19" t="str">
            <v>지역기반</v>
          </cell>
          <cell r="H19" t="str">
            <v>면제</v>
          </cell>
          <cell r="I19" t="str">
            <v>중장년</v>
          </cell>
          <cell r="J19" t="str">
            <v>기계ㆍ소재</v>
          </cell>
          <cell r="K19" t="str">
            <v>기계ㆍ소재</v>
          </cell>
          <cell r="L19" t="str">
            <v>초기</v>
          </cell>
          <cell r="M19" t="str">
            <v>합격</v>
          </cell>
        </row>
        <row r="20">
          <cell r="B20">
            <v>20430125</v>
          </cell>
          <cell r="C20" t="str">
            <v>이진식</v>
          </cell>
          <cell r="D20" t="str">
            <v>js@mobilio.io</v>
          </cell>
          <cell r="F20" t="str">
            <v>NavigateX-V:사족보행로봇 기반 비접촉 모션 증폭 진동 진단 솔루션</v>
          </cell>
          <cell r="G20" t="str">
            <v>지역기반</v>
          </cell>
          <cell r="H20" t="str">
            <v>면제</v>
          </cell>
          <cell r="I20" t="str">
            <v>중장년</v>
          </cell>
          <cell r="J20" t="str">
            <v>정보ㆍ통신</v>
          </cell>
          <cell r="K20" t="str">
            <v>정보ㆍ통신4</v>
          </cell>
          <cell r="L20" t="str">
            <v>도약</v>
          </cell>
          <cell r="M20" t="str">
            <v>합격</v>
          </cell>
        </row>
        <row r="21">
          <cell r="B21">
            <v>20430589</v>
          </cell>
          <cell r="C21" t="str">
            <v>윤대원</v>
          </cell>
          <cell r="D21" t="str">
            <v>elliotyun96@snu.ac.kr</v>
          </cell>
          <cell r="F21" t="str">
            <v>Lymo &amp; Lymo AI</v>
          </cell>
          <cell r="G21" t="str">
            <v>지역기반</v>
          </cell>
          <cell r="H21" t="str">
            <v>면제</v>
          </cell>
          <cell r="I21" t="str">
            <v>청년</v>
          </cell>
          <cell r="J21" t="str">
            <v>전기ㆍ전자</v>
          </cell>
          <cell r="K21" t="str">
            <v>전기ㆍ전자</v>
          </cell>
          <cell r="L21" t="str">
            <v>초기</v>
          </cell>
          <cell r="M21" t="str">
            <v>합격</v>
          </cell>
        </row>
        <row r="22">
          <cell r="B22">
            <v>20431973</v>
          </cell>
          <cell r="C22" t="str">
            <v>길민선</v>
          </cell>
          <cell r="D22" t="str">
            <v>minseon413@gmail.com</v>
          </cell>
          <cell r="F22" t="str">
            <v>AI 기반 자율 결재·협업 엔진이 적용된 워크플로우 자동화 1인기업·소규모팀 SaaS</v>
          </cell>
          <cell r="G22" t="str">
            <v>지역기반</v>
          </cell>
          <cell r="H22" t="str">
            <v>면제</v>
          </cell>
          <cell r="I22" t="str">
            <v>청년</v>
          </cell>
          <cell r="J22" t="str">
            <v>정보ㆍ통신</v>
          </cell>
          <cell r="K22" t="str">
            <v>정보ㆍ통신4</v>
          </cell>
          <cell r="L22" t="str">
            <v>예비</v>
          </cell>
          <cell r="M22" t="str">
            <v>합격</v>
          </cell>
        </row>
        <row r="23">
          <cell r="B23">
            <v>20424544</v>
          </cell>
          <cell r="C23" t="str">
            <v>주태경</v>
          </cell>
          <cell r="D23" t="str">
            <v>jutaes7@naver.com</v>
          </cell>
          <cell r="F23" t="str">
            <v>시제품 고도화 및 세일즈 콘텐츠 개선을 통한 K-패션 수출 경쟁력 강화 사업</v>
          </cell>
          <cell r="G23" t="str">
            <v>지역기반</v>
          </cell>
          <cell r="H23" t="str">
            <v>면제</v>
          </cell>
          <cell r="I23" t="str">
            <v>중장년</v>
          </cell>
          <cell r="J23" t="str">
            <v>공예ㆍ디자인</v>
          </cell>
          <cell r="K23" t="str">
            <v>공예ㆍ디자인</v>
          </cell>
          <cell r="L23" t="str">
            <v>도약</v>
          </cell>
          <cell r="M23" t="str">
            <v>합격</v>
          </cell>
        </row>
        <row r="24">
          <cell r="B24">
            <v>20425527</v>
          </cell>
          <cell r="C24" t="str">
            <v>황정은</v>
          </cell>
          <cell r="D24" t="str">
            <v>family556@naver.com</v>
          </cell>
          <cell r="F24" t="str">
            <v>체형 맞춤 기능을 적용한 반려견용 모듈형 하네스</v>
          </cell>
          <cell r="G24" t="str">
            <v>지역기반</v>
          </cell>
          <cell r="H24" t="str">
            <v>면제</v>
          </cell>
          <cell r="I24" t="str">
            <v>청년</v>
          </cell>
          <cell r="J24" t="str">
            <v>공예ㆍ디자인</v>
          </cell>
          <cell r="K24" t="str">
            <v>공예ㆍ디자인</v>
          </cell>
          <cell r="L24" t="str">
            <v>도약</v>
          </cell>
          <cell r="M24" t="str">
            <v>합격</v>
          </cell>
        </row>
        <row r="25">
          <cell r="B25">
            <v>20416502</v>
          </cell>
          <cell r="C25" t="str">
            <v>이상근</v>
          </cell>
          <cell r="D25" t="str">
            <v>sklee@mediiot.co.kr</v>
          </cell>
          <cell r="F25" t="str">
            <v>PBM(Photo-Bio-Modulation) 기반 안질환 치료기기 및 디지털 플랫폼 ‘MEDI-EYE’ 개발 및 사업화</v>
          </cell>
          <cell r="G25" t="str">
            <v>지역기반</v>
          </cell>
          <cell r="H25" t="str">
            <v>면제</v>
          </cell>
          <cell r="I25" t="str">
            <v>중장년</v>
          </cell>
          <cell r="J25" t="str">
            <v>바이오ㆍ의료ㆍ생명</v>
          </cell>
          <cell r="K25" t="str">
            <v>바이오ㆍ의료ㆍ생명2</v>
          </cell>
          <cell r="L25" t="str">
            <v>도약</v>
          </cell>
          <cell r="M25" t="str">
            <v>합격</v>
          </cell>
        </row>
        <row r="26">
          <cell r="B26">
            <v>20418609</v>
          </cell>
          <cell r="C26" t="str">
            <v>이상헌</v>
          </cell>
          <cell r="D26" t="str">
            <v>spinelee@gmail.com</v>
          </cell>
          <cell r="F26" t="str">
            <v>웹기반 임상결정보조 AI솔루션 개발용 R&amp;D 자동화 서비스 개발</v>
          </cell>
          <cell r="G26" t="str">
            <v>지역기반</v>
          </cell>
          <cell r="H26" t="str">
            <v>면제</v>
          </cell>
          <cell r="I26" t="str">
            <v>중장년</v>
          </cell>
          <cell r="J26" t="str">
            <v>바이오ㆍ의료ㆍ생명</v>
          </cell>
          <cell r="K26" t="str">
            <v>바이오ㆍ의료ㆍ생명1</v>
          </cell>
          <cell r="L26" t="str">
            <v>도약</v>
          </cell>
          <cell r="M26" t="str">
            <v>합격</v>
          </cell>
        </row>
        <row r="27">
          <cell r="B27">
            <v>20404406</v>
          </cell>
          <cell r="C27" t="str">
            <v>김진혁</v>
          </cell>
          <cell r="D27" t="str">
            <v>swpmt0705@naver.com</v>
          </cell>
          <cell r="F27" t="str">
            <v>무기계 항균 인서트 기술이 적용된 위생 수납 기능의   재생 플라스틱 기반 항균 위생 수납 모듈 제품</v>
          </cell>
          <cell r="G27" t="str">
            <v>지역기반</v>
          </cell>
          <cell r="H27" t="str">
            <v>면제</v>
          </cell>
          <cell r="I27" t="str">
            <v>중장년</v>
          </cell>
          <cell r="J27" t="str">
            <v>에너지ㆍ자원</v>
          </cell>
          <cell r="K27" t="str">
            <v>에너지ㆍ자원</v>
          </cell>
          <cell r="L27" t="str">
            <v>도약</v>
          </cell>
          <cell r="M27" t="str">
            <v>합격</v>
          </cell>
        </row>
        <row r="28">
          <cell r="B28">
            <v>20428674</v>
          </cell>
          <cell r="C28" t="str">
            <v>박성준</v>
          </cell>
          <cell r="D28" t="str">
            <v>sungjunepark@skku.edu</v>
          </cell>
          <cell r="E28" t="str">
            <v>잠재력 확인 팀</v>
          </cell>
          <cell r="F28" t="str">
            <v>AI 데이터센터 고발열 대응을 위한 액체냉각용 고방열 냉각유체 개발 및 사업화</v>
          </cell>
          <cell r="G28" t="str">
            <v>대학발</v>
          </cell>
          <cell r="I28" t="str">
            <v>중장년</v>
          </cell>
          <cell r="J28" t="str">
            <v>기계ㆍ소재</v>
          </cell>
          <cell r="K28" t="str">
            <v>기계ㆍ소재</v>
          </cell>
          <cell r="L28" t="str">
            <v>도약</v>
          </cell>
          <cell r="M28" t="str">
            <v>합격</v>
          </cell>
        </row>
        <row r="29">
          <cell r="B29">
            <v>20429923</v>
          </cell>
          <cell r="C29" t="str">
            <v>고현웅</v>
          </cell>
          <cell r="D29" t="str">
            <v>jozoe@holamago.com</v>
          </cell>
          <cell r="E29" t="str">
            <v>투자파트발굴/교원</v>
          </cell>
          <cell r="F29" t="str">
            <v>오디온: 고객의 감정까지 이해하는 엔터프라이즈 음성 API</v>
          </cell>
          <cell r="G29" t="str">
            <v>지역기반</v>
          </cell>
          <cell r="I29" t="str">
            <v>청년</v>
          </cell>
          <cell r="J29" t="str">
            <v>전기ㆍ전자</v>
          </cell>
          <cell r="K29" t="str">
            <v>전기ㆍ전자</v>
          </cell>
          <cell r="L29" t="str">
            <v>도약</v>
          </cell>
          <cell r="M29" t="str">
            <v>합격</v>
          </cell>
        </row>
        <row r="30">
          <cell r="B30">
            <v>20424483</v>
          </cell>
          <cell r="C30" t="str">
            <v>윤태균</v>
          </cell>
          <cell r="D30" t="str">
            <v>dbsxorbssla@naver.com</v>
          </cell>
          <cell r="E30" t="str">
            <v>투자파트발굴</v>
          </cell>
          <cell r="F30" t="str">
            <v>직업 문화를 경험하는 콘텐츠 기반 향 브랜드 : marei studio</v>
          </cell>
          <cell r="G30" t="str">
            <v>지역기반</v>
          </cell>
          <cell r="I30" t="str">
            <v>청년</v>
          </cell>
          <cell r="J30" t="str">
            <v>공예ㆍ디자인</v>
          </cell>
          <cell r="K30" t="str">
            <v>공예ㆍ디자인</v>
          </cell>
          <cell r="L30" t="str">
            <v>초기</v>
          </cell>
          <cell r="M30" t="str">
            <v>합격</v>
          </cell>
        </row>
        <row r="31">
          <cell r="B31">
            <v>20430098</v>
          </cell>
          <cell r="C31" t="str">
            <v>김민중</v>
          </cell>
          <cell r="D31" t="str">
            <v>joongrroo@gmail.com</v>
          </cell>
          <cell r="F31" t="str">
            <v>고주파 스위칭 노이즈 및 누설전류 저감 알고리즘이 적용된 차세대 에너지 인버터</v>
          </cell>
          <cell r="G31" t="str">
            <v>지역기반</v>
          </cell>
          <cell r="I31" t="str">
            <v>중장년</v>
          </cell>
          <cell r="J31" t="str">
            <v>전기ㆍ전자</v>
          </cell>
          <cell r="K31" t="str">
            <v>전기ㆍ전자</v>
          </cell>
          <cell r="L31" t="str">
            <v>도약</v>
          </cell>
          <cell r="M31" t="str">
            <v>합격</v>
          </cell>
        </row>
        <row r="32">
          <cell r="B32">
            <v>20417596</v>
          </cell>
          <cell r="C32" t="str">
            <v>전일</v>
          </cell>
          <cell r="D32" t="str">
            <v>il.jeon@spc.oxon.org</v>
          </cell>
          <cell r="E32" t="str">
            <v>전임교원</v>
          </cell>
          <cell r="F32" t="str">
            <v>차세대 600W급 반도체 EUV 노광 공정용 고투과 친환경 펠리클</v>
          </cell>
          <cell r="G32" t="str">
            <v>대학발</v>
          </cell>
          <cell r="I32" t="str">
            <v>중장년</v>
          </cell>
          <cell r="J32" t="str">
            <v>기계ㆍ소재</v>
          </cell>
          <cell r="K32" t="str">
            <v>기계ㆍ소재</v>
          </cell>
          <cell r="L32" t="str">
            <v>초기</v>
          </cell>
          <cell r="M32" t="str">
            <v>합격</v>
          </cell>
        </row>
        <row r="33">
          <cell r="B33">
            <v>20428259</v>
          </cell>
          <cell r="C33" t="str">
            <v>박민준</v>
          </cell>
          <cell r="D33" t="str">
            <v>minjunp3@gmail.com</v>
          </cell>
          <cell r="F33" t="str">
            <v>OntoNode (온토노드)</v>
          </cell>
          <cell r="G33" t="str">
            <v>지역기반</v>
          </cell>
          <cell r="I33" t="str">
            <v>청년</v>
          </cell>
          <cell r="J33" t="str">
            <v>정보ㆍ통신</v>
          </cell>
          <cell r="K33" t="str">
            <v>정보ㆍ통신4</v>
          </cell>
          <cell r="L33" t="str">
            <v>예비</v>
          </cell>
          <cell r="M33" t="str">
            <v>합격</v>
          </cell>
        </row>
        <row r="34">
          <cell r="B34">
            <v>20428596</v>
          </cell>
          <cell r="C34" t="str">
            <v>변유한</v>
          </cell>
          <cell r="D34" t="str">
            <v>uhani0115@gmail.com</v>
          </cell>
          <cell r="F34" t="str">
            <v>오프라인 체험 사업자를 위한 AI기반 친구초대 방식의 모객자동화 SaaS</v>
          </cell>
          <cell r="G34" t="str">
            <v>지역기반</v>
          </cell>
          <cell r="I34" t="str">
            <v>청년</v>
          </cell>
          <cell r="J34" t="str">
            <v>정보ㆍ통신</v>
          </cell>
          <cell r="K34" t="str">
            <v>정보ㆍ통신2</v>
          </cell>
          <cell r="L34" t="str">
            <v>예비</v>
          </cell>
          <cell r="M34" t="str">
            <v>합격</v>
          </cell>
          <cell r="N34" t="str">
            <v>21일 발표 희망</v>
          </cell>
        </row>
        <row r="35">
          <cell r="B35">
            <v>20429808</v>
          </cell>
          <cell r="C35" t="str">
            <v>정웅택</v>
          </cell>
          <cell r="D35" t="str">
            <v>dndxor1222@naver.com</v>
          </cell>
          <cell r="E35" t="str">
            <v>(후속)청년창업사관학교추천</v>
          </cell>
          <cell r="F35" t="str">
            <v>시니어 케어 맞춤형 이동지원(모빌리티) 서비스 ‘동행택시’ (규제샌드박스 기반 ICT 혁신 서비스)</v>
          </cell>
          <cell r="G35" t="str">
            <v>지역기반</v>
          </cell>
          <cell r="I35" t="str">
            <v>청년</v>
          </cell>
          <cell r="J35" t="str">
            <v>정보ㆍ통신</v>
          </cell>
          <cell r="K35" t="str">
            <v>정보ㆍ통신2</v>
          </cell>
          <cell r="L35" t="str">
            <v>초기</v>
          </cell>
          <cell r="M35" t="str">
            <v>합격</v>
          </cell>
        </row>
        <row r="36">
          <cell r="B36">
            <v>20429982</v>
          </cell>
          <cell r="C36" t="str">
            <v>이은지</v>
          </cell>
          <cell r="D36" t="str">
            <v>ricepapa@naver.com</v>
          </cell>
          <cell r="E36" t="str">
            <v>잠재력 확인 팀</v>
          </cell>
          <cell r="F36" t="str">
            <v>AI기반 글로벌 배우 콘텐츠형 1:1 한국어 교육플랫폼</v>
          </cell>
          <cell r="G36" t="str">
            <v>지역기반</v>
          </cell>
          <cell r="I36" t="str">
            <v>청년</v>
          </cell>
          <cell r="J36" t="str">
            <v>정보ㆍ통신</v>
          </cell>
          <cell r="K36" t="str">
            <v>정보ㆍ통신2</v>
          </cell>
          <cell r="L36" t="str">
            <v>도약</v>
          </cell>
          <cell r="M36" t="str">
            <v>합격</v>
          </cell>
        </row>
        <row r="37">
          <cell r="B37">
            <v>20404954</v>
          </cell>
          <cell r="C37" t="str">
            <v>이승민</v>
          </cell>
          <cell r="D37" t="str">
            <v>smlee27@kookmin.ac.kr</v>
          </cell>
          <cell r="F37" t="str">
            <v>압력파(Shock wave)를 이용한 석회화 혈관 중재시술용 IVL (Intravascular Lithotripsy) 시스템 시제품 개발</v>
          </cell>
          <cell r="G37" t="str">
            <v>실험실</v>
          </cell>
          <cell r="I37" t="str">
            <v>중장년</v>
          </cell>
          <cell r="J37" t="str">
            <v>바이오ㆍ의료ㆍ생명</v>
          </cell>
          <cell r="K37" t="str">
            <v>바이오ㆍ의료ㆍ생명2</v>
          </cell>
          <cell r="L37" t="str">
            <v>초기</v>
          </cell>
          <cell r="M37" t="str">
            <v>합격</v>
          </cell>
        </row>
        <row r="38">
          <cell r="B38">
            <v>20409229</v>
          </cell>
          <cell r="C38" t="str">
            <v>박준호</v>
          </cell>
          <cell r="E38" t="str">
            <v>창업기업미해당</v>
          </cell>
        </row>
        <row r="39">
          <cell r="B39">
            <v>20414883</v>
          </cell>
          <cell r="C39" t="str">
            <v>윤상민</v>
          </cell>
          <cell r="D39" t="str">
            <v>kode24@kode24.co.kr</v>
          </cell>
          <cell r="E39" t="str">
            <v>매출실적우수</v>
          </cell>
          <cell r="F39" t="str">
            <v>A.I.기술 기반 몸캠피싱 영상 유포방지 솔루션</v>
          </cell>
          <cell r="G39" t="str">
            <v>지역기반</v>
          </cell>
          <cell r="I39" t="str">
            <v>청년</v>
          </cell>
          <cell r="J39" t="str">
            <v>정보ㆍ통신</v>
          </cell>
          <cell r="K39" t="str">
            <v>정보ㆍ통신3</v>
          </cell>
          <cell r="L39" t="str">
            <v>초기</v>
          </cell>
          <cell r="M39" t="str">
            <v>합격</v>
          </cell>
        </row>
        <row r="40">
          <cell r="B40">
            <v>20413111</v>
          </cell>
          <cell r="C40" t="str">
            <v>안지인</v>
          </cell>
          <cell r="D40" t="str">
            <v>obingfn@naver.com</v>
          </cell>
          <cell r="F40" t="str">
            <v>건설현장 컨테이너용 ‘재사용 가능한 모듈 칸막이 Easy-Wall’ 제품화 및 사업화</v>
          </cell>
          <cell r="G40" t="str">
            <v>지역기반</v>
          </cell>
          <cell r="I40" t="str">
            <v>청년</v>
          </cell>
          <cell r="J40" t="str">
            <v>기계ㆍ소재</v>
          </cell>
          <cell r="K40" t="str">
            <v>기계ㆍ소재</v>
          </cell>
          <cell r="L40" t="str">
            <v>초기</v>
          </cell>
          <cell r="M40" t="str">
            <v>합격</v>
          </cell>
        </row>
        <row r="41">
          <cell r="B41">
            <v>20422710</v>
          </cell>
          <cell r="C41" t="str">
            <v>유봉현</v>
          </cell>
          <cell r="D41" t="str">
            <v>yubong1@gmail.com</v>
          </cell>
          <cell r="F41" t="str">
            <v>고화질 OLED 폴더블 디스플레이용 그라파이트 고열전도, 고탄성 방열소재 개발</v>
          </cell>
          <cell r="G41" t="str">
            <v>지역기반</v>
          </cell>
          <cell r="I41" t="str">
            <v>중장년</v>
          </cell>
          <cell r="J41" t="str">
            <v>기계ㆍ소재</v>
          </cell>
          <cell r="K41" t="str">
            <v>기계ㆍ소재</v>
          </cell>
          <cell r="L41" t="str">
            <v>초기</v>
          </cell>
          <cell r="M41" t="str">
            <v>합격</v>
          </cell>
        </row>
        <row r="42">
          <cell r="B42">
            <v>20428934</v>
          </cell>
          <cell r="C42" t="str">
            <v>이원택</v>
          </cell>
          <cell r="D42" t="str">
            <v>business@bluewelltech.com</v>
          </cell>
          <cell r="F42" t="str">
            <v>기 구축된 초광역 교통 인프라 연계형 AI 도로  매니지먼트 서비스:  ROAD SCAN</v>
          </cell>
          <cell r="G42" t="str">
            <v>지역기반</v>
          </cell>
          <cell r="I42" t="str">
            <v>청년</v>
          </cell>
          <cell r="J42" t="str">
            <v>정보ㆍ통신</v>
          </cell>
          <cell r="K42" t="str">
            <v>정보ㆍ통신6</v>
          </cell>
          <cell r="L42" t="str">
            <v>초기</v>
          </cell>
          <cell r="M42" t="str">
            <v>합격</v>
          </cell>
        </row>
        <row r="43">
          <cell r="B43">
            <v>20430270</v>
          </cell>
          <cell r="C43" t="str">
            <v>백종욱</v>
          </cell>
          <cell r="D43" t="str">
            <v>paik3123@naver.com</v>
          </cell>
          <cell r="F43" t="str">
            <v>멀티모달 AI 기반 글로벌 캐스팅 매칭 플랫폼 'CASTLINK'</v>
          </cell>
          <cell r="G43" t="str">
            <v>지역기반</v>
          </cell>
          <cell r="I43" t="str">
            <v>중장년</v>
          </cell>
          <cell r="J43" t="str">
            <v>정보ㆍ통신</v>
          </cell>
          <cell r="K43" t="str">
            <v>정보ㆍ통신2</v>
          </cell>
          <cell r="L43" t="str">
            <v>도약</v>
          </cell>
          <cell r="M43" t="str">
            <v>합격</v>
          </cell>
        </row>
        <row r="44">
          <cell r="B44">
            <v>20439651</v>
          </cell>
          <cell r="C44" t="str">
            <v>박장호</v>
          </cell>
          <cell r="D44" t="str">
            <v>janghopark.1814@gmail.com</v>
          </cell>
          <cell r="E44" t="str">
            <v>전임교원</v>
          </cell>
          <cell r="F44" t="str">
            <v>AI 기반 광고 예산 배분 및 시나리오 의사결정 소프트웨어</v>
          </cell>
          <cell r="G44" t="str">
            <v>대학발</v>
          </cell>
          <cell r="I44" t="str">
            <v>중장년</v>
          </cell>
          <cell r="J44" t="str">
            <v>전기ㆍ전자</v>
          </cell>
          <cell r="K44" t="str">
            <v>전기ㆍ전자</v>
          </cell>
          <cell r="L44" t="str">
            <v>예비</v>
          </cell>
          <cell r="M44" t="str">
            <v>합격</v>
          </cell>
        </row>
        <row r="45">
          <cell r="B45">
            <v>20419189</v>
          </cell>
          <cell r="C45" t="str">
            <v>권오석</v>
          </cell>
          <cell r="D45" t="str">
            <v>oskwon79@skku.edu</v>
          </cell>
          <cell r="E45" t="str">
            <v>전임교원</v>
          </cell>
          <cell r="F45" t="str">
            <v>유전자 치료제 mRNA 1L (0.1g/mL) 대용량 양산 장비 개발</v>
          </cell>
          <cell r="G45" t="str">
            <v>실험실</v>
          </cell>
          <cell r="I45" t="str">
            <v>중장년</v>
          </cell>
          <cell r="J45" t="str">
            <v>바이오ㆍ의료ㆍ생명</v>
          </cell>
          <cell r="K45" t="str">
            <v>바이오ㆍ의료ㆍ생명2</v>
          </cell>
          <cell r="L45" t="str">
            <v>초기</v>
          </cell>
          <cell r="M45" t="str">
            <v>합격</v>
          </cell>
          <cell r="N45" t="str">
            <v>21일 혹은 22일 오후 희망</v>
          </cell>
        </row>
        <row r="46">
          <cell r="B46">
            <v>20403700</v>
          </cell>
          <cell r="C46" t="str">
            <v>강연구</v>
          </cell>
          <cell r="D46" t="str">
            <v>hsmroof@naver.com</v>
          </cell>
          <cell r="F46" t="str">
            <v>왓퀴즈AI</v>
          </cell>
          <cell r="G46" t="str">
            <v>대학발</v>
          </cell>
          <cell r="I46" t="str">
            <v>청년</v>
          </cell>
          <cell r="J46" t="str">
            <v>정보ㆍ통신</v>
          </cell>
          <cell r="K46" t="str">
            <v>정보ㆍ통신8</v>
          </cell>
          <cell r="L46" t="str">
            <v>초기</v>
          </cell>
          <cell r="M46" t="str">
            <v>합격</v>
          </cell>
        </row>
        <row r="47">
          <cell r="B47">
            <v>20416443</v>
          </cell>
          <cell r="C47" t="str">
            <v>김성진</v>
          </cell>
          <cell r="D47" t="str">
            <v>sungjinkim2019@naver.com</v>
          </cell>
          <cell r="F47" t="str">
            <v>고해상도 DFSR(Dry Film Solder Resist) 제조기술 개발</v>
          </cell>
          <cell r="G47" t="str">
            <v>지역기반</v>
          </cell>
          <cell r="I47" t="str">
            <v>중장년</v>
          </cell>
          <cell r="J47" t="str">
            <v>화공ㆍ섬유</v>
          </cell>
          <cell r="K47" t="str">
            <v>화공ㆍ섬유</v>
          </cell>
          <cell r="L47" t="str">
            <v>초기</v>
          </cell>
          <cell r="M47" t="str">
            <v>합격</v>
          </cell>
        </row>
        <row r="48">
          <cell r="B48">
            <v>20418175</v>
          </cell>
          <cell r="C48" t="str">
            <v>안세정</v>
          </cell>
          <cell r="D48" t="str">
            <v>rmawo0051@naver.com</v>
          </cell>
          <cell r="E48" t="str">
            <v>잠재력 확인 팀</v>
          </cell>
          <cell r="F48" t="str">
            <v>CNN·딥러닝 기반 온오프라인 AI 필적 검증 자동 분석 플랫폼</v>
          </cell>
          <cell r="G48" t="str">
            <v>지역기반</v>
          </cell>
          <cell r="I48" t="str">
            <v>청년</v>
          </cell>
          <cell r="J48" t="str">
            <v>정보ㆍ통신</v>
          </cell>
          <cell r="K48" t="str">
            <v>정보ㆍ통신1</v>
          </cell>
          <cell r="L48" t="str">
            <v>예비</v>
          </cell>
          <cell r="M48" t="str">
            <v>합격</v>
          </cell>
        </row>
        <row r="49">
          <cell r="B49">
            <v>20422010</v>
          </cell>
          <cell r="C49" t="str">
            <v>김예지</v>
          </cell>
          <cell r="D49" t="str">
            <v>dollpitoxic4@gmail.com</v>
          </cell>
          <cell r="F49" t="str">
            <v>요구사항 추적성 기반 변경영향 분석 엔진을 적용한  AI 웹·앱 기획 산출물 자동생성 SaaS 개발</v>
          </cell>
          <cell r="G49" t="str">
            <v>지역기반</v>
          </cell>
          <cell r="I49" t="str">
            <v>청년</v>
          </cell>
          <cell r="J49" t="str">
            <v>정보ㆍ통신</v>
          </cell>
          <cell r="K49" t="str">
            <v>정보ㆍ통신2</v>
          </cell>
          <cell r="L49" t="str">
            <v>도약</v>
          </cell>
          <cell r="M49" t="str">
            <v>합격</v>
          </cell>
        </row>
        <row r="50">
          <cell r="B50">
            <v>20416542</v>
          </cell>
          <cell r="C50" t="str">
            <v>박기호</v>
          </cell>
          <cell r="D50" t="str">
            <v>kentkiho@gmail.com</v>
          </cell>
          <cell r="F50" t="str">
            <v>브랜드 팝업 전략 의사결정 인프라 플랫폼 ‘더위클리’</v>
          </cell>
          <cell r="G50" t="str">
            <v>지역기반</v>
          </cell>
          <cell r="I50" t="str">
            <v>중장년</v>
          </cell>
          <cell r="J50" t="str">
            <v>공예ㆍ디자인</v>
          </cell>
          <cell r="K50" t="str">
            <v>공예ㆍ디자인</v>
          </cell>
          <cell r="L50" t="str">
            <v>도약</v>
          </cell>
          <cell r="M50" t="str">
            <v>합격</v>
          </cell>
        </row>
        <row r="51">
          <cell r="B51">
            <v>20419372</v>
          </cell>
          <cell r="C51" t="str">
            <v>김태희</v>
          </cell>
          <cell r="D51" t="str">
            <v>tido777@naver.com</v>
          </cell>
          <cell r="F51" t="str">
            <v xml:space="preserve">개인의 정서, 취향을 반영하여 재활용 PC로 만드는  휠체어 가드 주문 생산 기반 디지털 제조 전환(DX) 개발 </v>
          </cell>
          <cell r="G51" t="str">
            <v>지역기반</v>
          </cell>
          <cell r="I51" t="str">
            <v>중장년</v>
          </cell>
          <cell r="J51" t="str">
            <v>공예ㆍ디자인</v>
          </cell>
          <cell r="K51" t="str">
            <v>공예ㆍ디자인</v>
          </cell>
          <cell r="L51" t="str">
            <v>초기</v>
          </cell>
          <cell r="M51" t="str">
            <v>합격</v>
          </cell>
        </row>
        <row r="52">
          <cell r="B52">
            <v>20412766</v>
          </cell>
          <cell r="C52" t="str">
            <v>한경용</v>
          </cell>
          <cell r="D52" t="str">
            <v>a3410789@naver.com</v>
          </cell>
          <cell r="F52" t="str">
            <v>해양 모빌리티 안전 사각지대 해소를 위한 위험 예측 및 자율 조난 발신 통합 장치</v>
          </cell>
          <cell r="G52" t="str">
            <v>지역기반</v>
          </cell>
          <cell r="I52" t="str">
            <v>청년</v>
          </cell>
          <cell r="J52" t="str">
            <v>정보ㆍ통신</v>
          </cell>
          <cell r="K52" t="str">
            <v>정보ㆍ통신2</v>
          </cell>
          <cell r="L52" t="str">
            <v>예비</v>
          </cell>
          <cell r="M52" t="str">
            <v>합격</v>
          </cell>
        </row>
        <row r="53">
          <cell r="B53">
            <v>20414899</v>
          </cell>
          <cell r="C53" t="str">
            <v>김정훈</v>
          </cell>
          <cell r="D53" t="str">
            <v>alex.kim@tenacious.so</v>
          </cell>
          <cell r="E53" t="str">
            <v>잠재력 확인 팀</v>
          </cell>
          <cell r="F53" t="str">
            <v>AI 기반 기업 분석 인텔리전스 플랫폼, 스톡나우</v>
          </cell>
          <cell r="G53" t="str">
            <v>지역기반</v>
          </cell>
          <cell r="I53" t="str">
            <v>중장년</v>
          </cell>
          <cell r="J53" t="str">
            <v>정보ㆍ통신</v>
          </cell>
          <cell r="K53" t="str">
            <v>정보ㆍ통신2</v>
          </cell>
          <cell r="L53" t="str">
            <v>초기</v>
          </cell>
          <cell r="M53" t="str">
            <v>합격</v>
          </cell>
        </row>
        <row r="54">
          <cell r="B54">
            <v>20415837</v>
          </cell>
          <cell r="C54" t="str">
            <v>노건준</v>
          </cell>
          <cell r="D54" t="str">
            <v>shrjswns@g.skku.edu</v>
          </cell>
          <cell r="E54" t="str">
            <v>잠재력 확인 팀</v>
          </cell>
          <cell r="F54" t="str">
            <v>AI 에이전트 기술이 적용된 연구행정 통합 자동화 기능의 SaaS 서비스</v>
          </cell>
          <cell r="G54" t="str">
            <v>대학발</v>
          </cell>
          <cell r="I54" t="str">
            <v>청년</v>
          </cell>
          <cell r="J54" t="str">
            <v>정보ㆍ통신</v>
          </cell>
          <cell r="K54" t="str">
            <v>정보ㆍ통신8</v>
          </cell>
          <cell r="L54" t="str">
            <v>예비</v>
          </cell>
          <cell r="M54" t="str">
            <v>합격</v>
          </cell>
        </row>
        <row r="55">
          <cell r="B55">
            <v>20418623</v>
          </cell>
          <cell r="C55" t="str">
            <v>이성욱</v>
          </cell>
          <cell r="D55" t="str">
            <v>energy@kookmin.ac.kr</v>
          </cell>
          <cell r="F55" t="str">
            <v>2행정 엔진 기반 AI 지능형 제어 시스템</v>
          </cell>
          <cell r="G55" t="str">
            <v>실험실</v>
          </cell>
          <cell r="I55" t="str">
            <v>중장년</v>
          </cell>
          <cell r="J55" t="str">
            <v>전기ㆍ전자</v>
          </cell>
          <cell r="K55" t="str">
            <v>전기ㆍ전자</v>
          </cell>
          <cell r="L55" t="str">
            <v>초기</v>
          </cell>
          <cell r="M55" t="str">
            <v>합격</v>
          </cell>
        </row>
        <row r="56">
          <cell r="B56">
            <v>20418822</v>
          </cell>
          <cell r="C56" t="str">
            <v>이종민</v>
          </cell>
          <cell r="D56" t="str">
            <v>jongmin@neuroflow.co.kr</v>
          </cell>
          <cell r="F56" t="str">
            <v>중대재해처벌 예방을 위한 현장 데이터 기반 위험성평가표 자동 생성 솔루션</v>
          </cell>
          <cell r="G56" t="str">
            <v>지역기반</v>
          </cell>
          <cell r="I56" t="str">
            <v>청년</v>
          </cell>
          <cell r="J56" t="str">
            <v>정보ㆍ통신</v>
          </cell>
          <cell r="K56" t="str">
            <v>정보ㆍ통신4</v>
          </cell>
          <cell r="L56" t="str">
            <v>초기</v>
          </cell>
          <cell r="M56" t="str">
            <v>합격</v>
          </cell>
        </row>
        <row r="57">
          <cell r="B57">
            <v>20425711</v>
          </cell>
          <cell r="C57" t="str">
            <v>김주연</v>
          </cell>
          <cell r="D57" t="str">
            <v>judy7113@naver.com</v>
          </cell>
          <cell r="F57" t="str">
            <v>한국 전통공예 장인과 글로벌 브랜드 매칭 기반 AI 생산 네트워크 플랫폼</v>
          </cell>
          <cell r="G57" t="str">
            <v>지역기반</v>
          </cell>
          <cell r="I57" t="str">
            <v>청년</v>
          </cell>
          <cell r="J57" t="str">
            <v>정보ㆍ통신</v>
          </cell>
          <cell r="K57" t="str">
            <v>정보ㆍ통신4</v>
          </cell>
          <cell r="L57" t="str">
            <v>예비</v>
          </cell>
          <cell r="M57" t="str">
            <v>합격</v>
          </cell>
        </row>
        <row r="58">
          <cell r="B58">
            <v>20427103</v>
          </cell>
          <cell r="C58" t="str">
            <v>이창욱</v>
          </cell>
          <cell r="D58" t="str">
            <v>busi****@flexti.ai</v>
          </cell>
          <cell r="F58" t="str">
            <v>중소형 숙박업소를 위한 실시간 공실 유통 플랫폼</v>
          </cell>
          <cell r="G58" t="str">
            <v>지역기반</v>
          </cell>
          <cell r="I58" t="str">
            <v>중장년</v>
          </cell>
          <cell r="J58" t="str">
            <v>정보ㆍ통신</v>
          </cell>
          <cell r="K58" t="str">
            <v>정보ㆍ통신4</v>
          </cell>
          <cell r="L58" t="str">
            <v>초기</v>
          </cell>
          <cell r="M58" t="str">
            <v>합격</v>
          </cell>
        </row>
        <row r="59">
          <cell r="B59">
            <v>20428037</v>
          </cell>
          <cell r="C59" t="str">
            <v>이원형</v>
          </cell>
          <cell r="D59" t="str">
            <v>lwhbb@naver.com</v>
          </cell>
          <cell r="F59" t="str">
            <v>LLM 기반 자연어 질의 처리 및 제품 스펙 매칭·가격예측 AI 엔진을 적용한 차세대 IT 커머스 플랫폼 ‘IT산다(ITsanda)’</v>
          </cell>
          <cell r="G59" t="str">
            <v>지역기반</v>
          </cell>
          <cell r="I59" t="str">
            <v>중장년</v>
          </cell>
          <cell r="J59" t="str">
            <v>정보ㆍ통신</v>
          </cell>
          <cell r="K59" t="str">
            <v>정보ㆍ통신2</v>
          </cell>
          <cell r="L59" t="str">
            <v>초기</v>
          </cell>
          <cell r="M59" t="str">
            <v>합격</v>
          </cell>
        </row>
        <row r="60">
          <cell r="B60">
            <v>20429144</v>
          </cell>
          <cell r="C60" t="str">
            <v>이현민</v>
          </cell>
          <cell r="D60" t="str">
            <v>dlgusals715@naver.com</v>
          </cell>
          <cell r="E60" t="str">
            <v>매출실적우수</v>
          </cell>
          <cell r="F60" t="str">
            <v>AI 기반 글로벌 콘텐츠 자동 생성 및 배포 SaaS 플랫폼 ‘피드글로브’</v>
          </cell>
          <cell r="G60" t="str">
            <v>지역기반</v>
          </cell>
          <cell r="I60" t="str">
            <v>청년</v>
          </cell>
          <cell r="J60" t="str">
            <v>정보ㆍ통신</v>
          </cell>
          <cell r="K60" t="str">
            <v>정보ㆍ통신4</v>
          </cell>
          <cell r="L60" t="str">
            <v>도약</v>
          </cell>
          <cell r="M60" t="str">
            <v>합격</v>
          </cell>
        </row>
        <row r="61">
          <cell r="B61">
            <v>20429214</v>
          </cell>
          <cell r="C61" t="str">
            <v>김영진</v>
          </cell>
          <cell r="D61" t="str">
            <v>ehfuse@gmail.com</v>
          </cell>
          <cell r="F61" t="str">
            <v>차세대 해운 업무 OS : 대화형 AI와 글로벌 항로 데이터를 결합한 통합 의사결정 플랫폼</v>
          </cell>
          <cell r="G61" t="str">
            <v>대학발</v>
          </cell>
          <cell r="I61" t="str">
            <v>중장년</v>
          </cell>
          <cell r="J61" t="str">
            <v>정보ㆍ통신</v>
          </cell>
          <cell r="K61" t="str">
            <v>정보ㆍ통신8</v>
          </cell>
          <cell r="L61" t="str">
            <v>초기</v>
          </cell>
          <cell r="M61" t="str">
            <v>합격</v>
          </cell>
        </row>
        <row r="62">
          <cell r="B62">
            <v>20431696</v>
          </cell>
          <cell r="C62" t="str">
            <v>박철환</v>
          </cell>
          <cell r="D62" t="str">
            <v>ch.park@shake-robot.com</v>
          </cell>
          <cell r="F62" t="str">
            <v>피지컬AI와 거대비전모델(LVM) 기술 기반  무학습 객체 인식(zero shot) 및 듀얼 암 동시 피킹 고속 로봇 통합 S/W</v>
          </cell>
          <cell r="G62" t="str">
            <v>지역기반</v>
          </cell>
          <cell r="I62" t="str">
            <v>중장년</v>
          </cell>
          <cell r="J62" t="str">
            <v>정보ㆍ통신</v>
          </cell>
          <cell r="K62" t="str">
            <v>정보ㆍ통신6</v>
          </cell>
          <cell r="L62" t="str">
            <v>초기</v>
          </cell>
          <cell r="M62" t="str">
            <v>합격</v>
          </cell>
        </row>
        <row r="63">
          <cell r="B63">
            <v>20431761</v>
          </cell>
          <cell r="C63" t="str">
            <v>김범수</v>
          </cell>
          <cell r="D63" t="str">
            <v>armis6954@gmail.com</v>
          </cell>
          <cell r="F63" t="str">
            <v>저비용 및 소형화를 구현한 상지 재활 로봇</v>
          </cell>
          <cell r="G63" t="str">
            <v>지역기반</v>
          </cell>
          <cell r="I63" t="str">
            <v>중장년</v>
          </cell>
          <cell r="J63" t="str">
            <v>기계ㆍ소재</v>
          </cell>
          <cell r="K63" t="str">
            <v>기계ㆍ소재</v>
          </cell>
          <cell r="L63" t="str">
            <v>초기</v>
          </cell>
          <cell r="M63" t="str">
            <v>합격</v>
          </cell>
        </row>
        <row r="64">
          <cell r="B64">
            <v>20433135</v>
          </cell>
          <cell r="C64" t="str">
            <v>이예린</v>
          </cell>
          <cell r="D64" t="str">
            <v>yerinlee@sistie.kr</v>
          </cell>
          <cell r="F64" t="str">
            <v>16만 체형 DB 기반의 AI 속옷 큐레이션을 활용한 Tech-D2C 브랜드 '시스티'</v>
          </cell>
          <cell r="G64" t="str">
            <v>대학발</v>
          </cell>
          <cell r="I64" t="str">
            <v>청년</v>
          </cell>
          <cell r="J64" t="str">
            <v>정보ㆍ통신</v>
          </cell>
          <cell r="K64" t="str">
            <v>정보ㆍ통신8</v>
          </cell>
          <cell r="L64" t="str">
            <v>도약</v>
          </cell>
          <cell r="M64" t="str">
            <v>합격</v>
          </cell>
        </row>
        <row r="65">
          <cell r="B65">
            <v>20418733</v>
          </cell>
          <cell r="C65" t="str">
            <v>김진웅</v>
          </cell>
          <cell r="D65" t="str">
            <v>jin001@biodpc.co.kr</v>
          </cell>
          <cell r="F65" t="str">
            <v>베이베리 및 황칠나무 복합추출물을 이용한 경구용 미백 및 광보호 기능성 건강기능식품</v>
          </cell>
          <cell r="G65" t="str">
            <v>지역기반</v>
          </cell>
          <cell r="I65" t="str">
            <v>중장년</v>
          </cell>
          <cell r="J65" t="str">
            <v>바이오ㆍ의료ㆍ생명</v>
          </cell>
          <cell r="K65" t="str">
            <v>바이오ㆍ의료ㆍ생명2</v>
          </cell>
          <cell r="L65" t="str">
            <v>도약</v>
          </cell>
          <cell r="M65" t="str">
            <v>합격</v>
          </cell>
        </row>
        <row r="66">
          <cell r="B66">
            <v>20420569</v>
          </cell>
          <cell r="C66" t="str">
            <v>김영길</v>
          </cell>
          <cell r="D66" t="str">
            <v>ygkim@uslabcorp.com</v>
          </cell>
          <cell r="F66" t="str">
            <v>초기 도입 비용 절감(88%)과 시술 효율 상승(67%)를 동시에 해결하는 고강도ㆍ고밀도 초음파 기반 전문가용 뷰티 디바이스 ‘닥터테라 하이더스’</v>
          </cell>
          <cell r="G66" t="str">
            <v>실험실</v>
          </cell>
          <cell r="I66" t="str">
            <v>중장년</v>
          </cell>
          <cell r="J66" t="str">
            <v>바이오ㆍ의료ㆍ생명</v>
          </cell>
          <cell r="K66" t="str">
            <v>바이오ㆍ의료ㆍ생명2</v>
          </cell>
          <cell r="L66" t="str">
            <v>초기</v>
          </cell>
          <cell r="M66" t="str">
            <v>합격</v>
          </cell>
        </row>
        <row r="67">
          <cell r="B67">
            <v>20429004</v>
          </cell>
          <cell r="C67" t="str">
            <v>조용일</v>
          </cell>
          <cell r="D67" t="str">
            <v>fanlv@naver.com</v>
          </cell>
          <cell r="E67" t="str">
            <v>매출실적우수</v>
          </cell>
          <cell r="F67" t="str">
            <v>3D 프린터 및 레이저 공법을 적용한 경량 고볼륨 클립형 체인 귀금속 주얼리 개발</v>
          </cell>
          <cell r="G67" t="str">
            <v>지역기반</v>
          </cell>
          <cell r="I67" t="str">
            <v>청년</v>
          </cell>
          <cell r="J67" t="str">
            <v>공예ㆍ디자인</v>
          </cell>
          <cell r="K67" t="str">
            <v>공예ㆍ디자인</v>
          </cell>
          <cell r="L67" t="str">
            <v>도약</v>
          </cell>
          <cell r="M67" t="str">
            <v>합격</v>
          </cell>
        </row>
        <row r="68">
          <cell r="B68">
            <v>20404581</v>
          </cell>
          <cell r="C68" t="str">
            <v>임세진</v>
          </cell>
          <cell r="D68" t="str">
            <v>sejinim@skku.edu</v>
          </cell>
          <cell r="E68" t="str">
            <v>전임교원</v>
          </cell>
          <cell r="F68" t="str">
            <v>이식편대 숙주질환 (GvHD) 질환 치료를 위한 T세포 타깃 단일클론항체</v>
          </cell>
          <cell r="G68" t="str">
            <v>실험실</v>
          </cell>
          <cell r="I68" t="str">
            <v>중장년</v>
          </cell>
          <cell r="J68" t="str">
            <v>바이오ㆍ의료ㆍ생명</v>
          </cell>
          <cell r="K68" t="str">
            <v>바이오ㆍ의료ㆍ생명2</v>
          </cell>
          <cell r="L68" t="str">
            <v>초기</v>
          </cell>
          <cell r="M68" t="str">
            <v>합격</v>
          </cell>
        </row>
        <row r="69">
          <cell r="B69">
            <v>20413200</v>
          </cell>
          <cell r="C69" t="str">
            <v>승영욱</v>
          </cell>
          <cell r="D69" t="str">
            <v>scott@forspacelab.com</v>
          </cell>
          <cell r="E69" t="str">
            <v>잠재력 확인 팀</v>
          </cell>
          <cell r="F69" t="str">
            <v>머신러닝 기반 자율 관리형(Autonomous) 스크래핑 엔진 및 기업용AX(AI 전환) 데이터 파이프라인 사업화</v>
          </cell>
          <cell r="G69" t="str">
            <v>지역기반</v>
          </cell>
          <cell r="I69" t="str">
            <v>중장년</v>
          </cell>
          <cell r="J69" t="str">
            <v>정보ㆍ통신</v>
          </cell>
          <cell r="K69" t="str">
            <v>정보ㆍ통신1</v>
          </cell>
          <cell r="L69" t="str">
            <v>도약</v>
          </cell>
          <cell r="M69" t="str">
            <v>합격</v>
          </cell>
        </row>
        <row r="70">
          <cell r="B70">
            <v>20413825</v>
          </cell>
          <cell r="C70" t="str">
            <v>노상용</v>
          </cell>
          <cell r="D70" t="str">
            <v>n332007@chungbuk.ac.kr</v>
          </cell>
          <cell r="F70" t="str">
            <v>Vision AI 기반 노인성 질환 조기 징후 감지 및 IoT 복약 관리 AIoT 시니어 헬스케어 디바이스 케어비전 AI미러(Care-Vision AI Mirror)</v>
          </cell>
          <cell r="G70" t="str">
            <v>실험실</v>
          </cell>
          <cell r="I70" t="str">
            <v>중장년</v>
          </cell>
          <cell r="J70" t="str">
            <v>바이오ㆍ의료ㆍ생명</v>
          </cell>
          <cell r="K70" t="str">
            <v>바이오ㆍ의료ㆍ생명2</v>
          </cell>
          <cell r="L70" t="str">
            <v>초기</v>
          </cell>
          <cell r="M70" t="str">
            <v>합격</v>
          </cell>
        </row>
        <row r="71">
          <cell r="B71">
            <v>20415499</v>
          </cell>
          <cell r="C71" t="str">
            <v>정진우</v>
          </cell>
          <cell r="D71" t="str">
            <v>wlsn369@gmail.com</v>
          </cell>
          <cell r="F71" t="str">
            <v>초고속 냉연/도금 강판 생산 라인을 위한 반응형 초계면(Super-Interface) 탈지제</v>
          </cell>
          <cell r="G71" t="str">
            <v>지역기반</v>
          </cell>
          <cell r="I71" t="str">
            <v>청년</v>
          </cell>
          <cell r="J71" t="str">
            <v>화공ㆍ섬유</v>
          </cell>
          <cell r="K71" t="str">
            <v>화공ㆍ섬유</v>
          </cell>
          <cell r="L71" t="str">
            <v>초기</v>
          </cell>
          <cell r="M71" t="str">
            <v>합격</v>
          </cell>
        </row>
        <row r="72">
          <cell r="B72">
            <v>20418471</v>
          </cell>
          <cell r="C72" t="str">
            <v>김도년</v>
          </cell>
          <cell r="D72" t="str">
            <v>kingddo@gmail.com</v>
          </cell>
          <cell r="F72" t="str">
            <v>AI 기반 반도체 패키징 X-ray 검사 및 계측 솔루션</v>
          </cell>
          <cell r="G72" t="str">
            <v>대학발</v>
          </cell>
          <cell r="I72" t="str">
            <v>중장년</v>
          </cell>
          <cell r="J72" t="str">
            <v>전기ㆍ전자</v>
          </cell>
          <cell r="K72" t="str">
            <v>전기ㆍ전자</v>
          </cell>
          <cell r="L72" t="str">
            <v>초기</v>
          </cell>
          <cell r="M72" t="str">
            <v>합격</v>
          </cell>
        </row>
        <row r="73">
          <cell r="B73">
            <v>20413444</v>
          </cell>
          <cell r="C73" t="str">
            <v>박재민</v>
          </cell>
          <cell r="D73" t="str">
            <v>jaemin.park@pekproduct.com</v>
          </cell>
          <cell r="F73" t="str">
            <v>반영구 항균/항바이러스 세라믹 복합소재의 제품화를 통한 폐기물 저감 사업화</v>
          </cell>
          <cell r="G73" t="str">
            <v>지역기반</v>
          </cell>
          <cell r="I73" t="str">
            <v>청년</v>
          </cell>
          <cell r="J73" t="str">
            <v>기계ㆍ소재</v>
          </cell>
          <cell r="K73" t="str">
            <v>기계ㆍ소재</v>
          </cell>
          <cell r="L73" t="str">
            <v>초기</v>
          </cell>
          <cell r="M73" t="str">
            <v>합격</v>
          </cell>
        </row>
        <row r="74">
          <cell r="B74">
            <v>20428287</v>
          </cell>
          <cell r="C74" t="str">
            <v>황해수</v>
          </cell>
          <cell r="D74" t="str">
            <v>haesu.hwang@logbase.kr</v>
          </cell>
          <cell r="E74" t="str">
            <v>잠재력 확인 팀</v>
          </cell>
          <cell r="F74" t="str">
            <v>AI 기반 고객 행동로그 자동 설계 및 실시간 정합성 검증 인프라 [ILOG]</v>
          </cell>
          <cell r="G74" t="str">
            <v>지역기반</v>
          </cell>
          <cell r="I74" t="str">
            <v>중장년</v>
          </cell>
          <cell r="J74" t="str">
            <v>정보ㆍ통신</v>
          </cell>
          <cell r="K74" t="str">
            <v>정보ㆍ통신1</v>
          </cell>
          <cell r="L74" t="str">
            <v>초기</v>
          </cell>
          <cell r="M74" t="str">
            <v>합격</v>
          </cell>
        </row>
        <row r="75">
          <cell r="B75">
            <v>20428535</v>
          </cell>
          <cell r="C75" t="str">
            <v>양승빈</v>
          </cell>
          <cell r="D75" t="str">
            <v>mailbox2010@naver.com</v>
          </cell>
          <cell r="E75" t="str">
            <v>잠재력 확인 팀</v>
          </cell>
          <cell r="F75" t="str">
            <v>이끌레(ECCLE)</v>
          </cell>
          <cell r="G75" t="str">
            <v>지역기반</v>
          </cell>
          <cell r="I75" t="str">
            <v>중장년</v>
          </cell>
          <cell r="J75" t="str">
            <v>정보ㆍ통신</v>
          </cell>
          <cell r="K75" t="str">
            <v>정보ㆍ통신1</v>
          </cell>
          <cell r="L75" t="str">
            <v>예비</v>
          </cell>
          <cell r="M75" t="str">
            <v>합격</v>
          </cell>
          <cell r="N75" t="str">
            <v>온라인 발표 희망</v>
          </cell>
        </row>
        <row r="76">
          <cell r="B76">
            <v>20428661</v>
          </cell>
          <cell r="C76" t="str">
            <v>이준영</v>
          </cell>
          <cell r="D76" t="str">
            <v>jy.lee@mirkr.co.kr</v>
          </cell>
          <cell r="F76" t="str">
            <v>AI LMS 디지털 트윈 시뮬레이션 솔루션</v>
          </cell>
          <cell r="G76" t="str">
            <v>지역기반</v>
          </cell>
          <cell r="I76" t="str">
            <v>중장년</v>
          </cell>
          <cell r="J76" t="str">
            <v>기계ㆍ소재</v>
          </cell>
          <cell r="K76" t="str">
            <v>기계ㆍ소재</v>
          </cell>
          <cell r="L76" t="str">
            <v>초기</v>
          </cell>
          <cell r="M76" t="str">
            <v>합격</v>
          </cell>
        </row>
        <row r="77">
          <cell r="B77">
            <v>20417688</v>
          </cell>
          <cell r="C77" t="str">
            <v>박한규</v>
          </cell>
          <cell r="D77" t="str">
            <v>hangue.park@gmail.com</v>
          </cell>
          <cell r="E77" t="str">
            <v>전임교원</v>
          </cell>
          <cell r="F77" t="str">
            <v>신경계 멀미를 혁신적으로 저감시키는 초소형⸱초경량 AI 기반 신경자극 웨어러블 디바이스</v>
          </cell>
          <cell r="G77" t="str">
            <v>대학발</v>
          </cell>
          <cell r="I77" t="str">
            <v>중장년</v>
          </cell>
          <cell r="J77" t="str">
            <v>바이오ㆍ의료ㆍ생명</v>
          </cell>
          <cell r="K77" t="str">
            <v>바이오ㆍ의료ㆍ생명2</v>
          </cell>
          <cell r="L77" t="str">
            <v>초기</v>
          </cell>
          <cell r="M77" t="str">
            <v>합격</v>
          </cell>
          <cell r="N77" t="str">
            <v>실험실특화형과 통합 발표</v>
          </cell>
        </row>
        <row r="78">
          <cell r="B78">
            <v>20418903</v>
          </cell>
          <cell r="C78" t="str">
            <v>신재영</v>
          </cell>
          <cell r="D78" t="str">
            <v>jaeyoung.shin@organoplus.kr</v>
          </cell>
          <cell r="F78" t="str">
            <v>VILLIORGAN(장칩), CANORGAN(암칩)</v>
          </cell>
          <cell r="G78" t="str">
            <v>대학발</v>
          </cell>
          <cell r="I78" t="str">
            <v>중장년</v>
          </cell>
          <cell r="J78" t="str">
            <v>바이오ㆍ의료ㆍ생명</v>
          </cell>
          <cell r="K78" t="str">
            <v>바이오ㆍ의료ㆍ생명2</v>
          </cell>
          <cell r="L78" t="str">
            <v>초기</v>
          </cell>
          <cell r="M78" t="str">
            <v>합격</v>
          </cell>
        </row>
        <row r="79">
          <cell r="B79">
            <v>20421952</v>
          </cell>
          <cell r="C79" t="str">
            <v>박진형</v>
          </cell>
          <cell r="D79" t="str">
            <v>jinhyoung.park@sonocarelab.com</v>
          </cell>
          <cell r="E79" t="str">
            <v>전임교원</v>
          </cell>
          <cell r="F79" t="str">
            <v>비화학적 글림패틱 활성화를 위한 초음파 스위퍼 기술: ARIA 부작용 저감을 통한 항아밀로이드 면역 요법의 동반 플랫폼</v>
          </cell>
          <cell r="G79" t="str">
            <v>실험실</v>
          </cell>
          <cell r="I79" t="str">
            <v>중장년</v>
          </cell>
          <cell r="J79" t="str">
            <v>바이오ㆍ의료ㆍ생명</v>
          </cell>
          <cell r="K79" t="str">
            <v>바이오ㆍ의료ㆍ생명2</v>
          </cell>
          <cell r="L79" t="str">
            <v>초기</v>
          </cell>
          <cell r="M79" t="str">
            <v>합격</v>
          </cell>
        </row>
        <row r="80">
          <cell r="B80">
            <v>20426680</v>
          </cell>
          <cell r="C80" t="str">
            <v>이승원</v>
          </cell>
          <cell r="D80" t="str">
            <v>lsw2920@gmail.com</v>
          </cell>
          <cell r="E80" t="str">
            <v>전임교원</v>
          </cell>
          <cell r="F80" t="str">
            <v>HBTI 기반 건강 분석을 통한 맞춤형 건강관리 플랫폼</v>
          </cell>
          <cell r="G80" t="str">
            <v>실험실</v>
          </cell>
          <cell r="I80" t="str">
            <v>청년</v>
          </cell>
          <cell r="J80" t="str">
            <v>바이오ㆍ의료ㆍ생명</v>
          </cell>
          <cell r="K80" t="str">
            <v>바이오ㆍ의료ㆍ생명2</v>
          </cell>
          <cell r="L80" t="str">
            <v>초기</v>
          </cell>
          <cell r="M80" t="str">
            <v>합격</v>
          </cell>
        </row>
        <row r="81">
          <cell r="B81">
            <v>20427486</v>
          </cell>
          <cell r="C81" t="str">
            <v>손창호</v>
          </cell>
          <cell r="D81" t="str">
            <v>chsohn@kaist.ac.kr</v>
          </cell>
          <cell r="F81" t="str">
            <v>파라핀 조직(FFPE)의 가교 해제 (Decrosslinking) 원천 화학 기술 기반 멀티오믹스 통합 솔루션</v>
          </cell>
          <cell r="G81" t="str">
            <v>실험실</v>
          </cell>
          <cell r="I81" t="str">
            <v>중장년</v>
          </cell>
          <cell r="J81" t="str">
            <v>바이오ㆍ의료ㆍ생명</v>
          </cell>
          <cell r="K81" t="str">
            <v>바이오ㆍ의료ㆍ생명1</v>
          </cell>
          <cell r="L81" t="str">
            <v>초기</v>
          </cell>
          <cell r="M81" t="str">
            <v>합격</v>
          </cell>
        </row>
        <row r="82">
          <cell r="B82">
            <v>20428457</v>
          </cell>
          <cell r="C82" t="str">
            <v>김민수</v>
          </cell>
          <cell r="D82" t="str">
            <v>1021jun@naver.com</v>
          </cell>
          <cell r="F82" t="str">
            <v>내향성 손,발톱 교정 의료기기 아톰밴드</v>
          </cell>
          <cell r="G82" t="str">
            <v>지역기반</v>
          </cell>
          <cell r="I82" t="str">
            <v>중장년</v>
          </cell>
          <cell r="J82" t="str">
            <v>바이오ㆍ의료ㆍ생명</v>
          </cell>
          <cell r="K82" t="str">
            <v>바이오ㆍ의료ㆍ생명2</v>
          </cell>
          <cell r="L82" t="str">
            <v>초기</v>
          </cell>
          <cell r="M82" t="str">
            <v>합격</v>
          </cell>
        </row>
        <row r="83">
          <cell r="B83">
            <v>20428779</v>
          </cell>
          <cell r="C83" t="str">
            <v>조덕수</v>
          </cell>
          <cell r="D83" t="str">
            <v>jodeoksu@gmail.com</v>
          </cell>
          <cell r="F83" t="str">
            <v>30mW/cm²급 NIR Bio-OLED 면광원 기반 치료보조 디바이스 및 AI모니터링 서비스 개발</v>
          </cell>
          <cell r="G83" t="str">
            <v>대학발</v>
          </cell>
          <cell r="I83" t="str">
            <v>청년</v>
          </cell>
          <cell r="J83" t="str">
            <v>바이오ㆍ의료ㆍ생명</v>
          </cell>
          <cell r="K83" t="str">
            <v>바이오ㆍ의료ㆍ생명2</v>
          </cell>
          <cell r="L83" t="str">
            <v>도약</v>
          </cell>
          <cell r="M83" t="str">
            <v>합격</v>
          </cell>
        </row>
        <row r="84">
          <cell r="B84">
            <v>20431117</v>
          </cell>
          <cell r="C84" t="str">
            <v>우성호</v>
          </cell>
          <cell r="D84" t="str">
            <v>newnature_e@naver.com</v>
          </cell>
          <cell r="E84" t="str">
            <v>매출실적우수</v>
          </cell>
          <cell r="F84" t="str">
            <v>리포큐민 제로슈가 커큐민 비타C 젤리스틱</v>
          </cell>
          <cell r="G84" t="str">
            <v>지역기반</v>
          </cell>
          <cell r="I84" t="str">
            <v>청년</v>
          </cell>
          <cell r="J84" t="str">
            <v>바이오ㆍ의료ㆍ생명</v>
          </cell>
          <cell r="K84" t="str">
            <v>바이오ㆍ의료ㆍ생명2</v>
          </cell>
          <cell r="L84" t="str">
            <v>도약</v>
          </cell>
          <cell r="M84" t="str">
            <v>합격</v>
          </cell>
        </row>
        <row r="85">
          <cell r="B85">
            <v>20432254</v>
          </cell>
          <cell r="C85" t="str">
            <v>정재준</v>
          </cell>
          <cell r="D85" t="str">
            <v>jj.jeong@entwick.com</v>
          </cell>
          <cell r="F85" t="str">
            <v>초저주파전자기장, 펄스형 레이저 및 전기 자극 적용 관절염증 치료 전자약</v>
          </cell>
          <cell r="G85" t="str">
            <v>지역기반</v>
          </cell>
          <cell r="I85" t="str">
            <v>중장년</v>
          </cell>
          <cell r="J85" t="str">
            <v>바이오ㆍ의료ㆍ생명</v>
          </cell>
          <cell r="K85" t="str">
            <v>바이오ㆍ의료ㆍ생명2</v>
          </cell>
          <cell r="L85" t="str">
            <v>도약</v>
          </cell>
          <cell r="M85" t="str">
            <v>합격</v>
          </cell>
          <cell r="N85" t="str">
            <v>21일 타 평가로 22일 희망</v>
          </cell>
        </row>
        <row r="86">
          <cell r="B86">
            <v>20405890</v>
          </cell>
          <cell r="C86" t="str">
            <v>조희준</v>
          </cell>
          <cell r="D86" t="str">
            <v>binarybut@naver.com</v>
          </cell>
          <cell r="F86" t="str">
            <v>잇순</v>
          </cell>
          <cell r="G86" t="str">
            <v>지역기반</v>
          </cell>
          <cell r="I86" t="str">
            <v>청년</v>
          </cell>
          <cell r="J86" t="str">
            <v>바이오ㆍ의료ㆍ생명</v>
          </cell>
          <cell r="K86" t="str">
            <v>바이오ㆍ의료ㆍ생명2</v>
          </cell>
          <cell r="L86" t="str">
            <v>초기</v>
          </cell>
          <cell r="M86" t="str">
            <v>합격</v>
          </cell>
        </row>
        <row r="87">
          <cell r="B87">
            <v>20412297</v>
          </cell>
          <cell r="C87" t="str">
            <v>황현우</v>
          </cell>
          <cell r="D87" t="str">
            <v>wearwhere23@naver.com</v>
          </cell>
          <cell r="F87" t="str">
            <v>글로벌 K-뷰티 시장 타겟형 히알루론산-판테놀 기반  고기능성 약물방출 콘택트렌즈 개발</v>
          </cell>
          <cell r="G87" t="str">
            <v>지역기반</v>
          </cell>
          <cell r="I87" t="str">
            <v>청년</v>
          </cell>
          <cell r="J87" t="str">
            <v>바이오ㆍ의료ㆍ생명</v>
          </cell>
          <cell r="K87" t="str">
            <v>바이오ㆍ의료ㆍ생명1</v>
          </cell>
          <cell r="L87" t="str">
            <v>초기</v>
          </cell>
          <cell r="M87" t="str">
            <v>합격</v>
          </cell>
        </row>
        <row r="88">
          <cell r="B88">
            <v>20417675</v>
          </cell>
          <cell r="C88" t="str">
            <v>박한규</v>
          </cell>
          <cell r="D88" t="str">
            <v>hangue.park@gmail.com</v>
          </cell>
          <cell r="E88" t="str">
            <v>전임교원</v>
          </cell>
          <cell r="F88" t="str">
            <v>신경계 멀미를 혁신적으로 저감시키는 초소형⸱초경량 AI 기반 신경자극 웨어러블 디바이스</v>
          </cell>
          <cell r="G88" t="str">
            <v>실험실</v>
          </cell>
          <cell r="I88" t="str">
            <v>중장년</v>
          </cell>
          <cell r="J88" t="str">
            <v>바이오ㆍ의료ㆍ생명</v>
          </cell>
          <cell r="K88" t="str">
            <v>바이오ㆍ의료ㆍ생명1</v>
          </cell>
          <cell r="L88" t="str">
            <v>초기</v>
          </cell>
          <cell r="M88" t="str">
            <v>합격</v>
          </cell>
        </row>
        <row r="89">
          <cell r="B89">
            <v>20416208</v>
          </cell>
          <cell r="C89" t="str">
            <v>이동욱</v>
          </cell>
          <cell r="D89" t="str">
            <v>dwlee@orocorp.kr</v>
          </cell>
          <cell r="F89" t="str">
            <v>파우더 도금 기술을 활용한 시스템 반도체 테스트 소켓용 고내구성 팔라듐 표면처리 기술 및 저가 파우더 개발</v>
          </cell>
          <cell r="G89" t="str">
            <v>대학발</v>
          </cell>
          <cell r="I89" t="str">
            <v>청년</v>
          </cell>
          <cell r="J89" t="str">
            <v>기계ㆍ소재</v>
          </cell>
          <cell r="K89" t="str">
            <v>기계ㆍ소재</v>
          </cell>
          <cell r="L89" t="str">
            <v>도약</v>
          </cell>
          <cell r="M89" t="str">
            <v>합격</v>
          </cell>
        </row>
        <row r="90">
          <cell r="B90">
            <v>20415870</v>
          </cell>
          <cell r="C90" t="str">
            <v>이민규</v>
          </cell>
          <cell r="D90" t="str">
            <v>2x@blendx.co.kr</v>
          </cell>
          <cell r="F90" t="str">
            <v>전략 수립→카피라이팅→시각 콘텐츠 제공 자동화 솔루션 XiCON(엑시콘)</v>
          </cell>
          <cell r="G90" t="str">
            <v>지역기반</v>
          </cell>
          <cell r="I90" t="str">
            <v>중장년</v>
          </cell>
          <cell r="J90" t="str">
            <v>정보ㆍ통신</v>
          </cell>
          <cell r="K90" t="str">
            <v>정보ㆍ통신5</v>
          </cell>
          <cell r="L90" t="str">
            <v>도약</v>
          </cell>
          <cell r="M90" t="str">
            <v>합격</v>
          </cell>
        </row>
        <row r="91">
          <cell r="B91">
            <v>20408877</v>
          </cell>
          <cell r="C91" t="str">
            <v>노형도</v>
          </cell>
          <cell r="D91" t="str">
            <v>rhd1213@hanyang.ac.kr</v>
          </cell>
          <cell r="F91" t="str">
            <v>CFRP 기반 전기차 배터리 하우징 구조 건전성 자가진단 시스템</v>
          </cell>
          <cell r="G91" t="str">
            <v>지역기반</v>
          </cell>
          <cell r="I91" t="str">
            <v>청년</v>
          </cell>
          <cell r="J91" t="str">
            <v>기계ㆍ소재</v>
          </cell>
          <cell r="K91" t="str">
            <v>기계ㆍ소재</v>
          </cell>
          <cell r="L91" t="str">
            <v>예비</v>
          </cell>
          <cell r="M91" t="str">
            <v>합격</v>
          </cell>
        </row>
        <row r="92">
          <cell r="B92">
            <v>20418037</v>
          </cell>
          <cell r="C92" t="str">
            <v>조영숙</v>
          </cell>
          <cell r="D92" t="str">
            <v>icm_1@naver.com</v>
          </cell>
          <cell r="F92" t="str">
            <v>공인 발달 평가 기반 유아 사회성·영어 통합 교육 시스템</v>
          </cell>
          <cell r="G92" t="str">
            <v>지역기반</v>
          </cell>
          <cell r="I92" t="str">
            <v>중장년</v>
          </cell>
          <cell r="J92" t="str">
            <v>정보ㆍ통신</v>
          </cell>
          <cell r="K92" t="str">
            <v>정보ㆍ통신4</v>
          </cell>
          <cell r="L92" t="str">
            <v>초기</v>
          </cell>
          <cell r="M92" t="str">
            <v>합격</v>
          </cell>
        </row>
        <row r="93">
          <cell r="B93">
            <v>20418401</v>
          </cell>
          <cell r="C93" t="str">
            <v>박종명</v>
          </cell>
          <cell r="D93" t="str">
            <v>jmpark@goldenus.co.kr</v>
          </cell>
          <cell r="F93" t="str">
            <v>이종 DB의 대용량 실시간 통합·동기화를  AI로 지원하는 데이터 관리 플랫폼 &amp;quot;SyncMaster“</v>
          </cell>
          <cell r="G93" t="str">
            <v>지역기반</v>
          </cell>
          <cell r="I93" t="str">
            <v>중장년</v>
          </cell>
          <cell r="J93" t="str">
            <v>정보ㆍ통신</v>
          </cell>
          <cell r="K93" t="str">
            <v>정보ㆍ통신5</v>
          </cell>
          <cell r="L93" t="str">
            <v>도약</v>
          </cell>
          <cell r="M93" t="str">
            <v>합격</v>
          </cell>
        </row>
        <row r="94">
          <cell r="B94">
            <v>20421734</v>
          </cell>
          <cell r="C94" t="str">
            <v>이영주</v>
          </cell>
          <cell r="D94" t="str">
            <v>yn@ilab.world</v>
          </cell>
          <cell r="E94" t="str">
            <v>전임교원</v>
          </cell>
          <cell r="F94" t="str">
            <v>글라이드</v>
          </cell>
          <cell r="G94" t="str">
            <v>지역기반</v>
          </cell>
          <cell r="I94" t="str">
            <v>중장년</v>
          </cell>
          <cell r="J94" t="str">
            <v>정보ㆍ통신</v>
          </cell>
          <cell r="K94" t="str">
            <v>정보ㆍ통신1</v>
          </cell>
          <cell r="L94" t="str">
            <v>초기</v>
          </cell>
          <cell r="M94" t="str">
            <v>합격</v>
          </cell>
          <cell r="N94" t="str">
            <v>강의일정으로 22일 희망(영주닐슨 교수님)</v>
          </cell>
        </row>
        <row r="95">
          <cell r="B95">
            <v>20425601</v>
          </cell>
          <cell r="C95" t="str">
            <v>박민수</v>
          </cell>
          <cell r="D95" t="str">
            <v>parkminsu0752@gmail.com</v>
          </cell>
          <cell r="F95" t="str">
            <v>방사선 ZERO! 실시간 3D 시술 내비게이션 소프트웨어, ‘XonoNav View'</v>
          </cell>
          <cell r="G95" t="str">
            <v>대학발</v>
          </cell>
          <cell r="I95" t="str">
            <v>청년</v>
          </cell>
          <cell r="J95" t="str">
            <v>정보ㆍ통신</v>
          </cell>
          <cell r="K95" t="str">
            <v>정보ㆍ통신8</v>
          </cell>
          <cell r="L95" t="str">
            <v>예비</v>
          </cell>
          <cell r="M95" t="str">
            <v>합격</v>
          </cell>
        </row>
        <row r="96">
          <cell r="B96">
            <v>20429253</v>
          </cell>
          <cell r="C96" t="str">
            <v>임재우</v>
          </cell>
          <cell r="D96" t="str">
            <v>jacob@alphamonto.com</v>
          </cell>
          <cell r="F96" t="str">
            <v>남성들의 외모 자기관리를 위한 AI 기반 스타일링 솔루션 고도화</v>
          </cell>
          <cell r="G96" t="str">
            <v>대학발</v>
          </cell>
          <cell r="I96" t="str">
            <v>청년</v>
          </cell>
          <cell r="J96" t="str">
            <v>정보ㆍ통신</v>
          </cell>
          <cell r="K96" t="str">
            <v>정보ㆍ통신8</v>
          </cell>
          <cell r="L96" t="str">
            <v>초기</v>
          </cell>
          <cell r="M96" t="str">
            <v>합격</v>
          </cell>
        </row>
        <row r="97">
          <cell r="B97">
            <v>20424775</v>
          </cell>
          <cell r="C97" t="str">
            <v>김유성</v>
          </cell>
          <cell r="D97" t="str">
            <v>youal1@naver.com</v>
          </cell>
          <cell r="F97" t="str">
            <v>쐐기풀 추출물 기반 영유아 아토피성 피부염 완화 및 수면장애 개선을 위한 하이드로겔 패치·스킨케어 개발</v>
          </cell>
          <cell r="G97" t="str">
            <v>지역기반</v>
          </cell>
          <cell r="I97" t="str">
            <v>청년</v>
          </cell>
          <cell r="J97" t="str">
            <v>바이오ㆍ의료ㆍ생명</v>
          </cell>
          <cell r="K97" t="str">
            <v>바이오ㆍ의료ㆍ생명1</v>
          </cell>
          <cell r="L97" t="str">
            <v>예비</v>
          </cell>
          <cell r="M97" t="str">
            <v>합격</v>
          </cell>
        </row>
        <row r="98">
          <cell r="B98">
            <v>20428862</v>
          </cell>
          <cell r="C98" t="str">
            <v>왕준호</v>
          </cell>
          <cell r="D98" t="str">
            <v>mdwang88@gmail.com</v>
          </cell>
          <cell r="E98" t="str">
            <v>전임교원</v>
          </cell>
          <cell r="F98" t="str">
            <v>반월연골판 조직 유래 dECM 바이오잉크가 적용된 환자 맞춤형 반월연골판 임플란트 (MeniSave)</v>
          </cell>
          <cell r="G98" t="str">
            <v>실험실</v>
          </cell>
          <cell r="I98" t="str">
            <v>중장년</v>
          </cell>
          <cell r="J98" t="str">
            <v>바이오ㆍ의료ㆍ생명</v>
          </cell>
          <cell r="K98" t="str">
            <v>바이오ㆍ의료ㆍ생명1</v>
          </cell>
          <cell r="L98" t="str">
            <v>초기</v>
          </cell>
          <cell r="M98" t="str">
            <v>합격</v>
          </cell>
        </row>
        <row r="99">
          <cell r="B99">
            <v>20429861</v>
          </cell>
          <cell r="C99" t="str">
            <v>오혜린</v>
          </cell>
          <cell r="D99" t="str">
            <v>thogone@naver.com</v>
          </cell>
          <cell r="F99" t="str">
            <v>큐라닉 - 컨디셔닝 기술이 적용된 통증 완화·회복 보조 기능의 헬스케어 제품</v>
          </cell>
          <cell r="G99" t="str">
            <v>대학발</v>
          </cell>
          <cell r="I99" t="str">
            <v>청년</v>
          </cell>
          <cell r="J99" t="str">
            <v>바이오ㆍ의료ㆍ생명</v>
          </cell>
          <cell r="K99" t="str">
            <v>바이오ㆍ의료ㆍ생명2</v>
          </cell>
          <cell r="L99" t="str">
            <v>초기</v>
          </cell>
          <cell r="M99" t="str">
            <v>합격</v>
          </cell>
        </row>
        <row r="100">
          <cell r="B100">
            <v>20407665</v>
          </cell>
          <cell r="C100" t="str">
            <v>박지은</v>
          </cell>
          <cell r="D100" t="str">
            <v>being@maummoum.com</v>
          </cell>
          <cell r="F100" t="str">
            <v>심리·생체 통합 분석 기반 AI 마음건강 진단 플랫폼</v>
          </cell>
          <cell r="G100" t="str">
            <v>지역기반</v>
          </cell>
          <cell r="I100" t="str">
            <v>중장년</v>
          </cell>
          <cell r="J100" t="str">
            <v>바이오ㆍ의료ㆍ생명</v>
          </cell>
          <cell r="K100" t="str">
            <v>바이오ㆍ의료ㆍ생명2</v>
          </cell>
          <cell r="L100" t="str">
            <v>도약</v>
          </cell>
          <cell r="M100" t="str">
            <v>합격</v>
          </cell>
        </row>
        <row r="101">
          <cell r="B101">
            <v>20415588</v>
          </cell>
          <cell r="C101" t="str">
            <v>조성윤</v>
          </cell>
          <cell r="D101" t="str">
            <v>syjoe1979@gmail.com</v>
          </cell>
          <cell r="F101" t="str">
            <v>비독성 양자점 광변환 필름이 적용된 피부 테라피  패치 및 OLED 결합형 피부 테라피 큐어링 디바이스 제품</v>
          </cell>
          <cell r="G101" t="str">
            <v>지역기반</v>
          </cell>
          <cell r="I101" t="str">
            <v>중장년</v>
          </cell>
          <cell r="J101" t="str">
            <v>바이오ㆍ의료ㆍ생명</v>
          </cell>
          <cell r="K101" t="str">
            <v>바이오ㆍ의료ㆍ생명1</v>
          </cell>
          <cell r="L101" t="str">
            <v>초기</v>
          </cell>
          <cell r="M101" t="str">
            <v>합격</v>
          </cell>
        </row>
        <row r="102">
          <cell r="B102">
            <v>20415849</v>
          </cell>
          <cell r="C102" t="str">
            <v>서상수</v>
          </cell>
          <cell r="D102" t="str">
            <v>01kscp@gmail.com</v>
          </cell>
          <cell r="F102" t="str">
            <v>지방세포 분화 및 지질 축적 신호 정밀 제어 기반 국소 지방 억제 기술의 약침 적용 (PPARγ, C/EBPα, SREBP-1c 전사·번역 수준 동시 조절)</v>
          </cell>
          <cell r="G102" t="str">
            <v>지역기반</v>
          </cell>
          <cell r="I102" t="str">
            <v>중장년</v>
          </cell>
          <cell r="J102" t="str">
            <v>바이오ㆍ의료ㆍ생명</v>
          </cell>
          <cell r="K102" t="str">
            <v>바이오ㆍ의료ㆍ생명2</v>
          </cell>
          <cell r="L102" t="str">
            <v>도약</v>
          </cell>
          <cell r="M102" t="str">
            <v>합격</v>
          </cell>
        </row>
        <row r="103">
          <cell r="B103">
            <v>20418691</v>
          </cell>
          <cell r="C103" t="str">
            <v>최우석</v>
          </cell>
          <cell r="D103" t="str">
            <v>yewoomin@gmail.com</v>
          </cell>
          <cell r="E103" t="str">
            <v>전임교원</v>
          </cell>
          <cell r="F103" t="str">
            <v>압타머-CTAB 복합체 해리에 따른 액적 확산 분석기반 엔도톡신 센싱 플랫폼</v>
          </cell>
          <cell r="G103" t="str">
            <v>대학발</v>
          </cell>
          <cell r="I103" t="str">
            <v>중장년</v>
          </cell>
          <cell r="J103" t="str">
            <v>바이오ㆍ의료ㆍ생명</v>
          </cell>
          <cell r="K103" t="str">
            <v>바이오ㆍ의료ㆍ생명1</v>
          </cell>
          <cell r="L103" t="str">
            <v>예비</v>
          </cell>
          <cell r="M103" t="str">
            <v>합격</v>
          </cell>
        </row>
        <row r="104">
          <cell r="B104">
            <v>20412024</v>
          </cell>
          <cell r="C104" t="str">
            <v>민선화</v>
          </cell>
          <cell r="D104" t="str">
            <v>robinjang@apulse.kr</v>
          </cell>
          <cell r="F104" t="str">
            <v>다중 센서 기술이 적용된 실시간 착용 모니터링 기능의 사고 예방을 제공하는 스마트 안전벨트·안전고리 및 클라우드 기반 안전관리 시스템</v>
          </cell>
          <cell r="G104" t="str">
            <v>지역기반</v>
          </cell>
          <cell r="I104" t="str">
            <v>중장년</v>
          </cell>
          <cell r="J104" t="str">
            <v>정보ㆍ통신</v>
          </cell>
          <cell r="K104" t="str">
            <v>정보ㆍ통신6</v>
          </cell>
          <cell r="L104" t="str">
            <v>초기</v>
          </cell>
          <cell r="M104" t="str">
            <v>합격</v>
          </cell>
        </row>
        <row r="105">
          <cell r="B105">
            <v>20417694</v>
          </cell>
          <cell r="C105" t="str">
            <v>홍태균</v>
          </cell>
          <cell r="D105" t="str">
            <v>porest1114@naver.com</v>
          </cell>
          <cell r="F105" t="str">
            <v>직무교육과 인수인계를 AI로 한 번에 : AI 교육운영 자동화 플랫폼 스터디스</v>
          </cell>
          <cell r="G105" t="str">
            <v>지역기반</v>
          </cell>
          <cell r="I105" t="str">
            <v>청년</v>
          </cell>
          <cell r="J105" t="str">
            <v>정보ㆍ통신</v>
          </cell>
          <cell r="K105" t="str">
            <v>정보ㆍ통신4</v>
          </cell>
          <cell r="L105" t="str">
            <v>초기</v>
          </cell>
          <cell r="M105" t="str">
            <v>합격</v>
          </cell>
        </row>
        <row r="106">
          <cell r="B106">
            <v>20418814</v>
          </cell>
          <cell r="C106" t="str">
            <v>현성재</v>
          </cell>
          <cell r="D106" t="str">
            <v>gustjdwo3589@naver.com</v>
          </cell>
          <cell r="F106" t="str">
            <v>AI 공간분석 기반 맞춤 추천형 패브릭 리빙브랜드 구축</v>
          </cell>
          <cell r="G106" t="str">
            <v>지역기반</v>
          </cell>
          <cell r="I106" t="str">
            <v>청년</v>
          </cell>
          <cell r="J106" t="str">
            <v>정보ㆍ통신</v>
          </cell>
          <cell r="K106" t="str">
            <v>정보ㆍ통신2</v>
          </cell>
          <cell r="L106" t="str">
            <v>예비</v>
          </cell>
          <cell r="M106" t="str">
            <v>합격</v>
          </cell>
        </row>
        <row r="107">
          <cell r="B107">
            <v>20419317</v>
          </cell>
          <cell r="C107" t="str">
            <v>조효정</v>
          </cell>
          <cell r="D107" t="str">
            <v>drcho77@naver.com</v>
          </cell>
          <cell r="F107" t="str">
            <v>RAG기반 글로벌 크리에이터 매칭 플랫폼 ‘잉(ING)’</v>
          </cell>
          <cell r="G107" t="str">
            <v>지역기반</v>
          </cell>
          <cell r="I107" t="str">
            <v>중장년</v>
          </cell>
          <cell r="J107" t="str">
            <v>정보ㆍ통신</v>
          </cell>
          <cell r="K107" t="str">
            <v>정보ㆍ통신5</v>
          </cell>
          <cell r="L107" t="str">
            <v>초기</v>
          </cell>
          <cell r="M107" t="str">
            <v>합격</v>
          </cell>
        </row>
        <row r="108">
          <cell r="B108">
            <v>20424645</v>
          </cell>
          <cell r="C108" t="str">
            <v>이장원</v>
          </cell>
          <cell r="D108" t="str">
            <v>leejang@skku.edu</v>
          </cell>
          <cell r="E108" t="str">
            <v>전임교원</v>
          </cell>
          <cell r="F108" t="str">
            <v>KAEO AI: Keep An Eye Out for early warning signs with AI</v>
          </cell>
          <cell r="G108" t="str">
            <v>대학발</v>
          </cell>
          <cell r="I108" t="str">
            <v>중장년</v>
          </cell>
          <cell r="J108" t="str">
            <v>정보ㆍ통신</v>
          </cell>
          <cell r="K108" t="str">
            <v>정보ㆍ통신8</v>
          </cell>
          <cell r="L108" t="str">
            <v>예비</v>
          </cell>
          <cell r="M108" t="str">
            <v>합격</v>
          </cell>
        </row>
        <row r="109">
          <cell r="B109">
            <v>20426411</v>
          </cell>
          <cell r="C109" t="str">
            <v>봉민균</v>
          </cell>
          <cell r="D109" t="str">
            <v>zionbong@aenon.co.kr</v>
          </cell>
          <cell r="F109" t="str">
            <v>해조류 청각 기반 메탄저감 사료첨가제</v>
          </cell>
          <cell r="G109" t="str">
            <v>지역기반</v>
          </cell>
          <cell r="I109" t="str">
            <v>청년</v>
          </cell>
          <cell r="J109" t="str">
            <v>화공ㆍ섬유</v>
          </cell>
          <cell r="K109" t="str">
            <v>화공ㆍ섬유</v>
          </cell>
          <cell r="L109" t="str">
            <v>초기</v>
          </cell>
          <cell r="M109" t="str">
            <v>합격</v>
          </cell>
        </row>
        <row r="110">
          <cell r="B110">
            <v>20424315</v>
          </cell>
          <cell r="C110" t="str">
            <v>오원준</v>
          </cell>
          <cell r="D110" t="str">
            <v>malsunleemalsunlee@gmail.com</v>
          </cell>
          <cell r="F110" t="str">
            <v xml:space="preserve">맥주 부산물 업사이클링 기술을 이용한 고단백/저당 베이커리 </v>
          </cell>
          <cell r="G110" t="str">
            <v>지역기반</v>
          </cell>
          <cell r="I110" t="str">
            <v>중장년</v>
          </cell>
          <cell r="J110" t="str">
            <v>바이오ㆍ의료ㆍ생명</v>
          </cell>
          <cell r="K110" t="str">
            <v>바이오ㆍ의료ㆍ생명1</v>
          </cell>
          <cell r="L110" t="str">
            <v>예비</v>
          </cell>
          <cell r="M110" t="str">
            <v>합격</v>
          </cell>
        </row>
        <row r="111">
          <cell r="B111">
            <v>20426887</v>
          </cell>
          <cell r="C111" t="str">
            <v>김희중</v>
          </cell>
          <cell r="D111" t="str">
            <v>hj.kim@rarstudio.kr</v>
          </cell>
          <cell r="F111" t="str">
            <v>NIDT 변형 리포좀 기술을 적용하여 피부 열감과 속건조를 동시 해결하는 ‘기후 대응형(Zero-Heat) 고기능성 스킨케어’</v>
          </cell>
          <cell r="G111" t="str">
            <v>지역기반</v>
          </cell>
          <cell r="I111" t="str">
            <v>청년</v>
          </cell>
          <cell r="J111" t="str">
            <v>화공ㆍ섬유</v>
          </cell>
          <cell r="K111" t="str">
            <v>화공ㆍ섬유</v>
          </cell>
          <cell r="L111" t="str">
            <v>초기</v>
          </cell>
          <cell r="M111" t="str">
            <v>합격</v>
          </cell>
        </row>
        <row r="112">
          <cell r="B112">
            <v>20424497</v>
          </cell>
          <cell r="C112" t="str">
            <v>김경민</v>
          </cell>
          <cell r="D112" t="str">
            <v>kkm7674@gmail.com</v>
          </cell>
          <cell r="E112" t="str">
            <v>전임교원</v>
          </cell>
          <cell r="F112" t="str">
            <v>K-ISP: 한국형 스포츠 손상 감시 플랫폼</v>
          </cell>
          <cell r="G112" t="str">
            <v>대학발</v>
          </cell>
          <cell r="I112" t="str">
            <v>중장년</v>
          </cell>
          <cell r="J112" t="str">
            <v>바이오ㆍ의료ㆍ생명</v>
          </cell>
          <cell r="K112" t="str">
            <v>바이오ㆍ의료ㆍ생명2</v>
          </cell>
          <cell r="L112" t="str">
            <v>예비</v>
          </cell>
          <cell r="M112" t="str">
            <v>합격</v>
          </cell>
        </row>
        <row r="113">
          <cell r="B113">
            <v>20431661</v>
          </cell>
          <cell r="C113" t="str">
            <v>문상윤</v>
          </cell>
          <cell r="D113" t="str">
            <v>sean@machlabs.co.kr</v>
          </cell>
          <cell r="F113" t="str">
            <v>글로벌 스타트업 · 소상공인을 위한 AI 퍼포먼스마케팅 자동화 에이전트</v>
          </cell>
          <cell r="G113" t="str">
            <v>지역기반</v>
          </cell>
          <cell r="I113" t="str">
            <v>청년</v>
          </cell>
          <cell r="J113" t="str">
            <v>정보ㆍ통신</v>
          </cell>
          <cell r="K113" t="str">
            <v>정보ㆍ통신1</v>
          </cell>
          <cell r="L113" t="str">
            <v>초기</v>
          </cell>
          <cell r="M113" t="str">
            <v>합격</v>
          </cell>
        </row>
        <row r="114">
          <cell r="B114">
            <v>20426691</v>
          </cell>
          <cell r="C114" t="str">
            <v>이승원</v>
          </cell>
          <cell r="D114" t="str">
            <v>lsw2920@gmail.com</v>
          </cell>
          <cell r="E114" t="str">
            <v>전임교원</v>
          </cell>
          <cell r="F114" t="str">
            <v>HBTI 기반 건강 분석을 통한 맞춤형 건강관리 플랫폼</v>
          </cell>
          <cell r="G114" t="str">
            <v>지역기반</v>
          </cell>
          <cell r="I114" t="str">
            <v>청년</v>
          </cell>
          <cell r="J114" t="str">
            <v>바이오ㆍ의료ㆍ생명</v>
          </cell>
          <cell r="K114" t="str">
            <v>바이오ㆍ의료ㆍ생명2</v>
          </cell>
          <cell r="L114" t="str">
            <v>초기</v>
          </cell>
          <cell r="M114" t="str">
            <v>합격</v>
          </cell>
          <cell r="N114" t="str">
            <v>실험실특화형과 통합 발표</v>
          </cell>
        </row>
        <row r="115">
          <cell r="B115">
            <v>20430556</v>
          </cell>
          <cell r="C115" t="str">
            <v>홍준호</v>
          </cell>
          <cell r="D115" t="str">
            <v>junohong@albalm.co.kr</v>
          </cell>
          <cell r="F115" t="str">
            <v>글로벌 K-뷰티 시장을 선도할 '데이터 기반(Data-Driven)의 고기능성  탈모 완화 표준화 원료' 상용화 및 수출 확대</v>
          </cell>
          <cell r="G115" t="str">
            <v>지역기반</v>
          </cell>
          <cell r="I115" t="str">
            <v>중장년</v>
          </cell>
          <cell r="J115" t="str">
            <v>바이오ㆍ의료ㆍ생명</v>
          </cell>
          <cell r="K115" t="str">
            <v>바이오ㆍ의료ㆍ생명1</v>
          </cell>
          <cell r="L115" t="str">
            <v>도약</v>
          </cell>
          <cell r="M115" t="str">
            <v>합격</v>
          </cell>
        </row>
        <row r="116">
          <cell r="B116">
            <v>20427515</v>
          </cell>
          <cell r="C116" t="str">
            <v>정우재</v>
          </cell>
          <cell r="D116" t="str">
            <v>ceo@8reen.com</v>
          </cell>
          <cell r="F116" t="str">
            <v>탄소배출을 1kg, 생산성을 45% 개선한 친환경 “어린이 안전 우산”</v>
          </cell>
          <cell r="G116" t="str">
            <v>지역기반</v>
          </cell>
          <cell r="I116" t="str">
            <v>청년</v>
          </cell>
          <cell r="J116" t="str">
            <v>공예ㆍ디자인</v>
          </cell>
          <cell r="K116" t="str">
            <v>공예ㆍ디자인</v>
          </cell>
          <cell r="L116" t="str">
            <v>초기</v>
          </cell>
          <cell r="M116" t="str">
            <v>합격</v>
          </cell>
        </row>
        <row r="117">
          <cell r="B117">
            <v>20412385</v>
          </cell>
          <cell r="C117" t="str">
            <v>엄선우</v>
          </cell>
          <cell r="D117" t="str">
            <v>usw1227@kangwon.ac.kr</v>
          </cell>
          <cell r="F117" t="str">
            <v>엑소좀 기반 다중 바이오마커 기술이 적용된 휴대용 분석기기 연동 암 진단 키트</v>
          </cell>
          <cell r="G117" t="str">
            <v>실험실</v>
          </cell>
          <cell r="I117" t="str">
            <v>청년</v>
          </cell>
          <cell r="J117" t="str">
            <v>바이오ㆍ의료ㆍ생명</v>
          </cell>
          <cell r="K117" t="str">
            <v>바이오ㆍ의료ㆍ생명1</v>
          </cell>
          <cell r="L117" t="str">
            <v>초기</v>
          </cell>
          <cell r="M117" t="str">
            <v>합격</v>
          </cell>
        </row>
        <row r="118">
          <cell r="B118">
            <v>20413981</v>
          </cell>
          <cell r="C118" t="str">
            <v>조백상</v>
          </cell>
          <cell r="D118" t="str">
            <v>bsjo@bsbio.co.kr</v>
          </cell>
          <cell r="F118" t="str">
            <v>멀티 유닛 방출 제어 경구 기술 기반 체내 흡수율을 최적화 기능성 복합 제형</v>
          </cell>
          <cell r="G118" t="str">
            <v>지역기반</v>
          </cell>
          <cell r="I118" t="str">
            <v>청년</v>
          </cell>
          <cell r="J118" t="str">
            <v>바이오ㆍ의료ㆍ생명</v>
          </cell>
          <cell r="K118" t="str">
            <v>바이오ㆍ의료ㆍ생명2</v>
          </cell>
          <cell r="L118" t="str">
            <v>도약</v>
          </cell>
          <cell r="M118" t="str">
            <v>합격</v>
          </cell>
        </row>
        <row r="119">
          <cell r="B119">
            <v>20414230</v>
          </cell>
          <cell r="C119" t="str">
            <v>전영준</v>
          </cell>
          <cell r="D119" t="str">
            <v>jeon2020@skku.edu</v>
          </cell>
          <cell r="E119" t="str">
            <v>전임교원</v>
          </cell>
          <cell r="F119" t="str">
            <v xml:space="preserve">혈장전사체 유래 신경특이 마커와 뇌 영상 융합 기반의 알츠하이머(AD) 발병 기전 예측 및 초조기 진단 솔루션 </v>
          </cell>
          <cell r="G119" t="str">
            <v>대학발</v>
          </cell>
          <cell r="I119" t="str">
            <v>중장년</v>
          </cell>
          <cell r="J119" t="str">
            <v>바이오ㆍ의료ㆍ생명</v>
          </cell>
          <cell r="K119" t="str">
            <v>바이오ㆍ의료ㆍ생명1</v>
          </cell>
          <cell r="L119" t="str">
            <v>초기</v>
          </cell>
          <cell r="M119" t="str">
            <v>합격</v>
          </cell>
          <cell r="N119" t="str">
            <v>22일 4시 이후 희망(..?!)</v>
          </cell>
        </row>
        <row r="120">
          <cell r="B120">
            <v>20417534</v>
          </cell>
          <cell r="C120" t="str">
            <v>김이철</v>
          </cell>
          <cell r="D120" t="str">
            <v>k2p0227@naver.com</v>
          </cell>
          <cell r="F120" t="str">
            <v>광학 투명 구조 기술 기반ENT 내시경 일회용 감염방지 커버</v>
          </cell>
          <cell r="G120" t="str">
            <v>지역기반</v>
          </cell>
          <cell r="I120" t="str">
            <v>중장년</v>
          </cell>
          <cell r="J120" t="str">
            <v>바이오ㆍ의료ㆍ생명</v>
          </cell>
          <cell r="K120" t="str">
            <v>바이오ㆍ의료ㆍ생명2</v>
          </cell>
          <cell r="L120" t="str">
            <v>초기</v>
          </cell>
          <cell r="M120" t="str">
            <v>합격</v>
          </cell>
        </row>
        <row r="121">
          <cell r="B121">
            <v>20417774</v>
          </cell>
          <cell r="C121" t="str">
            <v>김홍국</v>
          </cell>
          <cell r="D121" t="str">
            <v>antonio@starhill51.com</v>
          </cell>
          <cell r="F121" t="str">
            <v>7종 원료 배합기술로 8개국 특허 받은 TPE 겔 제조 기술에 기반한『에셀라이트 패치』</v>
          </cell>
          <cell r="G121" t="str">
            <v>지역기반</v>
          </cell>
          <cell r="I121" t="str">
            <v>중장년</v>
          </cell>
          <cell r="J121" t="str">
            <v>바이오ㆍ의료ㆍ생명</v>
          </cell>
          <cell r="K121" t="str">
            <v>바이오ㆍ의료ㆍ생명1</v>
          </cell>
          <cell r="L121" t="str">
            <v>도약</v>
          </cell>
          <cell r="M121" t="str">
            <v>합격</v>
          </cell>
        </row>
        <row r="122">
          <cell r="B122">
            <v>20419166</v>
          </cell>
          <cell r="C122" t="str">
            <v>강기운</v>
          </cell>
          <cell r="D122" t="str">
            <v>kwkang0115@gmail.com</v>
          </cell>
          <cell r="F122" t="str">
            <v>난치성 심장 뇌질환 치료를 위한 자가 조직 추출 표면 개질된  미토콘드리아 조성물 이식 치료제 개발 플랫폼 구축</v>
          </cell>
          <cell r="G122" t="str">
            <v>실험실</v>
          </cell>
          <cell r="I122" t="str">
            <v>중장년</v>
          </cell>
          <cell r="J122" t="str">
            <v>바이오ㆍ의료ㆍ생명</v>
          </cell>
          <cell r="K122" t="str">
            <v>바이오ㆍ의료ㆍ생명1</v>
          </cell>
          <cell r="L122" t="str">
            <v>초기</v>
          </cell>
          <cell r="M122" t="str">
            <v>합격</v>
          </cell>
          <cell r="N122" t="str">
            <v>외래진료로 21일 오전 혹은 22일 희망</v>
          </cell>
        </row>
        <row r="123">
          <cell r="B123">
            <v>20415322</v>
          </cell>
          <cell r="C123" t="str">
            <v>김건형</v>
          </cell>
          <cell r="D123" t="str">
            <v>ghkimj@skku.edu</v>
          </cell>
          <cell r="F123" t="str">
            <v>차세대 하이브리드 본딩용 초저온 유기박막 솔루션을 통한 AI 반도체(HBM) 고단 적층 한계 극복 및 공정 수율 극대화 기술</v>
          </cell>
          <cell r="G123" t="str">
            <v>대학발</v>
          </cell>
          <cell r="I123" t="str">
            <v>청년</v>
          </cell>
          <cell r="J123" t="str">
            <v>기계ㆍ소재</v>
          </cell>
          <cell r="K123" t="str">
            <v>기계ㆍ소재</v>
          </cell>
          <cell r="L123" t="str">
            <v>예비</v>
          </cell>
          <cell r="M123" t="str">
            <v>합격</v>
          </cell>
        </row>
        <row r="124">
          <cell r="B124">
            <v>20417471</v>
          </cell>
          <cell r="C124" t="str">
            <v>하은주</v>
          </cell>
          <cell r="D124" t="str">
            <v>center@reyup.kr</v>
          </cell>
          <cell r="F124" t="str">
            <v>“ 근골격계 기능검진 데이터 AI기반 원인 분석 솔루션 ”</v>
          </cell>
          <cell r="G124" t="str">
            <v>지역기반</v>
          </cell>
          <cell r="I124" t="str">
            <v>중장년</v>
          </cell>
          <cell r="J124" t="str">
            <v>정보ㆍ통신</v>
          </cell>
          <cell r="K124" t="str">
            <v>정보ㆍ통신1</v>
          </cell>
          <cell r="L124" t="str">
            <v>도약</v>
          </cell>
          <cell r="M124" t="str">
            <v>합격</v>
          </cell>
        </row>
        <row r="125">
          <cell r="B125">
            <v>20425675</v>
          </cell>
          <cell r="C125" t="str">
            <v>양준우</v>
          </cell>
          <cell r="D125" t="str">
            <v>preconscious@naver.com</v>
          </cell>
          <cell r="F125" t="str">
            <v>AI·로봇·XR융합 Motor-Cognitive Closed·loop 통합 신경재활 의료기기 플랫폼</v>
          </cell>
          <cell r="G125" t="str">
            <v>대학발</v>
          </cell>
          <cell r="I125" t="str">
            <v>청년</v>
          </cell>
          <cell r="J125" t="str">
            <v>바이오ㆍ의료ㆍ생명</v>
          </cell>
          <cell r="K125" t="str">
            <v>바이오ㆍ의료ㆍ생명1</v>
          </cell>
          <cell r="L125" t="str">
            <v>초기</v>
          </cell>
          <cell r="M125" t="str">
            <v>합격</v>
          </cell>
        </row>
        <row r="126">
          <cell r="B126">
            <v>20418598</v>
          </cell>
          <cell r="C126" t="str">
            <v>박윤범</v>
          </cell>
          <cell r="D126" t="str">
            <v>updog7777@gmail.com</v>
          </cell>
          <cell r="F126" t="str">
            <v>복정맥 인식 기술 기반의 반려동물 신원 등록/식별 솔루션 '베이네펫(Veine_Pet)(가칭)'</v>
          </cell>
          <cell r="G126" t="str">
            <v>지역기반</v>
          </cell>
          <cell r="I126" t="str">
            <v>청년</v>
          </cell>
          <cell r="J126" t="str">
            <v>정보ㆍ통신</v>
          </cell>
          <cell r="K126" t="str">
            <v>정보ㆍ통신5</v>
          </cell>
          <cell r="L126" t="str">
            <v>도약</v>
          </cell>
          <cell r="M126" t="str">
            <v>합격</v>
          </cell>
        </row>
        <row r="127">
          <cell r="B127">
            <v>20419110</v>
          </cell>
          <cell r="C127" t="str">
            <v>서준호</v>
          </cell>
          <cell r="D127" t="str">
            <v>jhseo@jbnu.ac.kr</v>
          </cell>
          <cell r="F127" t="str">
            <v>저유량(30 lpm이하)-저전류(25 A 이하)-고전압(350 V 이상) 운전 특성을 가진 반도체/디스플레이 폐가스(PFCs) 분해용 장수명-고열효율 직류 플라즈마 토치</v>
          </cell>
          <cell r="G127" t="str">
            <v>실험실</v>
          </cell>
          <cell r="I127" t="str">
            <v>중장년</v>
          </cell>
          <cell r="J127" t="str">
            <v>전기ㆍ전자</v>
          </cell>
          <cell r="K127" t="str">
            <v>전기ㆍ전자</v>
          </cell>
          <cell r="L127" t="str">
            <v>초기</v>
          </cell>
          <cell r="M127" t="str">
            <v>합격</v>
          </cell>
        </row>
        <row r="128">
          <cell r="B128">
            <v>20427590</v>
          </cell>
          <cell r="C128" t="str">
            <v>한진영</v>
          </cell>
          <cell r="D128" t="str">
            <v>jyhantop@gmail.com</v>
          </cell>
          <cell r="E128" t="str">
            <v>전임교원</v>
          </cell>
          <cell r="F128" t="str">
            <v>AI 기반 그림 심리 선별 플랫폼</v>
          </cell>
          <cell r="G128" t="str">
            <v>대학발</v>
          </cell>
          <cell r="I128" t="str">
            <v>중장년</v>
          </cell>
          <cell r="J128" t="str">
            <v>정보ㆍ통신</v>
          </cell>
          <cell r="K128" t="str">
            <v>정보ㆍ통신8</v>
          </cell>
          <cell r="L128" t="str">
            <v>초기</v>
          </cell>
          <cell r="M128" t="str">
            <v>합격</v>
          </cell>
          <cell r="N128" t="str">
            <v>22일 발표 희망</v>
          </cell>
        </row>
        <row r="129">
          <cell r="B129">
            <v>20428115</v>
          </cell>
          <cell r="C129" t="str">
            <v>권정훈</v>
          </cell>
          <cell r="D129" t="str">
            <v>gonni2000@cminnovation.co.kr</v>
          </cell>
          <cell r="F129" t="str">
            <v>블록체인 기반 다차원 검증 디지털 공증 플랫폼</v>
          </cell>
          <cell r="G129" t="str">
            <v>지역기반</v>
          </cell>
          <cell r="I129" t="str">
            <v>중장년</v>
          </cell>
          <cell r="J129" t="str">
            <v>정보ㆍ통신</v>
          </cell>
          <cell r="K129" t="str">
            <v>정보ㆍ통신5</v>
          </cell>
          <cell r="L129" t="str">
            <v>도약</v>
          </cell>
          <cell r="M129" t="str">
            <v>합격</v>
          </cell>
        </row>
        <row r="130">
          <cell r="B130">
            <v>20426658</v>
          </cell>
          <cell r="C130" t="str">
            <v>최해란</v>
          </cell>
          <cell r="D130" t="str">
            <v>11chlfks@naver.com</v>
          </cell>
          <cell r="F130" t="str">
            <v>AI 원단 품질 분석 기술이 적용된 폐원단 데이터화·자동 매칭 기반 자원 순환 플랫폼 서비스 “TexCycle”</v>
          </cell>
          <cell r="G130" t="str">
            <v>지역기반</v>
          </cell>
          <cell r="I130" t="str">
            <v>청년</v>
          </cell>
          <cell r="J130" t="str">
            <v>에너지ㆍ자원</v>
          </cell>
          <cell r="K130" t="str">
            <v>에너지ㆍ자원</v>
          </cell>
          <cell r="L130" t="str">
            <v>초기</v>
          </cell>
          <cell r="M130" t="str">
            <v>합격</v>
          </cell>
        </row>
        <row r="131">
          <cell r="B131">
            <v>20408825</v>
          </cell>
          <cell r="C131" t="str">
            <v>한대희</v>
          </cell>
          <cell r="D131" t="str">
            <v>danny@foreground.co.kr</v>
          </cell>
          <cell r="F131" t="str">
            <v>AI 캐릭터 라이브톡 기반 키즈전용 플랫폼 &amp;lt;쿠키즈&amp;gt;</v>
          </cell>
          <cell r="G131" t="str">
            <v>지역기반</v>
          </cell>
          <cell r="I131" t="str">
            <v>중장년</v>
          </cell>
          <cell r="J131" t="str">
            <v>정보ㆍ통신</v>
          </cell>
          <cell r="K131" t="str">
            <v>정보ㆍ통신7</v>
          </cell>
          <cell r="L131" t="str">
            <v>도약</v>
          </cell>
          <cell r="M131" t="str">
            <v>합격</v>
          </cell>
        </row>
        <row r="132">
          <cell r="B132">
            <v>20414625</v>
          </cell>
          <cell r="C132" t="str">
            <v>김선진</v>
          </cell>
          <cell r="D132" t="str">
            <v>samuraiii@naver.com</v>
          </cell>
          <cell r="F132" t="str">
            <v>초음파 향미 추출 기반 조주·조리용 향미 주류 (비터스·기주) 개발</v>
          </cell>
          <cell r="G132" t="str">
            <v>지역기반</v>
          </cell>
          <cell r="I132" t="str">
            <v>중장년</v>
          </cell>
          <cell r="J132" t="str">
            <v>화공ㆍ섬유</v>
          </cell>
          <cell r="K132" t="str">
            <v>화공ㆍ섬유</v>
          </cell>
          <cell r="L132" t="str">
            <v>예비</v>
          </cell>
          <cell r="M132" t="str">
            <v>합격</v>
          </cell>
        </row>
        <row r="133">
          <cell r="B133">
            <v>20415506</v>
          </cell>
          <cell r="C133" t="str">
            <v>남수정</v>
          </cell>
          <cell r="D133" t="str">
            <v>sjnam@kokasin.com</v>
          </cell>
          <cell r="F133" t="str">
            <v xml:space="preserve">치매·발달장애인 안전을 위한, AI낙상감지 기능 제공 독립통신형(LTE) 스마트태그 사업화 </v>
          </cell>
          <cell r="G133" t="str">
            <v>지역기반</v>
          </cell>
          <cell r="I133" t="str">
            <v>중장년</v>
          </cell>
          <cell r="J133" t="str">
            <v>정보ㆍ통신</v>
          </cell>
          <cell r="K133" t="str">
            <v>정보ㆍ통신6</v>
          </cell>
          <cell r="L133" t="str">
            <v>도약</v>
          </cell>
          <cell r="M133" t="str">
            <v>합격</v>
          </cell>
        </row>
        <row r="134">
          <cell r="B134">
            <v>20416056</v>
          </cell>
          <cell r="C134" t="str">
            <v>강태환</v>
          </cell>
          <cell r="D134" t="str">
            <v>thkang@akeoedu.com</v>
          </cell>
          <cell r="F134" t="str">
            <v>프롬프트 설계부터 텍스트 코딩까지: K-12 전용 '블록-바이브코딩' AI 코스웨어</v>
          </cell>
          <cell r="G134" t="str">
            <v>지역기반</v>
          </cell>
          <cell r="I134" t="str">
            <v>청년</v>
          </cell>
          <cell r="J134" t="str">
            <v>정보ㆍ통신</v>
          </cell>
          <cell r="K134" t="str">
            <v>정보ㆍ통신6</v>
          </cell>
          <cell r="L134" t="str">
            <v>초기</v>
          </cell>
          <cell r="M134" t="str">
            <v>합격</v>
          </cell>
        </row>
        <row r="135">
          <cell r="B135">
            <v>20417617</v>
          </cell>
          <cell r="C135" t="str">
            <v>서진원</v>
          </cell>
          <cell r="D135" t="str">
            <v>andy.seo@typeb.co.kr</v>
          </cell>
          <cell r="F135" t="str">
            <v>AI 기반 해외 셀러-국내 공급자 매칭 및 국제배송 연동 역직구 드랍쉬핑 SaaS</v>
          </cell>
          <cell r="G135" t="str">
            <v>지역기반</v>
          </cell>
          <cell r="I135" t="str">
            <v>중장년</v>
          </cell>
          <cell r="J135" t="str">
            <v>정보ㆍ통신</v>
          </cell>
          <cell r="K135" t="str">
            <v>정보ㆍ통신1</v>
          </cell>
          <cell r="L135" t="str">
            <v>도약</v>
          </cell>
          <cell r="M135" t="str">
            <v>합격</v>
          </cell>
        </row>
        <row r="136">
          <cell r="B136">
            <v>20420270</v>
          </cell>
          <cell r="C136" t="str">
            <v>박수연</v>
          </cell>
          <cell r="D136" t="str">
            <v>info@charactermon.com</v>
          </cell>
          <cell r="F136" t="str">
            <v>Monster Hangul : 한글 몬스터(조립형 캐릭터)로 놀이처럼 배우는 AI 기반 글로벌 영유아 한글 학습 서비스</v>
          </cell>
          <cell r="G136" t="str">
            <v>지역기반</v>
          </cell>
          <cell r="I136" t="str">
            <v>청년</v>
          </cell>
          <cell r="J136" t="str">
            <v>정보ㆍ통신</v>
          </cell>
          <cell r="K136" t="str">
            <v>정보ㆍ통신1</v>
          </cell>
          <cell r="L136" t="str">
            <v>도약</v>
          </cell>
          <cell r="M136" t="str">
            <v>합격</v>
          </cell>
        </row>
        <row r="137">
          <cell r="B137">
            <v>20423136</v>
          </cell>
          <cell r="C137" t="str">
            <v>민무홍</v>
          </cell>
          <cell r="D137" t="str">
            <v>moohong.min@gmail.com</v>
          </cell>
          <cell r="E137" t="str">
            <v>전임교원</v>
          </cell>
          <cell r="F137" t="str">
            <v>씨큐케이브 (SecuCave)</v>
          </cell>
          <cell r="G137" t="str">
            <v>대학발</v>
          </cell>
          <cell r="I137" t="str">
            <v>중장년</v>
          </cell>
          <cell r="J137" t="str">
            <v>정보ㆍ통신</v>
          </cell>
          <cell r="K137" t="str">
            <v>정보ㆍ통신8</v>
          </cell>
          <cell r="L137" t="str">
            <v>예비</v>
          </cell>
          <cell r="M137" t="str">
            <v>합격</v>
          </cell>
        </row>
        <row r="138">
          <cell r="B138">
            <v>20424619</v>
          </cell>
          <cell r="C138" t="str">
            <v>김현지</v>
          </cell>
          <cell r="D138" t="str">
            <v>ashleykim1118kim@gmail.com</v>
          </cell>
          <cell r="F138" t="str">
            <v>학생 행동 데이터 기반 Youth Fintech 플랫폼, 크래빗</v>
          </cell>
          <cell r="G138" t="str">
            <v>지역기반</v>
          </cell>
          <cell r="I138" t="str">
            <v>청년</v>
          </cell>
          <cell r="J138" t="str">
            <v>정보ㆍ통신</v>
          </cell>
          <cell r="K138" t="str">
            <v>정보ㆍ통신7</v>
          </cell>
          <cell r="L138" t="str">
            <v>초기</v>
          </cell>
          <cell r="M138" t="str">
            <v>합격</v>
          </cell>
        </row>
        <row r="139">
          <cell r="B139">
            <v>20424850</v>
          </cell>
          <cell r="C139" t="str">
            <v>안영샘</v>
          </cell>
          <cell r="D139" t="str">
            <v>ysahn@postsimulation.com</v>
          </cell>
          <cell r="F139" t="str">
            <v>스마트 뮤즈(SmartMuse)</v>
          </cell>
          <cell r="G139" t="str">
            <v>대학발</v>
          </cell>
          <cell r="I139" t="str">
            <v>청년</v>
          </cell>
          <cell r="J139" t="str">
            <v>정보ㆍ통신</v>
          </cell>
          <cell r="K139" t="str">
            <v>정보ㆍ통신8</v>
          </cell>
          <cell r="L139" t="str">
            <v>도약</v>
          </cell>
          <cell r="M139" t="str">
            <v>합격</v>
          </cell>
        </row>
        <row r="140">
          <cell r="B140">
            <v>20426148</v>
          </cell>
          <cell r="C140" t="str">
            <v>강경민</v>
          </cell>
          <cell r="D140" t="str">
            <v>vinglevangle.conlab@gmail.com</v>
          </cell>
          <cell r="F140" t="str">
            <v>소상공인에게는 매출전환 콘텐츠를, 청년에게는 실무·수익화를 연결하는 양면 콘텐츠 운영 플랫폼, 컨테니파이</v>
          </cell>
          <cell r="G140" t="str">
            <v>지역기반</v>
          </cell>
          <cell r="I140" t="str">
            <v>청년</v>
          </cell>
          <cell r="J140" t="str">
            <v>정보ㆍ통신</v>
          </cell>
          <cell r="K140" t="str">
            <v>정보ㆍ통신3</v>
          </cell>
          <cell r="L140" t="str">
            <v>예비</v>
          </cell>
          <cell r="M140" t="str">
            <v>합격</v>
          </cell>
        </row>
        <row r="141">
          <cell r="B141">
            <v>20428133</v>
          </cell>
          <cell r="C141" t="str">
            <v>배주모</v>
          </cell>
          <cell r="D141" t="str">
            <v>jumo@regen119.com</v>
          </cell>
          <cell r="F141" t="str">
            <v>영상대로 따라하는 ‘보이는 자동심장충격기’ 개발</v>
          </cell>
          <cell r="G141" t="str">
            <v>지역기반</v>
          </cell>
          <cell r="I141" t="str">
            <v>중장년</v>
          </cell>
          <cell r="J141" t="str">
            <v>바이오ㆍ의료ㆍ생명</v>
          </cell>
          <cell r="K141" t="str">
            <v>바이오ㆍ의료ㆍ생명2</v>
          </cell>
          <cell r="L141" t="str">
            <v>도약</v>
          </cell>
          <cell r="M141" t="str">
            <v>합격</v>
          </cell>
        </row>
        <row r="142">
          <cell r="B142">
            <v>20428312</v>
          </cell>
          <cell r="C142" t="str">
            <v>최의순</v>
          </cell>
          <cell r="D142" t="str">
            <v>realdataecho@gmail.com</v>
          </cell>
          <cell r="F142" t="str">
            <v>온톨로지 기술이 적용된 비즈니스 규칙 준수형 AI 학습용 정형데이터 합성솔루션</v>
          </cell>
          <cell r="G142" t="str">
            <v>지역기반</v>
          </cell>
          <cell r="I142" t="str">
            <v>중장년</v>
          </cell>
          <cell r="J142" t="str">
            <v>정보ㆍ통신</v>
          </cell>
          <cell r="K142" t="str">
            <v>정보ㆍ통신5</v>
          </cell>
          <cell r="L142" t="str">
            <v>초기</v>
          </cell>
          <cell r="M142" t="str">
            <v>합격</v>
          </cell>
        </row>
        <row r="143">
          <cell r="B143">
            <v>20429524</v>
          </cell>
          <cell r="C143" t="str">
            <v>김동현</v>
          </cell>
          <cell r="D143" t="str">
            <v>devlofi@naver.com</v>
          </cell>
          <cell r="F143" t="str">
            <v>교보문고가 먼저 찾은, 온톨로지 기반 AI BOOK 큐레이션 솔루션 (서비스명: 토파(topa))</v>
          </cell>
          <cell r="G143" t="str">
            <v>대학발</v>
          </cell>
          <cell r="I143" t="str">
            <v>청년</v>
          </cell>
          <cell r="J143" t="str">
            <v>정보ㆍ통신</v>
          </cell>
          <cell r="K143" t="str">
            <v>정보ㆍ통신8</v>
          </cell>
          <cell r="L143" t="str">
            <v>초기</v>
          </cell>
          <cell r="M143" t="str">
            <v>합격</v>
          </cell>
        </row>
        <row r="144">
          <cell r="B144">
            <v>20429573</v>
          </cell>
          <cell r="C144" t="str">
            <v>배경환</v>
          </cell>
          <cell r="D144" t="str">
            <v>bkh@coprobe.com</v>
          </cell>
          <cell r="F144" t="str">
            <v>기술 부채 제로를 위한 MCP 기반 지능형 SW 설계 자동화 솔루션 개발</v>
          </cell>
          <cell r="G144" t="str">
            <v>지역기반</v>
          </cell>
          <cell r="I144" t="str">
            <v>중장년</v>
          </cell>
          <cell r="J144" t="str">
            <v>정보ㆍ통신</v>
          </cell>
          <cell r="K144" t="str">
            <v>정보ㆍ통신6</v>
          </cell>
          <cell r="L144" t="str">
            <v>초기</v>
          </cell>
          <cell r="M144" t="str">
            <v>합격</v>
          </cell>
        </row>
        <row r="145">
          <cell r="B145">
            <v>20431469</v>
          </cell>
          <cell r="C145" t="str">
            <v>고형진</v>
          </cell>
          <cell r="D145" t="str">
            <v>hyungjinko@skku.edu</v>
          </cell>
          <cell r="E145" t="str">
            <v>전임교원</v>
          </cell>
          <cell r="F145" t="str">
            <v>AI 금융 비서 핀가드AI (FinGuard AI)</v>
          </cell>
          <cell r="G145" t="str">
            <v>대학발</v>
          </cell>
          <cell r="I145" t="str">
            <v>청년</v>
          </cell>
          <cell r="J145" t="str">
            <v>정보ㆍ통신</v>
          </cell>
          <cell r="K145" t="str">
            <v>정보ㆍ통신8</v>
          </cell>
          <cell r="L145" t="str">
            <v>예비</v>
          </cell>
          <cell r="M145" t="str">
            <v>합격</v>
          </cell>
        </row>
        <row r="146">
          <cell r="B146">
            <v>20429088</v>
          </cell>
          <cell r="C146" t="str">
            <v>김용완</v>
          </cell>
          <cell r="D146" t="str">
            <v>thomas06@hanmail.net</v>
          </cell>
          <cell r="F146" t="str">
            <v>반려동물 악성종양에 대한 광역학 항암치료용 광민감제 및 레이저 시스템 개발</v>
          </cell>
          <cell r="G146" t="str">
            <v>지역기반</v>
          </cell>
          <cell r="I146" t="str">
            <v>중장년</v>
          </cell>
          <cell r="J146" t="str">
            <v>바이오ㆍ의료ㆍ생명</v>
          </cell>
          <cell r="K146" t="str">
            <v>바이오ㆍ의료ㆍ생명1</v>
          </cell>
          <cell r="L146" t="str">
            <v>초기</v>
          </cell>
          <cell r="M146" t="str">
            <v>합격</v>
          </cell>
        </row>
        <row r="147">
          <cell r="B147">
            <v>20414096</v>
          </cell>
          <cell r="C147" t="str">
            <v>간원진</v>
          </cell>
          <cell r="D147" t="str">
            <v>wkan9001@naver.com</v>
          </cell>
          <cell r="F147" t="str">
            <v>안전채취 스마트 판독 비인체 마약 검출 키트</v>
          </cell>
          <cell r="G147" t="str">
            <v>대학발</v>
          </cell>
          <cell r="I147" t="str">
            <v>청년</v>
          </cell>
          <cell r="J147" t="str">
            <v>바이오ㆍ의료ㆍ생명</v>
          </cell>
          <cell r="K147" t="str">
            <v>바이오ㆍ의료ㆍ생명2</v>
          </cell>
          <cell r="L147" t="str">
            <v>예비</v>
          </cell>
          <cell r="M147" t="str">
            <v>합격</v>
          </cell>
        </row>
        <row r="148">
          <cell r="B148">
            <v>20415851</v>
          </cell>
          <cell r="C148" t="str">
            <v>김지원</v>
          </cell>
          <cell r="D148" t="str">
            <v>kjw6493@naver.com</v>
          </cell>
          <cell r="F148" t="str">
            <v>2조 4000억원 나이트가드 시장, 이갈이 있는 고객을 위한 AI 기반 초개인화 나이트가드 제작 및 구독 서비스 (MOU 1개 확보, 창업후 3개월만에 200만원 매출)</v>
          </cell>
          <cell r="G148" t="str">
            <v>지역기반</v>
          </cell>
          <cell r="I148" t="str">
            <v>청년</v>
          </cell>
          <cell r="J148" t="str">
            <v>바이오ㆍ의료ㆍ생명</v>
          </cell>
          <cell r="K148" t="str">
            <v>바이오ㆍ의료ㆍ생명1</v>
          </cell>
          <cell r="L148" t="str">
            <v>초기</v>
          </cell>
          <cell r="M148" t="str">
            <v>합격</v>
          </cell>
        </row>
        <row r="149">
          <cell r="B149">
            <v>20417896</v>
          </cell>
          <cell r="C149" t="str">
            <v>백승엽</v>
          </cell>
          <cell r="D149" t="str">
            <v>100victory@maring.kr</v>
          </cell>
          <cell r="F149" t="str">
            <v>4-7-8호흡 모션 기반 숙면 &amp; 멘탈 케어 봉제인형 및 앱 서비스</v>
          </cell>
          <cell r="G149" t="str">
            <v>지역기반</v>
          </cell>
          <cell r="I149" t="str">
            <v>청년</v>
          </cell>
          <cell r="J149" t="str">
            <v>바이오ㆍ의료ㆍ생명</v>
          </cell>
          <cell r="K149" t="str">
            <v>바이오ㆍ의료ㆍ생명1</v>
          </cell>
          <cell r="L149" t="str">
            <v>도약</v>
          </cell>
          <cell r="M149" t="str">
            <v>합격</v>
          </cell>
        </row>
        <row r="150">
          <cell r="B150">
            <v>20423821</v>
          </cell>
          <cell r="C150" t="str">
            <v>장희수</v>
          </cell>
          <cell r="D150" t="str">
            <v>huisoojang@gmail.com</v>
          </cell>
          <cell r="F150" t="str">
            <v>지능형 비색 바이오센서 및 AI 분석 기술 기반의 ‘24시간 이내 균 식별(ID) 및 항생제 감수성 검사(AST) 통합 진단 플랫폼’</v>
          </cell>
          <cell r="G150" t="str">
            <v>실험실</v>
          </cell>
          <cell r="I150" t="str">
            <v>청년</v>
          </cell>
          <cell r="J150" t="str">
            <v>바이오ㆍ의료ㆍ생명</v>
          </cell>
          <cell r="K150" t="str">
            <v>바이오ㆍ의료ㆍ생명1</v>
          </cell>
          <cell r="L150" t="str">
            <v>초기</v>
          </cell>
          <cell r="M150" t="str">
            <v>합격</v>
          </cell>
        </row>
        <row r="151">
          <cell r="B151">
            <v>20402754</v>
          </cell>
          <cell r="C151" t="str">
            <v>최하진</v>
          </cell>
          <cell r="D151" t="str">
            <v>ssndtinc@gmail.com</v>
          </cell>
          <cell r="F151" t="str">
            <v>AI 기반 건설현장 기록물 관리 플랫폼</v>
          </cell>
          <cell r="G151" t="str">
            <v>실험실</v>
          </cell>
          <cell r="I151" t="str">
            <v>중장년</v>
          </cell>
          <cell r="J151" t="str">
            <v>정보ㆍ통신</v>
          </cell>
          <cell r="K151" t="str">
            <v>정보ㆍ통신7</v>
          </cell>
          <cell r="L151" t="str">
            <v>초기</v>
          </cell>
          <cell r="M151" t="str">
            <v>합격</v>
          </cell>
        </row>
        <row r="152">
          <cell r="B152">
            <v>20414308</v>
          </cell>
          <cell r="C152" t="str">
            <v>최용호</v>
          </cell>
          <cell r="D152" t="str">
            <v>cyh@dnssoft.co.kr</v>
          </cell>
          <cell r="F152" t="str">
            <v>AI 기반 초개인화 매칭 기술과 다이나믹 프라이싱 기술을 활용한  K-컬처 대중문화예술인 전문 안심 중개 플랫폼</v>
          </cell>
          <cell r="G152" t="str">
            <v>지역기반</v>
          </cell>
          <cell r="I152" t="str">
            <v>중장년</v>
          </cell>
          <cell r="J152" t="str">
            <v>정보ㆍ통신</v>
          </cell>
          <cell r="K152" t="str">
            <v>정보ㆍ통신5</v>
          </cell>
          <cell r="L152" t="str">
            <v>도약</v>
          </cell>
          <cell r="M152" t="str">
            <v>합격</v>
          </cell>
        </row>
        <row r="153">
          <cell r="B153">
            <v>20427490</v>
          </cell>
          <cell r="C153" t="str">
            <v>전정배</v>
          </cell>
          <cell r="D153" t="str">
            <v>greenkeyceo001@gmail.com</v>
          </cell>
          <cell r="F153" t="str">
            <v>열화상 기반 통합 감지 기술이 적용된 전기차 화재 자율 초기진압 기능의 지하주차장 스마트 안전로봇 시스템</v>
          </cell>
          <cell r="G153" t="str">
            <v>대학발</v>
          </cell>
          <cell r="I153" t="str">
            <v>청년</v>
          </cell>
          <cell r="J153" t="str">
            <v>기계ㆍ소재</v>
          </cell>
          <cell r="K153" t="str">
            <v>기계ㆍ소재</v>
          </cell>
          <cell r="L153" t="str">
            <v>초기</v>
          </cell>
          <cell r="M153" t="str">
            <v>합격</v>
          </cell>
        </row>
        <row r="154">
          <cell r="B154">
            <v>20415839</v>
          </cell>
          <cell r="C154" t="str">
            <v>박상준</v>
          </cell>
          <cell r="D154" t="str">
            <v>a124244@naver.com</v>
          </cell>
          <cell r="F154" t="str">
            <v>모아밸류</v>
          </cell>
          <cell r="G154" t="str">
            <v>지역기반</v>
          </cell>
          <cell r="I154" t="str">
            <v>청년</v>
          </cell>
          <cell r="J154" t="str">
            <v>정보ㆍ통신</v>
          </cell>
          <cell r="K154" t="str">
            <v>정보ㆍ통신7</v>
          </cell>
          <cell r="L154" t="str">
            <v>예비</v>
          </cell>
          <cell r="M154" t="str">
            <v>합격</v>
          </cell>
        </row>
        <row r="155">
          <cell r="B155">
            <v>20417238</v>
          </cell>
          <cell r="C155" t="str">
            <v>서동석</v>
          </cell>
          <cell r="D155" t="str">
            <v>energy.suh@ewha.ac.kr</v>
          </cell>
          <cell r="F155" t="str">
            <v>고내구성 스트레인 센서를 이용한 자동차 타이어 및 방진고무의 실시간 이상징후 AI 탐지 시스템</v>
          </cell>
          <cell r="G155" t="str">
            <v>실험실</v>
          </cell>
          <cell r="I155" t="str">
            <v>중장년</v>
          </cell>
          <cell r="J155" t="str">
            <v>기계ㆍ소재</v>
          </cell>
          <cell r="K155" t="str">
            <v>기계ㆍ소재</v>
          </cell>
          <cell r="L155" t="str">
            <v>초기</v>
          </cell>
          <cell r="M155" t="str">
            <v>합격</v>
          </cell>
        </row>
        <row r="156">
          <cell r="B156">
            <v>20417697</v>
          </cell>
          <cell r="C156" t="str">
            <v>신완선</v>
          </cell>
          <cell r="D156" t="str">
            <v>wsshin@skku.edu</v>
          </cell>
          <cell r="E156" t="str">
            <v>전임교원</v>
          </cell>
          <cell r="F156" t="str">
            <v>실시간 모바일 공간안전품질(DSQ) 대시보드 플랫폼</v>
          </cell>
          <cell r="G156" t="str">
            <v>실험실</v>
          </cell>
          <cell r="I156" t="str">
            <v>중장년</v>
          </cell>
          <cell r="J156" t="str">
            <v>정보ㆍ통신</v>
          </cell>
          <cell r="K156" t="str">
            <v>정보ㆍ통신7</v>
          </cell>
          <cell r="L156" t="str">
            <v>초기</v>
          </cell>
          <cell r="M156" t="str">
            <v>합격</v>
          </cell>
        </row>
        <row r="157">
          <cell r="B157">
            <v>20418458</v>
          </cell>
          <cell r="C157" t="str">
            <v>임유진</v>
          </cell>
          <cell r="D157" t="str">
            <v>northtech@northtech.co.kr</v>
          </cell>
          <cell r="F157" t="str">
            <v>AI 실사화 의류 이미지 생성 기술 사전 검증 및 생산 연동 솔루션</v>
          </cell>
          <cell r="G157" t="str">
            <v>지역기반</v>
          </cell>
          <cell r="I157" t="str">
            <v>중장년</v>
          </cell>
          <cell r="J157" t="str">
            <v>정보ㆍ통신</v>
          </cell>
          <cell r="K157" t="str">
            <v>정보ㆍ통신5</v>
          </cell>
          <cell r="L157" t="str">
            <v>도약</v>
          </cell>
          <cell r="M157" t="str">
            <v>합격</v>
          </cell>
          <cell r="N157" t="str">
            <v>21일 발표 희망</v>
          </cell>
        </row>
        <row r="158">
          <cell r="B158">
            <v>20419192</v>
          </cell>
          <cell r="C158" t="str">
            <v>박주연</v>
          </cell>
          <cell r="D158" t="str">
            <v>juyeon.park@snu.ac.kr</v>
          </cell>
          <cell r="F158" t="str">
            <v>웨어러블 의료기기 개발 전 주기를 지원하는 혁신 솔루션 플랫폼</v>
          </cell>
          <cell r="G158" t="str">
            <v>실험실</v>
          </cell>
          <cell r="I158" t="str">
            <v>중장년</v>
          </cell>
          <cell r="J158" t="str">
            <v>정보ㆍ통신</v>
          </cell>
          <cell r="K158" t="str">
            <v>정보ㆍ통신7</v>
          </cell>
          <cell r="L158" t="str">
            <v>초기</v>
          </cell>
          <cell r="M158" t="str">
            <v>합격</v>
          </cell>
        </row>
        <row r="159">
          <cell r="B159">
            <v>20419387</v>
          </cell>
          <cell r="C159" t="str">
            <v>WOO SIMON SUNGIL</v>
          </cell>
          <cell r="D159" t="str">
            <v>swoo@g.skku.edu</v>
          </cell>
          <cell r="E159" t="str">
            <v>전임교원</v>
          </cell>
          <cell r="F159" t="str">
            <v>생성형 AI 범죄 대응을 위한 지능형 이미지/영상 통합 보안 솔루션 - DeepTrac</v>
          </cell>
          <cell r="G159" t="str">
            <v>실험실</v>
          </cell>
          <cell r="I159" t="str">
            <v>중장년</v>
          </cell>
          <cell r="J159" t="str">
            <v>정보ㆍ통신</v>
          </cell>
          <cell r="K159" t="str">
            <v>정보ㆍ통신7</v>
          </cell>
          <cell r="L159" t="str">
            <v>초기</v>
          </cell>
          <cell r="M159" t="str">
            <v>합격</v>
          </cell>
        </row>
        <row r="160">
          <cell r="B160">
            <v>20420127</v>
          </cell>
          <cell r="C160" t="str">
            <v>명대호</v>
          </cell>
          <cell r="D160" t="str">
            <v>daeho21@naver.com</v>
          </cell>
          <cell r="F160" t="str">
            <v>AI 네트워크를 활용한 교육용 우주입자 검출기 및 무피폭 SMR 비파괴 스캐너</v>
          </cell>
          <cell r="G160" t="str">
            <v>대학발</v>
          </cell>
          <cell r="I160" t="str">
            <v>청년</v>
          </cell>
          <cell r="J160" t="str">
            <v>정보ㆍ통신</v>
          </cell>
          <cell r="K160" t="str">
            <v>정보ㆍ통신8</v>
          </cell>
          <cell r="L160" t="str">
            <v>예비</v>
          </cell>
          <cell r="M160" t="str">
            <v>합격</v>
          </cell>
        </row>
        <row r="161">
          <cell r="B161">
            <v>20421742</v>
          </cell>
          <cell r="C161" t="str">
            <v>이원철</v>
          </cell>
          <cell r="D161" t="str">
            <v>wc.lee@kangwon.ac.kr</v>
          </cell>
          <cell r="F161" t="str">
            <v>고난도 첨단 연구용 유기화합물 맞춤형 합성·공급 플랫폼</v>
          </cell>
          <cell r="G161" t="str">
            <v>실험실</v>
          </cell>
          <cell r="I161" t="str">
            <v>청년</v>
          </cell>
          <cell r="J161" t="str">
            <v>화공ㆍ섬유</v>
          </cell>
          <cell r="K161" t="str">
            <v>화공ㆍ섬유</v>
          </cell>
          <cell r="L161" t="str">
            <v>초기</v>
          </cell>
          <cell r="M161" t="str">
            <v>합격</v>
          </cell>
        </row>
        <row r="162">
          <cell r="B162">
            <v>20423461</v>
          </cell>
          <cell r="C162" t="str">
            <v>이은석</v>
          </cell>
          <cell r="D162" t="str">
            <v>leees@skku.edu</v>
          </cell>
          <cell r="E162" t="str">
            <v>전임교원</v>
          </cell>
          <cell r="F162" t="str">
            <v>AI 기반 비정상 오픈소스 탐지 및 DevSecOps 자동화 보안 플랫폼</v>
          </cell>
          <cell r="G162" t="str">
            <v>대학발</v>
          </cell>
          <cell r="I162" t="str">
            <v>중장년</v>
          </cell>
          <cell r="J162" t="str">
            <v>정보ㆍ통신</v>
          </cell>
          <cell r="K162" t="str">
            <v>정보ㆍ통신8</v>
          </cell>
          <cell r="L162" t="str">
            <v>예비</v>
          </cell>
          <cell r="M162" t="str">
            <v>합격</v>
          </cell>
        </row>
        <row r="163">
          <cell r="B163">
            <v>20426082</v>
          </cell>
          <cell r="C163" t="str">
            <v>박주혁</v>
          </cell>
          <cell r="D163" t="str">
            <v>jpark@hexai.co.kr</v>
          </cell>
          <cell r="E163" t="str">
            <v>매출실적우수</v>
          </cell>
          <cell r="F163" t="str">
            <v>멀티모달 LLM 기반 K-Food 수출 트렌드 매칭 플랫폼 FoodFactory</v>
          </cell>
          <cell r="G163" t="str">
            <v>대학발</v>
          </cell>
          <cell r="I163" t="str">
            <v>중장년</v>
          </cell>
          <cell r="J163" t="str">
            <v>정보ㆍ통신</v>
          </cell>
          <cell r="K163" t="str">
            <v>정보ㆍ통신8</v>
          </cell>
          <cell r="L163" t="str">
            <v>도약</v>
          </cell>
          <cell r="M163" t="str">
            <v>합격</v>
          </cell>
        </row>
        <row r="164">
          <cell r="B164">
            <v>20426671</v>
          </cell>
          <cell r="C164" t="str">
            <v>이해섭</v>
          </cell>
          <cell r="D164" t="str">
            <v>kevin@moable.space</v>
          </cell>
          <cell r="F164" t="str">
            <v>모아블 OS — 비아파트 주거공간 AI 관리 자동화 플랫폼 (Agent as a Service)</v>
          </cell>
          <cell r="G164" t="str">
            <v>지역기반</v>
          </cell>
          <cell r="I164" t="str">
            <v>청년</v>
          </cell>
          <cell r="J164" t="str">
            <v>정보ㆍ통신</v>
          </cell>
          <cell r="K164" t="str">
            <v>정보ㆍ통신3</v>
          </cell>
          <cell r="L164" t="str">
            <v>도약</v>
          </cell>
          <cell r="M164" t="str">
            <v>합격</v>
          </cell>
        </row>
        <row r="165">
          <cell r="B165">
            <v>20427459</v>
          </cell>
          <cell r="C165" t="str">
            <v>신인근</v>
          </cell>
          <cell r="D165" t="str">
            <v>jason@276holdings.com</v>
          </cell>
          <cell r="F165" t="str">
            <v xml:space="preserve">AI 공급망 리스크 조기경보 시스템 기반 중소기업 SNPL 플랫폼 고도화 </v>
          </cell>
          <cell r="G165" t="str">
            <v>지역기반</v>
          </cell>
          <cell r="I165" t="str">
            <v>청년</v>
          </cell>
          <cell r="J165" t="str">
            <v>정보ㆍ통신</v>
          </cell>
          <cell r="K165" t="str">
            <v>정보ㆍ통신6</v>
          </cell>
          <cell r="L165" t="str">
            <v>도약</v>
          </cell>
          <cell r="M165" t="str">
            <v>합격</v>
          </cell>
        </row>
        <row r="166">
          <cell r="B166">
            <v>20428639</v>
          </cell>
          <cell r="C166" t="str">
            <v>권도현</v>
          </cell>
          <cell r="D166" t="str">
            <v>kay@lepersona.com</v>
          </cell>
          <cell r="F166" t="str">
            <v>향 레시피 도용과 높은 외주비용으로 고민하는 중소 뷰티 제조기업을 위해, 조향 레시피 디지털 IP화 기술로 기존 대비 향 개발 비용을 50% 이상 절감하는 AI 기반 향기 데이터 구독 플랫폼</v>
          </cell>
          <cell r="G166" t="str">
            <v>지역기반</v>
          </cell>
          <cell r="I166" t="str">
            <v>중장년</v>
          </cell>
          <cell r="J166" t="str">
            <v>정보ㆍ통신</v>
          </cell>
          <cell r="K166" t="str">
            <v>정보ㆍ통신4</v>
          </cell>
          <cell r="L166" t="str">
            <v>도약</v>
          </cell>
          <cell r="M166" t="str">
            <v>합격</v>
          </cell>
        </row>
        <row r="167">
          <cell r="B167">
            <v>20428945</v>
          </cell>
          <cell r="C167" t="str">
            <v>이건희</v>
          </cell>
          <cell r="D167" t="str">
            <v>andrew_lee@taejaworks.com</v>
          </cell>
          <cell r="F167" t="str">
            <v>캐릭터 IP를 살아 말하게 하는 감성 AI 보이스 솔루션 개발 및 IP 사업자 공급형 사업화 (On the Voice — 캐릭터 온톨로지 기반 범용 SaaS)</v>
          </cell>
          <cell r="G167" t="str">
            <v>지역기반</v>
          </cell>
          <cell r="I167" t="str">
            <v>청년</v>
          </cell>
          <cell r="J167" t="str">
            <v>정보ㆍ통신</v>
          </cell>
          <cell r="K167" t="str">
            <v>정보ㆍ통신3</v>
          </cell>
          <cell r="L167" t="str">
            <v>초기</v>
          </cell>
          <cell r="M167" t="str">
            <v>합격</v>
          </cell>
        </row>
        <row r="168">
          <cell r="B168">
            <v>20431043</v>
          </cell>
          <cell r="C168" t="str">
            <v>유병기</v>
          </cell>
          <cell r="D168" t="str">
            <v>bg.ryu7@doitdbiz.co.kr</v>
          </cell>
          <cell r="F168" t="str">
            <v>로컬 LLM·RAG 기술이 적용된 보안 완결형 제조 지식검색 및 업무자동화 기능의 제조혁신형 AI SaaS</v>
          </cell>
          <cell r="G168" t="str">
            <v>지역기반</v>
          </cell>
          <cell r="I168" t="str">
            <v>중장년</v>
          </cell>
          <cell r="J168" t="str">
            <v>정보ㆍ통신</v>
          </cell>
          <cell r="K168" t="str">
            <v>정보ㆍ통신3</v>
          </cell>
          <cell r="L168" t="str">
            <v>도약</v>
          </cell>
          <cell r="M168" t="str">
            <v>합격</v>
          </cell>
        </row>
        <row r="169">
          <cell r="B169">
            <v>20414728</v>
          </cell>
          <cell r="C169" t="str">
            <v>황해주</v>
          </cell>
          <cell r="D169" t="str">
            <v>tax@carbonconcerto.com</v>
          </cell>
          <cell r="F169" t="str">
            <v>세라믹 바인더 기술이 적용된 플랜트 고온 운전환경용 직접 적용형 단열 코팅 기술</v>
          </cell>
          <cell r="G169" t="str">
            <v>지역기반</v>
          </cell>
          <cell r="I169" t="str">
            <v>중장년</v>
          </cell>
          <cell r="J169" t="str">
            <v>에너지ㆍ자원</v>
          </cell>
          <cell r="K169" t="str">
            <v>에너지ㆍ자원</v>
          </cell>
          <cell r="L169" t="str">
            <v>도약</v>
          </cell>
          <cell r="M169" t="str">
            <v>합격</v>
          </cell>
        </row>
        <row r="170">
          <cell r="B170">
            <v>20428829</v>
          </cell>
          <cell r="C170" t="str">
            <v>이건희</v>
          </cell>
          <cell r="D170" t="str">
            <v>abc@syniez.com</v>
          </cell>
          <cell r="F170" t="str">
            <v>시니즈(Syniez)</v>
          </cell>
          <cell r="G170" t="str">
            <v>지역기반</v>
          </cell>
          <cell r="I170" t="str">
            <v>청년</v>
          </cell>
          <cell r="J170" t="str">
            <v>에너지ㆍ자원</v>
          </cell>
          <cell r="K170" t="str">
            <v>에너지ㆍ자원</v>
          </cell>
          <cell r="L170" t="str">
            <v>초기</v>
          </cell>
          <cell r="M170" t="str">
            <v>합격</v>
          </cell>
        </row>
        <row r="171">
          <cell r="B171">
            <v>20439414</v>
          </cell>
          <cell r="C171" t="str">
            <v>송인우</v>
          </cell>
          <cell r="D171" t="str">
            <v>siw3355@gmail.com</v>
          </cell>
          <cell r="F171" t="str">
            <v>AI·IoT 기반 중소형 빌딩 냉난방·전력 절감 자동화 에너지 관리 플랫폼</v>
          </cell>
          <cell r="G171" t="str">
            <v>지역기반</v>
          </cell>
          <cell r="I171" t="str">
            <v>청년</v>
          </cell>
          <cell r="J171" t="str">
            <v>에너지ㆍ자원</v>
          </cell>
          <cell r="K171" t="str">
            <v>에너지ㆍ자원</v>
          </cell>
          <cell r="L171" t="str">
            <v>예비</v>
          </cell>
          <cell r="M171" t="str">
            <v>합격</v>
          </cell>
        </row>
        <row r="172">
          <cell r="B172">
            <v>20410913</v>
          </cell>
          <cell r="C172" t="str">
            <v>윤병현</v>
          </cell>
          <cell r="D172" t="str">
            <v>ceo@eco-by.com</v>
          </cell>
          <cell r="F172" t="str">
            <v>자연식 생육원료 기반 냉동성형 동결건조 제조기술 방식의 팻 프리미엄 천연 간식(사료) 플랫폼 구축</v>
          </cell>
          <cell r="G172" t="str">
            <v>지역기반</v>
          </cell>
          <cell r="I172" t="str">
            <v>중장년</v>
          </cell>
          <cell r="J172" t="str">
            <v>바이오ㆍ의료ㆍ생명</v>
          </cell>
          <cell r="K172" t="str">
            <v>바이오ㆍ의료ㆍ생명1</v>
          </cell>
          <cell r="L172" t="str">
            <v>도약</v>
          </cell>
          <cell r="M172" t="str">
            <v>합격</v>
          </cell>
        </row>
        <row r="173">
          <cell r="B173">
            <v>20424587</v>
          </cell>
          <cell r="C173" t="str">
            <v>황경래</v>
          </cell>
          <cell r="D173" t="str">
            <v>forto11@naver.com</v>
          </cell>
          <cell r="F173" t="str">
            <v>생성형AI 기반 관상동맥조영술 방사선 피폭 저감 비디오 프레임 보간(VFI) 솔루션</v>
          </cell>
          <cell r="G173" t="str">
            <v>지역기반</v>
          </cell>
          <cell r="I173" t="str">
            <v>중장년</v>
          </cell>
          <cell r="J173" t="str">
            <v>바이오ㆍ의료ㆍ생명</v>
          </cell>
          <cell r="K173" t="str">
            <v>바이오ㆍ의료ㆍ생명1</v>
          </cell>
          <cell r="L173" t="str">
            <v>예비</v>
          </cell>
          <cell r="M173" t="str">
            <v>합격</v>
          </cell>
        </row>
        <row r="174">
          <cell r="B174">
            <v>20425607</v>
          </cell>
          <cell r="C174" t="str">
            <v>신동성</v>
          </cell>
          <cell r="D174" t="str">
            <v>eastar2023.ds@gmail.com</v>
          </cell>
          <cell r="F174" t="str">
            <v xml:space="preserve">질환 특이적 줄기세포 기능화 플랫폼 ‘RegenPrime’ </v>
          </cell>
          <cell r="G174" t="str">
            <v>대학발</v>
          </cell>
          <cell r="I174" t="str">
            <v>중장년</v>
          </cell>
          <cell r="J174" t="str">
            <v>바이오ㆍ의료ㆍ생명</v>
          </cell>
          <cell r="K174" t="str">
            <v>바이오ㆍ의료ㆍ생명1</v>
          </cell>
          <cell r="L174" t="str">
            <v>초기</v>
          </cell>
          <cell r="M174" t="str">
            <v>합격</v>
          </cell>
        </row>
        <row r="175">
          <cell r="B175">
            <v>20406894</v>
          </cell>
          <cell r="C175" t="str">
            <v>이송목</v>
          </cell>
          <cell r="D175" t="str">
            <v>lsm3645@g.skku.edu</v>
          </cell>
          <cell r="E175" t="str">
            <v>잠재력 확인팀</v>
          </cell>
          <cell r="F175" t="str">
            <v>품앗이</v>
          </cell>
          <cell r="G175" t="str">
            <v>대학발</v>
          </cell>
          <cell r="I175" t="str">
            <v>청년</v>
          </cell>
          <cell r="J175" t="str">
            <v>정보ㆍ통신</v>
          </cell>
          <cell r="K175" t="str">
            <v>정보ㆍ통신8</v>
          </cell>
          <cell r="L175" t="str">
            <v>예비</v>
          </cell>
          <cell r="M175" t="str">
            <v>합격</v>
          </cell>
        </row>
        <row r="176">
          <cell r="B176">
            <v>20410732</v>
          </cell>
          <cell r="C176" t="str">
            <v>여혜은</v>
          </cell>
          <cell r="D176" t="str">
            <v>yeohyeeun0928@gmail.com</v>
          </cell>
          <cell r="F176" t="str">
            <v>5.5만 건의 의류 설계(패턴) 데이터 자산 및 AI 3D 시뮬레이션 기반 패션-테크 솔루션</v>
          </cell>
          <cell r="G176" t="str">
            <v>지역기반</v>
          </cell>
          <cell r="I176" t="str">
            <v>청년</v>
          </cell>
          <cell r="J176" t="str">
            <v>정보ㆍ통신</v>
          </cell>
          <cell r="K176" t="str">
            <v>정보ㆍ통신6</v>
          </cell>
          <cell r="L176" t="str">
            <v>초기</v>
          </cell>
          <cell r="M176" t="str">
            <v>합격</v>
          </cell>
        </row>
        <row r="177">
          <cell r="B177">
            <v>20415487</v>
          </cell>
          <cell r="C177" t="str">
            <v>김용민</v>
          </cell>
          <cell r="D177" t="str">
            <v>fespace1112@naver.com</v>
          </cell>
          <cell r="F177" t="str">
            <v>AI·디지털 기술을 적용한 스마트 산림조사 시스템 개발</v>
          </cell>
          <cell r="G177" t="str">
            <v>지역기반</v>
          </cell>
          <cell r="I177" t="str">
            <v>중장년</v>
          </cell>
          <cell r="J177" t="str">
            <v>정보ㆍ통신</v>
          </cell>
          <cell r="K177" t="str">
            <v>정보ㆍ통신7</v>
          </cell>
          <cell r="L177" t="str">
            <v>도약</v>
          </cell>
          <cell r="M177" t="str">
            <v>합격</v>
          </cell>
        </row>
        <row r="178">
          <cell r="B178">
            <v>20416668</v>
          </cell>
          <cell r="C178" t="str">
            <v>박규근</v>
          </cell>
          <cell r="D178" t="str">
            <v>kkpark@yhlab.kr</v>
          </cell>
          <cell r="F178" t="str">
            <v>여름철 민감·트러블 진정용 스킨케어 샤워기용 타블렛 개발</v>
          </cell>
          <cell r="G178" t="str">
            <v>대학발</v>
          </cell>
          <cell r="I178" t="str">
            <v>청년</v>
          </cell>
          <cell r="J178" t="str">
            <v>화공ㆍ섬유</v>
          </cell>
          <cell r="K178" t="str">
            <v>화공ㆍ섬유</v>
          </cell>
          <cell r="L178" t="str">
            <v>초기</v>
          </cell>
          <cell r="M178" t="str">
            <v>합격</v>
          </cell>
        </row>
        <row r="179">
          <cell r="B179">
            <v>20420108</v>
          </cell>
          <cell r="C179" t="str">
            <v>이여진</v>
          </cell>
          <cell r="D179" t="str">
            <v>ceo@soas.co.kr</v>
          </cell>
          <cell r="F179" t="str">
            <v>AI 체형 분석 기반 장요근 맞춤 케어 디바이스 개발</v>
          </cell>
          <cell r="G179" t="str">
            <v>지역기반</v>
          </cell>
          <cell r="I179" t="str">
            <v>중장년</v>
          </cell>
          <cell r="J179" t="str">
            <v>정보ㆍ통신</v>
          </cell>
          <cell r="K179" t="str">
            <v>정보ㆍ통신7</v>
          </cell>
          <cell r="L179" t="str">
            <v>초기</v>
          </cell>
          <cell r="M179" t="str">
            <v>합격</v>
          </cell>
        </row>
        <row r="180">
          <cell r="B180">
            <v>20425290</v>
          </cell>
          <cell r="C180" t="str">
            <v>정희철</v>
          </cell>
          <cell r="D180" t="str">
            <v>atlantispe@gmail.com</v>
          </cell>
          <cell r="F180" t="str">
            <v>DICE 신용평가 정보 기능을 탑재한 크리에이터 AI 올인원 플랫폼 ‘크박’</v>
          </cell>
          <cell r="G180" t="str">
            <v>지역기반</v>
          </cell>
          <cell r="I180" t="str">
            <v>청년</v>
          </cell>
          <cell r="J180" t="str">
            <v>정보ㆍ통신</v>
          </cell>
          <cell r="K180" t="str">
            <v>정보ㆍ통신5</v>
          </cell>
          <cell r="L180" t="str">
            <v>도약</v>
          </cell>
          <cell r="M180" t="str">
            <v>합격</v>
          </cell>
        </row>
        <row r="181">
          <cell r="B181">
            <v>20425812</v>
          </cell>
          <cell r="C181" t="str">
            <v>이승한</v>
          </cell>
          <cell r="D181" t="str">
            <v>repdiary.sh@gmail.com</v>
          </cell>
          <cell r="F181" t="str">
            <v>교배·해칭 기록 기반 양서파충류 모프 유전 확률 및 혈통 신뢰도 AI 시뮬레이션 기술</v>
          </cell>
          <cell r="G181" t="str">
            <v>지역기반</v>
          </cell>
          <cell r="I181" t="str">
            <v>청년</v>
          </cell>
          <cell r="J181" t="str">
            <v>정보ㆍ통신</v>
          </cell>
          <cell r="K181" t="str">
            <v>정보ㆍ통신3</v>
          </cell>
          <cell r="L181" t="str">
            <v>초기</v>
          </cell>
          <cell r="M181" t="str">
            <v>합격</v>
          </cell>
        </row>
        <row r="182">
          <cell r="B182">
            <v>20427569</v>
          </cell>
          <cell r="C182" t="str">
            <v>김선일</v>
          </cell>
          <cell r="D182" t="str">
            <v>black@haru-creative.com</v>
          </cell>
          <cell r="F182" t="str">
            <v>AI 기반 인플루언서 마케팅 통합 솔루션</v>
          </cell>
          <cell r="G182" t="str">
            <v>지역기반</v>
          </cell>
          <cell r="I182" t="str">
            <v>청년</v>
          </cell>
          <cell r="J182" t="str">
            <v>정보ㆍ통신</v>
          </cell>
          <cell r="K182" t="str">
            <v>정보ㆍ통신1</v>
          </cell>
          <cell r="L182" t="str">
            <v>초기</v>
          </cell>
          <cell r="M182" t="str">
            <v>합격</v>
          </cell>
        </row>
        <row r="183">
          <cell r="B183">
            <v>20432406</v>
          </cell>
          <cell r="C183" t="str">
            <v>배성찬</v>
          </cell>
          <cell r="D183" t="str">
            <v>the4589@naver.com</v>
          </cell>
          <cell r="F183" t="str">
            <v>섬유 폐기물을 재활용 기술로 기능성 패널(코어)로 소재화하여, 기존 데코타일(LVT) 대비 경량성·쿠션감·파손 저항성·흡음성을 획기적으로 개선한 업사이클링 기능성 바닥재(Eco-LVT)</v>
          </cell>
          <cell r="G183" t="str">
            <v>대학발</v>
          </cell>
          <cell r="I183" t="str">
            <v>청년</v>
          </cell>
          <cell r="J183" t="str">
            <v>에너지ㆍ자원</v>
          </cell>
          <cell r="K183" t="str">
            <v>에너지ㆍ자원</v>
          </cell>
          <cell r="L183" t="str">
            <v>도약</v>
          </cell>
          <cell r="M183" t="str">
            <v>합격</v>
          </cell>
        </row>
        <row r="184">
          <cell r="B184">
            <v>20417599</v>
          </cell>
          <cell r="C184" t="str">
            <v>김수전</v>
          </cell>
          <cell r="D184" t="str">
            <v>sk325@inha.ac.kr</v>
          </cell>
          <cell r="F184" t="str">
            <v>도시침수 저감을 위한 임펠러리스 스마트 배수펌프 기술의 운용 솔루션</v>
          </cell>
          <cell r="G184" t="str">
            <v>실험실</v>
          </cell>
          <cell r="I184" t="str">
            <v>중장년</v>
          </cell>
          <cell r="J184" t="str">
            <v>에너지ㆍ자원</v>
          </cell>
          <cell r="K184" t="str">
            <v>에너지ㆍ자원</v>
          </cell>
          <cell r="L184" t="str">
            <v>초기</v>
          </cell>
          <cell r="M184" t="str">
            <v>합격</v>
          </cell>
          <cell r="N184" t="str">
            <v>22일 오전 희망</v>
          </cell>
        </row>
        <row r="185">
          <cell r="B185">
            <v>20403842</v>
          </cell>
          <cell r="C185" t="str">
            <v>조나라</v>
          </cell>
          <cell r="D185" t="str">
            <v>country0102@gmail.com</v>
          </cell>
          <cell r="F185" t="str">
            <v>차세대 태양전지용 설계 자유도 보존형 저독성 정공물질 잉크 키트, ’퓨어플로우’</v>
          </cell>
          <cell r="G185" t="str">
            <v>지역기반</v>
          </cell>
          <cell r="I185" t="str">
            <v>중장년</v>
          </cell>
          <cell r="J185" t="str">
            <v>에너지ㆍ자원</v>
          </cell>
          <cell r="K185" t="str">
            <v>에너지ㆍ자원</v>
          </cell>
          <cell r="L185" t="str">
            <v>예비</v>
          </cell>
          <cell r="M185" t="str">
            <v>합격</v>
          </cell>
        </row>
        <row r="186">
          <cell r="B186">
            <v>20428346</v>
          </cell>
          <cell r="C186" t="str">
            <v>김태겸</v>
          </cell>
          <cell r="D186" t="str">
            <v>taegyum.kim@fuzzyline.io</v>
          </cell>
          <cell r="F186" t="str">
            <v>실시간 멀티플레이어 LBE AIoT 플랫폼 고도화</v>
          </cell>
          <cell r="G186" t="str">
            <v>지역기반</v>
          </cell>
          <cell r="I186" t="str">
            <v>청년</v>
          </cell>
          <cell r="J186" t="str">
            <v>정보ㆍ통신</v>
          </cell>
          <cell r="K186" t="str">
            <v>정보ㆍ통신3</v>
          </cell>
          <cell r="L186" t="str">
            <v>도약</v>
          </cell>
          <cell r="M186" t="str">
            <v>합격</v>
          </cell>
        </row>
        <row r="187">
          <cell r="B187">
            <v>20429725</v>
          </cell>
          <cell r="C187" t="str">
            <v>김현</v>
          </cell>
          <cell r="D187" t="str">
            <v>mesiro@daum.net</v>
          </cell>
          <cell r="F187" t="str">
            <v>초격차 메타루프 시스템을 결합한 AI 기술이 적용된 완전 무인 주차장 관제 시스템</v>
          </cell>
          <cell r="G187" t="str">
            <v>지역기반</v>
          </cell>
          <cell r="I187" t="str">
            <v>중장년</v>
          </cell>
          <cell r="J187" t="str">
            <v>정보ㆍ통신</v>
          </cell>
          <cell r="K187" t="str">
            <v>정보ㆍ통신7</v>
          </cell>
          <cell r="L187" t="str">
            <v>도약</v>
          </cell>
          <cell r="M187" t="str">
            <v>합격</v>
          </cell>
        </row>
        <row r="188">
          <cell r="B188">
            <v>20430558</v>
          </cell>
          <cell r="C188" t="str">
            <v>이승훈</v>
          </cell>
          <cell r="D188" t="str">
            <v>leeseung9845@naver.com</v>
          </cell>
          <cell r="F188" t="str">
            <v>계정 성장이 시급한 소상공인을 위한 알고리즘 노출 문제를 AI 전략 기술로 해결하는 리워드 플랫폼, '애드네비'</v>
          </cell>
          <cell r="G188" t="str">
            <v>지역기반</v>
          </cell>
          <cell r="I188" t="str">
            <v>청년</v>
          </cell>
          <cell r="J188" t="str">
            <v>정보ㆍ통신</v>
          </cell>
          <cell r="K188" t="str">
            <v>정보ㆍ통신7</v>
          </cell>
          <cell r="L188" t="str">
            <v>도약</v>
          </cell>
          <cell r="M188" t="str">
            <v>합격</v>
          </cell>
        </row>
        <row r="189">
          <cell r="B189">
            <v>20413666</v>
          </cell>
          <cell r="C189" t="str">
            <v>김정현</v>
          </cell>
          <cell r="D189" t="str">
            <v>contact@fringse.com</v>
          </cell>
          <cell r="F189" t="str">
            <v>일상 소모성 제품인 메이크업 퍼프에  0.0001mm 코팅 기술, 스쿼클 쉐입 기술력을 더해,  환경에 부담을 줄이고 메이크업 효과를 높인 메이크업 퍼프  [이름 : 아기궁둥이 퍼프]</v>
          </cell>
          <cell r="G189" t="str">
            <v>지역기반</v>
          </cell>
          <cell r="I189" t="str">
            <v>청년</v>
          </cell>
          <cell r="J189" t="str">
            <v>에너지ㆍ자원</v>
          </cell>
          <cell r="K189" t="str">
            <v>에너지ㆍ자원</v>
          </cell>
          <cell r="L189" t="str">
            <v>초기</v>
          </cell>
          <cell r="M189" t="str">
            <v>합격</v>
          </cell>
        </row>
        <row r="190">
          <cell r="B190">
            <v>20406455</v>
          </cell>
          <cell r="C190" t="str">
            <v>홍기증</v>
          </cell>
          <cell r="D190" t="str">
            <v>kjhong@kookmin.ac.kr</v>
          </cell>
          <cell r="F190" t="str">
            <v xml:space="preserve">정밀생산시설 운전지속성 기반 내진설계 컨설팅 </v>
          </cell>
          <cell r="G190" t="str">
            <v>대학발</v>
          </cell>
          <cell r="I190" t="str">
            <v>중장년</v>
          </cell>
          <cell r="J190" t="str">
            <v>정보ㆍ통신</v>
          </cell>
          <cell r="K190" t="str">
            <v>정보ㆍ통신8</v>
          </cell>
          <cell r="L190" t="str">
            <v>예비</v>
          </cell>
          <cell r="M190" t="str">
            <v>합격</v>
          </cell>
        </row>
        <row r="191">
          <cell r="B191">
            <v>20406463</v>
          </cell>
          <cell r="C191" t="str">
            <v>유영진</v>
          </cell>
          <cell r="D191" t="str">
            <v>youhaneng20@naver.com</v>
          </cell>
          <cell r="F191" t="str">
            <v>폐수열 활용 친환경 냉매 기반  AI 스마트 열교환 시스템 개발</v>
          </cell>
          <cell r="G191" t="str">
            <v>지역기반</v>
          </cell>
          <cell r="I191" t="str">
            <v>청년</v>
          </cell>
          <cell r="J191" t="str">
            <v>에너지ㆍ자원</v>
          </cell>
          <cell r="K191" t="str">
            <v>에너지ㆍ자원</v>
          </cell>
          <cell r="L191" t="str">
            <v>도약</v>
          </cell>
          <cell r="M191" t="str">
            <v>합격</v>
          </cell>
        </row>
        <row r="192">
          <cell r="B192">
            <v>20409931</v>
          </cell>
          <cell r="C192" t="str">
            <v>김서진</v>
          </cell>
          <cell r="D192" t="str">
            <v>shiraz@depart.im</v>
          </cell>
          <cell r="F192" t="str">
            <v>SNS 고객 반응 데이터와 AI Agent를 활용해 브랜드 운영 의사결정 비효율을 해결하고 콘텐츠 성과를 최적화하는 Brand OS SaaS 플랫폼 개발</v>
          </cell>
          <cell r="G192" t="str">
            <v>지역기반</v>
          </cell>
          <cell r="I192" t="str">
            <v>중장년</v>
          </cell>
          <cell r="J192" t="str">
            <v>정보ㆍ통신</v>
          </cell>
          <cell r="K192" t="str">
            <v>정보ㆍ통신7</v>
          </cell>
          <cell r="L192" t="str">
            <v>도약</v>
          </cell>
          <cell r="M192" t="str">
            <v>합격</v>
          </cell>
        </row>
        <row r="193">
          <cell r="B193">
            <v>20416947</v>
          </cell>
          <cell r="C193" t="str">
            <v>김민상</v>
          </cell>
          <cell r="D193" t="str">
            <v>kangnam_79@naver.com</v>
          </cell>
          <cell r="F193" t="str">
            <v>90만 유저 사기 매물 피해를 막기 위한 AI기반 사기방지 플랫폼</v>
          </cell>
          <cell r="G193" t="str">
            <v>지역기반</v>
          </cell>
          <cell r="I193" t="str">
            <v>중장년</v>
          </cell>
          <cell r="J193" t="str">
            <v>정보ㆍ통신</v>
          </cell>
          <cell r="K193" t="str">
            <v>정보ㆍ통신7</v>
          </cell>
          <cell r="L193" t="str">
            <v>도약</v>
          </cell>
          <cell r="M193" t="str">
            <v>합격</v>
          </cell>
        </row>
        <row r="194">
          <cell r="B194">
            <v>20418464</v>
          </cell>
          <cell r="C194" t="str">
            <v>이창하</v>
          </cell>
          <cell r="D194" t="str">
            <v>ha1991@naver.com</v>
          </cell>
          <cell r="F194" t="str">
            <v>뼈 폐기물 기반 녹조 및 복합오염물질 제거용 친환경 흡착제 사업화</v>
          </cell>
          <cell r="G194" t="str">
            <v>지역기반</v>
          </cell>
          <cell r="I194" t="str">
            <v>중장년</v>
          </cell>
          <cell r="J194" t="str">
            <v>에너지ㆍ자원</v>
          </cell>
          <cell r="K194" t="str">
            <v>에너지ㆍ자원</v>
          </cell>
          <cell r="L194" t="str">
            <v>초기</v>
          </cell>
          <cell r="M194" t="str">
            <v>합격</v>
          </cell>
        </row>
        <row r="195">
          <cell r="B195">
            <v>20425350</v>
          </cell>
          <cell r="C195" t="str">
            <v>정승호</v>
          </cell>
          <cell r="D195" t="str">
            <v>pos-tech@nexterials.com</v>
          </cell>
          <cell r="E195" t="str">
            <v>전임교원</v>
          </cell>
          <cell r="F195" t="str">
            <v>수소연료전지 전해질막용 이차원 질화붕소 기반 고분자 복합소재 개발</v>
          </cell>
          <cell r="G195" t="str">
            <v>지역기반</v>
          </cell>
          <cell r="I195" t="str">
            <v>중장년</v>
          </cell>
          <cell r="J195" t="str">
            <v>에너지ㆍ자원</v>
          </cell>
          <cell r="K195" t="str">
            <v>에너지ㆍ자원</v>
          </cell>
          <cell r="L195" t="str">
            <v>도약</v>
          </cell>
          <cell r="M195" t="str">
            <v>합격</v>
          </cell>
        </row>
        <row r="196">
          <cell r="B196">
            <v>20431875</v>
          </cell>
          <cell r="C196" t="str">
            <v>강지현</v>
          </cell>
          <cell r="D196" t="str">
            <v>wwjj310@gmail.com</v>
          </cell>
          <cell r="F196" t="str">
            <v>AI 기반 원단 데이터 분석 및 맞춤형 원단 추천, 글로벌 Fabric 소싱 솔루션</v>
          </cell>
          <cell r="G196" t="str">
            <v>지역기반</v>
          </cell>
          <cell r="I196" t="str">
            <v>청년</v>
          </cell>
          <cell r="J196" t="str">
            <v>정보ㆍ통신</v>
          </cell>
          <cell r="K196" t="str">
            <v>정보ㆍ통신6</v>
          </cell>
          <cell r="L196" t="str">
            <v>도약</v>
          </cell>
          <cell r="M196" t="str">
            <v>합격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EEB0-74E1-4C9F-9E65-79E7B92D99E5}">
  <dimension ref="A3:BH109"/>
  <sheetViews>
    <sheetView tabSelected="1" zoomScale="85" zoomScaleNormal="85" workbookViewId="0">
      <selection activeCell="L21" sqref="L21"/>
    </sheetView>
  </sheetViews>
  <sheetFormatPr defaultRowHeight="16.5" x14ac:dyDescent="0.3"/>
  <cols>
    <col min="1" max="1" width="9.875" bestFit="1" customWidth="1"/>
    <col min="3" max="4" width="9" customWidth="1"/>
    <col min="6" max="7" width="11.25" style="2" customWidth="1"/>
    <col min="8" max="8" width="11.25" style="3" customWidth="1"/>
    <col min="9" max="9" width="11.25" style="3" hidden="1" customWidth="1"/>
    <col min="10" max="12" width="11.25" style="2" customWidth="1"/>
    <col min="13" max="13" width="11.25" style="4" customWidth="1"/>
    <col min="14" max="14" width="11.25" style="4" hidden="1" customWidth="1"/>
    <col min="15" max="16" width="11.25" style="2" customWidth="1"/>
    <col min="17" max="17" width="12.875" style="2" customWidth="1"/>
    <col min="18" max="18" width="11.25" style="4" customWidth="1"/>
    <col min="19" max="19" width="11.25" style="4" hidden="1" customWidth="1"/>
    <col min="20" max="22" width="11.25" style="2" customWidth="1"/>
    <col min="23" max="24" width="11.25" style="5" customWidth="1"/>
    <col min="25" max="27" width="11.25" style="6" customWidth="1"/>
    <col min="28" max="28" width="11.25" style="5" customWidth="1"/>
    <col min="29" max="29" width="11.25" style="5" hidden="1" customWidth="1"/>
    <col min="30" max="32" width="11.25" style="6" customWidth="1"/>
    <col min="33" max="33" width="11.25" style="5" customWidth="1"/>
    <col min="34" max="34" width="11.25" style="5" hidden="1" customWidth="1"/>
    <col min="35" max="37" width="11.25" style="6" customWidth="1"/>
    <col min="38" max="38" width="11.25" style="5" customWidth="1"/>
    <col min="39" max="39" width="11.25" style="5" hidden="1" customWidth="1"/>
    <col min="40" max="42" width="11.25" style="6" customWidth="1"/>
    <col min="43" max="43" width="11.25" style="5" customWidth="1"/>
    <col min="44" max="44" width="11.25" style="5" hidden="1" customWidth="1"/>
    <col min="45" max="47" width="11.25" style="6" customWidth="1"/>
    <col min="48" max="48" width="11.25" style="5" customWidth="1"/>
    <col min="49" max="49" width="11.25" style="5" hidden="1" customWidth="1"/>
    <col min="50" max="52" width="11.25" style="6" customWidth="1"/>
    <col min="53" max="53" width="11.25" style="5" customWidth="1"/>
    <col min="54" max="54" width="11.25" style="5" hidden="1" customWidth="1"/>
    <col min="55" max="57" width="11.25" style="6" customWidth="1"/>
    <col min="58" max="58" width="11.25" style="5" customWidth="1"/>
    <col min="59" max="59" width="11.25" style="5" hidden="1" customWidth="1"/>
    <col min="60" max="60" width="11.25" style="6" customWidth="1"/>
  </cols>
  <sheetData>
    <row r="3" spans="1:60" x14ac:dyDescent="0.3">
      <c r="A3" s="1">
        <v>46133</v>
      </c>
    </row>
    <row r="4" spans="1:60" x14ac:dyDescent="0.3">
      <c r="A4" s="7" t="s">
        <v>0</v>
      </c>
      <c r="B4" s="7"/>
      <c r="C4" s="7"/>
      <c r="D4" s="7"/>
      <c r="E4" s="8"/>
      <c r="F4" s="9"/>
      <c r="G4" s="2" t="s">
        <v>1</v>
      </c>
      <c r="J4" s="10"/>
      <c r="K4" s="11" t="s">
        <v>2</v>
      </c>
      <c r="T4" s="12"/>
      <c r="U4" s="11" t="s">
        <v>3</v>
      </c>
    </row>
    <row r="5" spans="1:60" x14ac:dyDescent="0.3">
      <c r="A5" s="13"/>
      <c r="B5" s="13"/>
      <c r="C5" s="13"/>
      <c r="D5" s="13"/>
      <c r="E5" s="14"/>
      <c r="F5" s="15" t="s">
        <v>4</v>
      </c>
      <c r="G5" s="15"/>
      <c r="H5" s="15"/>
      <c r="I5" s="15"/>
      <c r="J5" s="15"/>
      <c r="K5" s="15" t="s">
        <v>5</v>
      </c>
      <c r="L5" s="15"/>
      <c r="M5" s="15"/>
      <c r="N5" s="15"/>
      <c r="O5" s="15"/>
      <c r="P5" s="15" t="s">
        <v>6</v>
      </c>
      <c r="Q5" s="15"/>
      <c r="R5" s="15"/>
      <c r="S5" s="15"/>
      <c r="T5" s="15"/>
      <c r="U5" s="15" t="s">
        <v>7</v>
      </c>
      <c r="V5" s="15"/>
      <c r="W5" s="15"/>
      <c r="X5" s="15"/>
      <c r="Y5" s="15"/>
      <c r="Z5" s="15" t="s">
        <v>8</v>
      </c>
      <c r="AA5" s="15"/>
      <c r="AB5" s="15"/>
      <c r="AC5" s="15"/>
      <c r="AD5" s="15"/>
      <c r="AE5" s="15" t="s">
        <v>9</v>
      </c>
      <c r="AF5" s="15"/>
      <c r="AG5" s="15"/>
      <c r="AH5" s="15"/>
      <c r="AI5" s="15"/>
      <c r="AJ5" s="16" t="s">
        <v>10</v>
      </c>
      <c r="AK5" s="17"/>
      <c r="AL5" s="17"/>
      <c r="AM5" s="17"/>
      <c r="AN5" s="18"/>
      <c r="AO5" s="15" t="s">
        <v>11</v>
      </c>
      <c r="AP5" s="15"/>
      <c r="AQ5" s="15"/>
      <c r="AR5" s="15"/>
      <c r="AS5" s="15"/>
      <c r="AT5" s="15" t="s">
        <v>12</v>
      </c>
      <c r="AU5" s="15"/>
      <c r="AV5" s="15"/>
      <c r="AW5" s="15"/>
      <c r="AX5" s="15"/>
      <c r="AY5" s="15" t="s">
        <v>13</v>
      </c>
      <c r="AZ5" s="15"/>
      <c r="BA5" s="15"/>
      <c r="BB5" s="15"/>
      <c r="BC5" s="15"/>
      <c r="BD5" s="15" t="s">
        <v>14</v>
      </c>
      <c r="BE5" s="15"/>
      <c r="BF5" s="15"/>
      <c r="BG5" s="15"/>
      <c r="BH5" s="15"/>
    </row>
    <row r="6" spans="1:60" x14ac:dyDescent="0.3">
      <c r="A6" s="19" t="s">
        <v>15</v>
      </c>
      <c r="B6" s="19"/>
      <c r="C6" s="19" t="s">
        <v>16</v>
      </c>
      <c r="D6" s="19" t="s">
        <v>17</v>
      </c>
      <c r="E6" s="19" t="s">
        <v>18</v>
      </c>
      <c r="F6" s="20" t="s">
        <v>19</v>
      </c>
      <c r="G6" s="21" t="s">
        <v>20</v>
      </c>
      <c r="H6" s="22"/>
      <c r="I6" s="23"/>
      <c r="J6" s="24" t="s">
        <v>21</v>
      </c>
      <c r="K6" s="20" t="s">
        <v>19</v>
      </c>
      <c r="L6" s="21" t="s">
        <v>22</v>
      </c>
      <c r="M6" s="22"/>
      <c r="N6" s="23"/>
      <c r="O6" s="24" t="s">
        <v>23</v>
      </c>
      <c r="P6" s="20" t="s">
        <v>19</v>
      </c>
      <c r="Q6" s="21" t="s">
        <v>24</v>
      </c>
      <c r="R6" s="22"/>
      <c r="S6" s="23"/>
      <c r="T6" s="24" t="s">
        <v>25</v>
      </c>
      <c r="U6" s="20" t="s">
        <v>19</v>
      </c>
      <c r="V6" s="21" t="s">
        <v>26</v>
      </c>
      <c r="W6" s="22"/>
      <c r="X6" s="23"/>
      <c r="Y6" s="24" t="s">
        <v>27</v>
      </c>
      <c r="Z6" s="20" t="s">
        <v>19</v>
      </c>
      <c r="AA6" s="21" t="s">
        <v>28</v>
      </c>
      <c r="AB6" s="22"/>
      <c r="AC6" s="23"/>
      <c r="AD6" s="24" t="s">
        <v>29</v>
      </c>
      <c r="AE6" s="20" t="s">
        <v>19</v>
      </c>
      <c r="AF6" s="21" t="s">
        <v>30</v>
      </c>
      <c r="AG6" s="22"/>
      <c r="AH6" s="23"/>
      <c r="AI6" s="24" t="s">
        <v>31</v>
      </c>
      <c r="AJ6" s="20" t="s">
        <v>19</v>
      </c>
      <c r="AK6" s="21" t="s">
        <v>32</v>
      </c>
      <c r="AL6" s="22"/>
      <c r="AM6" s="23"/>
      <c r="AN6" s="24" t="s">
        <v>33</v>
      </c>
      <c r="AO6" s="20" t="s">
        <v>19</v>
      </c>
      <c r="AP6" s="21" t="s">
        <v>34</v>
      </c>
      <c r="AQ6" s="22"/>
      <c r="AR6" s="23"/>
      <c r="AS6" s="24" t="s">
        <v>35</v>
      </c>
      <c r="AT6" s="20" t="s">
        <v>19</v>
      </c>
      <c r="AU6" s="21" t="s">
        <v>36</v>
      </c>
      <c r="AV6" s="22"/>
      <c r="AW6" s="23"/>
      <c r="AX6" s="24" t="s">
        <v>37</v>
      </c>
      <c r="AY6" s="20" t="s">
        <v>19</v>
      </c>
      <c r="AZ6" s="21" t="s">
        <v>38</v>
      </c>
      <c r="BA6" s="22"/>
      <c r="BB6" s="23"/>
      <c r="BC6" s="24" t="s">
        <v>39</v>
      </c>
      <c r="BD6" s="20" t="s">
        <v>19</v>
      </c>
      <c r="BE6" s="21" t="s">
        <v>40</v>
      </c>
      <c r="BF6" s="22"/>
      <c r="BG6" s="23"/>
      <c r="BH6" s="24" t="s">
        <v>41</v>
      </c>
    </row>
    <row r="7" spans="1:60" x14ac:dyDescent="0.3">
      <c r="A7" s="25"/>
      <c r="B7" s="25"/>
      <c r="C7" s="26" t="s">
        <v>42</v>
      </c>
      <c r="D7" s="26" t="s">
        <v>43</v>
      </c>
      <c r="E7" s="25">
        <v>30</v>
      </c>
      <c r="F7" s="27" t="s">
        <v>44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9"/>
    </row>
    <row r="8" spans="1:60" x14ac:dyDescent="0.3">
      <c r="A8" s="25">
        <f>SUBTOTAL(103,$B$7:B8)</f>
        <v>1</v>
      </c>
      <c r="B8" s="25" t="s">
        <v>45</v>
      </c>
      <c r="C8" s="26" t="s">
        <v>43</v>
      </c>
      <c r="D8" s="25">
        <v>1020</v>
      </c>
      <c r="E8" s="25">
        <v>20</v>
      </c>
      <c r="F8" s="30">
        <v>20426148</v>
      </c>
      <c r="G8" s="30" t="str">
        <f>VLOOKUP(F8,[1]데이터시트!$B$3:$N$196,2,FALSE)</f>
        <v>강경민</v>
      </c>
      <c r="H8" s="31">
        <f>VLOOKUP(F8,[1]데이터시트!$B$3:$N$196,4,FALSE)</f>
        <v>0</v>
      </c>
      <c r="I8" s="31" t="str">
        <f>VLOOKUP(F8,[1]데이터시트!$B$3:$N$196,11,FALSE)</f>
        <v>예비</v>
      </c>
      <c r="J8" s="30" t="str">
        <f>VLOOKUP(F8,[1]데이터시트!$B$3:$N$196,6,FALSE)</f>
        <v>지역기반</v>
      </c>
      <c r="K8" s="30">
        <v>20418814</v>
      </c>
      <c r="L8" s="30" t="str">
        <f>VLOOKUP(K8,[1]데이터시트!$B$3:$N$196,2,FALSE)</f>
        <v>현성재</v>
      </c>
      <c r="M8" s="31">
        <f>VLOOKUP(K8,[1]데이터시트!$B$3:$N$196,4,FALSE)</f>
        <v>0</v>
      </c>
      <c r="N8" s="31" t="str">
        <f>VLOOKUP(K8,[1]데이터시트!$B$3:$N$196,11,FALSE)</f>
        <v>예비</v>
      </c>
      <c r="O8" s="30" t="str">
        <f>VLOOKUP(K8,[1]데이터시트!$B$3:$N$196,6,FALSE)</f>
        <v>지역기반</v>
      </c>
      <c r="P8" s="30">
        <v>20431973</v>
      </c>
      <c r="Q8" s="30" t="str">
        <f>VLOOKUP(P8,[1]데이터시트!$B$3:$N$196,2,FALSE)</f>
        <v>길민선</v>
      </c>
      <c r="R8" s="31">
        <f>VLOOKUP(P8,[1]데이터시트!$B$3:$N$196,4,FALSE)</f>
        <v>0</v>
      </c>
      <c r="S8" s="31" t="str">
        <f>VLOOKUP(P8,[1]데이터시트!$B$3:$N$196,11,FALSE)</f>
        <v>예비</v>
      </c>
      <c r="T8" s="30" t="str">
        <f>VLOOKUP(P8,[1]데이터시트!$B$3:$N$196,6,FALSE)</f>
        <v>지역기반</v>
      </c>
      <c r="U8" s="32">
        <v>20406894</v>
      </c>
      <c r="V8" s="32" t="str">
        <f>VLOOKUP(U8,[1]데이터시트!$B$3:$N$196,2,FALSE)</f>
        <v>이송목</v>
      </c>
      <c r="W8" s="33" t="str">
        <f>VLOOKUP(U8,[1]데이터시트!$B$3:$N$196,4,FALSE)</f>
        <v>잠재력 확인팀</v>
      </c>
      <c r="X8" s="31" t="str">
        <f>VLOOKUP(U8,[1]데이터시트!$B$3:$N$196,11,FALSE)</f>
        <v>예비</v>
      </c>
      <c r="Y8" s="30" t="str">
        <f>VLOOKUP(U8,[1]데이터시트!$B$3:$N$196,6,FALSE)</f>
        <v>대학발</v>
      </c>
      <c r="Z8" s="34"/>
      <c r="AA8" s="34"/>
      <c r="AB8" s="35"/>
      <c r="AC8" s="35"/>
      <c r="AD8" s="34"/>
      <c r="AE8" s="34"/>
      <c r="AF8" s="34"/>
      <c r="AG8" s="35"/>
      <c r="AH8" s="35"/>
      <c r="AI8" s="34"/>
      <c r="AJ8" s="36">
        <v>20424315</v>
      </c>
      <c r="AK8" s="30" t="str">
        <f>VLOOKUP(AJ8,[1]데이터시트!$B$3:$N$196,2,FALSE)</f>
        <v>오원준</v>
      </c>
      <c r="AL8" s="31">
        <f>VLOOKUP(AJ8,[1]데이터시트!$B$3:$N$196,4,FALSE)</f>
        <v>0</v>
      </c>
      <c r="AM8" s="31" t="str">
        <f>VLOOKUP(AJ8,[1]데이터시트!$B$3:$N$196,11,FALSE)</f>
        <v>예비</v>
      </c>
      <c r="AN8" s="37" t="str">
        <f>VLOOKUP(AJ8,[1]데이터시트!$B$3:$N$196,6,FALSE)</f>
        <v>지역기반</v>
      </c>
      <c r="AO8" s="38">
        <v>20414096</v>
      </c>
      <c r="AP8" s="39" t="str">
        <f>VLOOKUP(AO8,[1]데이터시트!$B$3:$N$196,2,FALSE)</f>
        <v>간원진</v>
      </c>
      <c r="AQ8" s="40">
        <f>VLOOKUP(AO8,[1]데이터시트!$B$3:$N$196,4,FALSE)</f>
        <v>0</v>
      </c>
      <c r="AR8" s="31" t="str">
        <f>VLOOKUP(AO8,[1]데이터시트!$B$3:$N$196,11,FALSE)</f>
        <v>예비</v>
      </c>
      <c r="AS8" s="39" t="str">
        <f>VLOOKUP(AO8,[1]데이터시트!$B$3:$N$196,6,FALSE)</f>
        <v>대학발</v>
      </c>
      <c r="AT8" s="34"/>
      <c r="AU8" s="34"/>
      <c r="AV8" s="35"/>
      <c r="AW8" s="35"/>
      <c r="AX8" s="34"/>
      <c r="AY8" s="34"/>
      <c r="AZ8" s="34"/>
      <c r="BA8" s="35"/>
      <c r="BB8" s="35"/>
      <c r="BC8" s="34"/>
      <c r="BD8" s="34"/>
      <c r="BE8" s="34"/>
      <c r="BF8" s="35"/>
      <c r="BG8" s="35"/>
      <c r="BH8" s="34"/>
    </row>
    <row r="9" spans="1:60" x14ac:dyDescent="0.3">
      <c r="A9" s="25">
        <f>SUBTOTAL(103,$B$7:B9)</f>
        <v>2</v>
      </c>
      <c r="B9" s="25" t="s">
        <v>45</v>
      </c>
      <c r="C9" s="25">
        <f t="shared" ref="C9:C22" si="0">D8+5</f>
        <v>1025</v>
      </c>
      <c r="D9" s="25">
        <v>1045</v>
      </c>
      <c r="E9" s="25">
        <v>20</v>
      </c>
      <c r="F9" s="30">
        <v>20415839</v>
      </c>
      <c r="G9" s="30" t="str">
        <f>VLOOKUP(F9,[1]데이터시트!$B$3:$N$196,2,FALSE)</f>
        <v>박상준</v>
      </c>
      <c r="H9" s="31">
        <f>VLOOKUP(F9,[1]데이터시트!$B$3:$N$196,4,FALSE)</f>
        <v>0</v>
      </c>
      <c r="I9" s="31" t="str">
        <f>VLOOKUP(F9,[1]데이터시트!$B$3:$N$196,11,FALSE)</f>
        <v>예비</v>
      </c>
      <c r="J9" s="30" t="str">
        <f>VLOOKUP(F9,[1]데이터시트!$B$3:$N$196,6,FALSE)</f>
        <v>지역기반</v>
      </c>
      <c r="K9" s="30">
        <v>20425711</v>
      </c>
      <c r="L9" s="30" t="str">
        <f>VLOOKUP(K9,[1]데이터시트!$B$3:$N$196,2,FALSE)</f>
        <v>김주연</v>
      </c>
      <c r="M9" s="31">
        <f>VLOOKUP(K9,[1]데이터시트!$B$3:$N$196,4,FALSE)</f>
        <v>0</v>
      </c>
      <c r="N9" s="31" t="str">
        <f>VLOOKUP(K9,[1]데이터시트!$B$3:$N$196,11,FALSE)</f>
        <v>예비</v>
      </c>
      <c r="O9" s="30" t="str">
        <f>VLOOKUP(K9,[1]데이터시트!$B$3:$N$196,6,FALSE)</f>
        <v>지역기반</v>
      </c>
      <c r="P9" s="30">
        <v>20428596</v>
      </c>
      <c r="Q9" s="30" t="str">
        <f>VLOOKUP(P9,[1]데이터시트!$B$3:$N$196,2,FALSE)</f>
        <v>변유한</v>
      </c>
      <c r="R9" s="31">
        <f>VLOOKUP(P9,[1]데이터시트!$B$3:$N$196,4,FALSE)</f>
        <v>0</v>
      </c>
      <c r="S9" s="31" t="str">
        <f>VLOOKUP(P9,[1]데이터시트!$B$3:$N$196,11,FALSE)</f>
        <v>예비</v>
      </c>
      <c r="T9" s="30" t="str">
        <f>VLOOKUP(P9,[1]데이터시트!$B$3:$N$196,6,FALSE)</f>
        <v>지역기반</v>
      </c>
      <c r="U9" s="30">
        <v>20425601</v>
      </c>
      <c r="V9" s="30" t="str">
        <f>VLOOKUP(U9,[1]데이터시트!$B$3:$N$196,2,FALSE)</f>
        <v>박민수</v>
      </c>
      <c r="W9" s="31">
        <f>VLOOKUP(U9,[1]데이터시트!$B$3:$N$196,4,FALSE)</f>
        <v>0</v>
      </c>
      <c r="X9" s="31" t="str">
        <f>VLOOKUP(U9,[1]데이터시트!$B$3:$N$196,11,FALSE)</f>
        <v>예비</v>
      </c>
      <c r="Y9" s="30" t="str">
        <f>VLOOKUP(U9,[1]데이터시트!$B$3:$N$196,6,FALSE)</f>
        <v>대학발</v>
      </c>
      <c r="Z9" s="34"/>
      <c r="AA9" s="34"/>
      <c r="AB9" s="35"/>
      <c r="AC9" s="35"/>
      <c r="AD9" s="34"/>
      <c r="AE9" s="34"/>
      <c r="AF9" s="34"/>
      <c r="AG9" s="35"/>
      <c r="AH9" s="35"/>
      <c r="AI9" s="34"/>
      <c r="AJ9" s="36">
        <v>20424587</v>
      </c>
      <c r="AK9" s="30" t="str">
        <f>VLOOKUP(AJ9,[1]데이터시트!$B$3:$N$196,2,FALSE)</f>
        <v>황경래</v>
      </c>
      <c r="AL9" s="31">
        <f>VLOOKUP(AJ9,[1]데이터시트!$B$3:$N$196,4,FALSE)</f>
        <v>0</v>
      </c>
      <c r="AM9" s="31" t="str">
        <f>VLOOKUP(AJ9,[1]데이터시트!$B$3:$N$196,11,FALSE)</f>
        <v>예비</v>
      </c>
      <c r="AN9" s="37" t="str">
        <f>VLOOKUP(AJ9,[1]데이터시트!$B$3:$N$196,6,FALSE)</f>
        <v>지역기반</v>
      </c>
      <c r="AO9" s="41">
        <v>20424497</v>
      </c>
      <c r="AP9" s="32" t="str">
        <f>VLOOKUP(AO9,[1]데이터시트!$B$3:$N$196,2,FALSE)</f>
        <v>김경민</v>
      </c>
      <c r="AQ9" s="33" t="str">
        <f>VLOOKUP(AO9,[1]데이터시트!$B$3:$N$196,4,FALSE)</f>
        <v>전임교원</v>
      </c>
      <c r="AR9" s="31" t="str">
        <f>VLOOKUP(AO9,[1]데이터시트!$B$3:$N$196,11,FALSE)</f>
        <v>예비</v>
      </c>
      <c r="AS9" s="30" t="str">
        <f>VLOOKUP(AO9,[1]데이터시트!$B$3:$N$196,6,FALSE)</f>
        <v>대학발</v>
      </c>
      <c r="AT9" s="34"/>
      <c r="AU9" s="34"/>
      <c r="AV9" s="35"/>
      <c r="AW9" s="35"/>
      <c r="AX9" s="34"/>
      <c r="AY9" s="34"/>
      <c r="AZ9" s="34"/>
      <c r="BA9" s="35"/>
      <c r="BB9" s="35"/>
      <c r="BC9" s="34"/>
      <c r="BD9" s="34"/>
      <c r="BE9" s="34"/>
      <c r="BF9" s="35"/>
      <c r="BG9" s="35"/>
      <c r="BH9" s="34"/>
    </row>
    <row r="10" spans="1:60" x14ac:dyDescent="0.3">
      <c r="A10" s="25">
        <f>SUBTOTAL(103,$B$7:B10)</f>
        <v>3</v>
      </c>
      <c r="B10" s="25" t="s">
        <v>45</v>
      </c>
      <c r="C10" s="25">
        <f t="shared" si="0"/>
        <v>1050</v>
      </c>
      <c r="D10" s="25">
        <v>1110</v>
      </c>
      <c r="E10" s="25">
        <v>20</v>
      </c>
      <c r="F10" s="30">
        <v>20416056</v>
      </c>
      <c r="G10" s="30" t="str">
        <f>VLOOKUP(F10,[1]데이터시트!$B$3:$N$196,2,FALSE)</f>
        <v>강태환</v>
      </c>
      <c r="H10" s="31">
        <f>VLOOKUP(F10,[1]데이터시트!$B$3:$N$196,4,FALSE)</f>
        <v>0</v>
      </c>
      <c r="I10" s="31" t="str">
        <f>VLOOKUP(F10,[1]데이터시트!$B$3:$N$196,11,FALSE)</f>
        <v>초기</v>
      </c>
      <c r="J10" s="30" t="str">
        <f>VLOOKUP(F10,[1]데이터시트!$B$3:$N$196,6,FALSE)</f>
        <v>지역기반</v>
      </c>
      <c r="K10" s="32">
        <v>20414883</v>
      </c>
      <c r="L10" s="32" t="str">
        <f>VLOOKUP(K10,[1]데이터시트!$B$3:$N$196,2,FALSE)</f>
        <v>윤상민</v>
      </c>
      <c r="M10" s="33" t="str">
        <f>VLOOKUP(K10,[1]데이터시트!$B$3:$N$196,4,FALSE)</f>
        <v>매출실적우수</v>
      </c>
      <c r="N10" s="31" t="str">
        <f>VLOOKUP(K10,[1]데이터시트!$B$3:$N$196,11,FALSE)</f>
        <v>초기</v>
      </c>
      <c r="O10" s="42" t="str">
        <f>VLOOKUP(K10,[1]데이터시트!$B$3:$N$196,6,FALSE)</f>
        <v>지역기반</v>
      </c>
      <c r="P10" s="32">
        <v>20428535</v>
      </c>
      <c r="Q10" s="32" t="str">
        <f>VLOOKUP(P10,[1]데이터시트!$B$3:$N$196,2,FALSE)</f>
        <v>양승빈</v>
      </c>
      <c r="R10" s="33" t="str">
        <f>VLOOKUP(P10,[1]데이터시트!$B$3:$N$196,4,FALSE)</f>
        <v>잠재력 확인 팀</v>
      </c>
      <c r="S10" s="31" t="str">
        <f>VLOOKUP(P10,[1]데이터시트!$B$3:$N$196,11,FALSE)</f>
        <v>예비</v>
      </c>
      <c r="T10" s="30" t="str">
        <f>VLOOKUP(P10,[1]데이터시트!$B$3:$N$196,6,FALSE)</f>
        <v>지역기반</v>
      </c>
      <c r="U10" s="32">
        <v>20424645</v>
      </c>
      <c r="V10" s="32" t="str">
        <f>VLOOKUP(U10,[1]데이터시트!$B$3:$N$196,2,FALSE)</f>
        <v>이장원</v>
      </c>
      <c r="W10" s="33" t="str">
        <f>VLOOKUP(U10,[1]데이터시트!$B$3:$N$196,4,FALSE)</f>
        <v>전임교원</v>
      </c>
      <c r="X10" s="31" t="str">
        <f>VLOOKUP(U10,[1]데이터시트!$B$3:$N$196,11,FALSE)</f>
        <v>예비</v>
      </c>
      <c r="Y10" s="30" t="str">
        <f>VLOOKUP(U10,[1]데이터시트!$B$3:$N$196,6,FALSE)</f>
        <v>대학발</v>
      </c>
      <c r="Z10" s="34"/>
      <c r="AA10" s="34"/>
      <c r="AB10" s="35"/>
      <c r="AC10" s="35"/>
      <c r="AD10" s="34"/>
      <c r="AE10" s="34"/>
      <c r="AF10" s="34"/>
      <c r="AG10" s="35"/>
      <c r="AH10" s="35"/>
      <c r="AI10" s="34"/>
      <c r="AJ10" s="36">
        <v>20424775</v>
      </c>
      <c r="AK10" s="30" t="str">
        <f>VLOOKUP(AJ10,[1]데이터시트!$B$3:$N$196,2,FALSE)</f>
        <v>김유성</v>
      </c>
      <c r="AL10" s="31">
        <f>VLOOKUP(AJ10,[1]데이터시트!$B$3:$N$196,4,FALSE)</f>
        <v>0</v>
      </c>
      <c r="AM10" s="31" t="str">
        <f>VLOOKUP(AJ10,[1]데이터시트!$B$3:$N$196,11,FALSE)</f>
        <v>예비</v>
      </c>
      <c r="AN10" s="30" t="str">
        <f>VLOOKUP(AJ10,[1]데이터시트!$B$3:$N$196,6,FALSE)</f>
        <v>지역기반</v>
      </c>
      <c r="AO10" s="43">
        <v>20418691</v>
      </c>
      <c r="AP10" s="44" t="str">
        <f>VLOOKUP(AO10,[1]데이터시트!$B$3:$N$196,2,FALSE)</f>
        <v>최우석</v>
      </c>
      <c r="AQ10" s="45" t="str">
        <f>VLOOKUP(AO10,[1]데이터시트!$B$3:$N$196,4,FALSE)</f>
        <v>전임교원</v>
      </c>
      <c r="AR10" s="31" t="str">
        <f>VLOOKUP(AO10,[1]데이터시트!$B$3:$N$196,11,FALSE)</f>
        <v>예비</v>
      </c>
      <c r="AS10" s="46" t="str">
        <f>VLOOKUP(AO10,[1]데이터시트!$B$3:$N$196,6,FALSE)</f>
        <v>대학발</v>
      </c>
      <c r="AT10" s="34"/>
      <c r="AU10" s="34"/>
      <c r="AV10" s="35"/>
      <c r="AW10" s="35"/>
      <c r="AX10" s="34"/>
      <c r="AY10" s="34"/>
      <c r="AZ10" s="34"/>
      <c r="BA10" s="35"/>
      <c r="BB10" s="35"/>
      <c r="BC10" s="34"/>
      <c r="BD10" s="34"/>
      <c r="BE10" s="34"/>
      <c r="BF10" s="35"/>
      <c r="BG10" s="35"/>
      <c r="BH10" s="34"/>
    </row>
    <row r="11" spans="1:60" x14ac:dyDescent="0.3">
      <c r="A11" s="25">
        <f>SUBTOTAL(103,$B$7:B11)</f>
        <v>4</v>
      </c>
      <c r="B11" s="25" t="s">
        <v>45</v>
      </c>
      <c r="C11" s="25">
        <f t="shared" si="0"/>
        <v>1115</v>
      </c>
      <c r="D11" s="25">
        <v>1135</v>
      </c>
      <c r="E11" s="25">
        <v>20</v>
      </c>
      <c r="F11" s="30">
        <v>20423046</v>
      </c>
      <c r="G11" s="30" t="str">
        <f>VLOOKUP(F11,[1]데이터시트!$B$3:$N$196,2,FALSE)</f>
        <v>김대호</v>
      </c>
      <c r="H11" s="31">
        <f>VLOOKUP(F11,[1]데이터시트!$B$3:$N$196,4,FALSE)</f>
        <v>0</v>
      </c>
      <c r="I11" s="31" t="str">
        <f>VLOOKUP(F11,[1]데이터시트!$B$3:$N$196,11,FALSE)</f>
        <v>초기</v>
      </c>
      <c r="J11" s="30" t="str">
        <f>VLOOKUP(F11,[1]데이터시트!$B$3:$N$196,6,FALSE)</f>
        <v>지역기반</v>
      </c>
      <c r="K11" s="30">
        <v>20427569</v>
      </c>
      <c r="L11" s="30" t="str">
        <f>VLOOKUP(K11,[1]데이터시트!$B$3:$N$196,2,FALSE)</f>
        <v>김선일</v>
      </c>
      <c r="M11" s="31">
        <f>VLOOKUP(K11,[1]데이터시트!$B$3:$N$196,4,FALSE)</f>
        <v>0</v>
      </c>
      <c r="N11" s="31" t="str">
        <f>VLOOKUP(K11,[1]데이터시트!$B$3:$N$196,11,FALSE)</f>
        <v>초기</v>
      </c>
      <c r="O11" s="42" t="str">
        <f>VLOOKUP(K11,[1]데이터시트!$B$3:$N$196,6,FALSE)</f>
        <v>지역기반</v>
      </c>
      <c r="P11" s="32">
        <v>20418175</v>
      </c>
      <c r="Q11" s="32" t="str">
        <f>VLOOKUP(P11,[1]데이터시트!$B$3:$N$196,2,FALSE)</f>
        <v>안세정</v>
      </c>
      <c r="R11" s="33" t="str">
        <f>VLOOKUP(P11,[1]데이터시트!$B$3:$N$196,4,FALSE)</f>
        <v>잠재력 확인 팀</v>
      </c>
      <c r="S11" s="31" t="str">
        <f>VLOOKUP(P11,[1]데이터시트!$B$3:$N$196,11,FALSE)</f>
        <v>예비</v>
      </c>
      <c r="T11" s="30" t="str">
        <f>VLOOKUP(P11,[1]데이터시트!$B$3:$N$196,6,FALSE)</f>
        <v>지역기반</v>
      </c>
      <c r="U11" s="30">
        <v>20420127</v>
      </c>
      <c r="V11" s="30" t="str">
        <f>VLOOKUP(U11,[1]데이터시트!$B$3:$N$196,2,FALSE)</f>
        <v>명대호</v>
      </c>
      <c r="W11" s="31">
        <f>VLOOKUP(U11,[1]데이터시트!$B$3:$N$196,4,FALSE)</f>
        <v>0</v>
      </c>
      <c r="X11" s="31" t="str">
        <f>VLOOKUP(U11,[1]데이터시트!$B$3:$N$196,11,FALSE)</f>
        <v>예비</v>
      </c>
      <c r="Y11" s="30" t="str">
        <f>VLOOKUP(U11,[1]데이터시트!$B$3:$N$196,6,FALSE)</f>
        <v>대학발</v>
      </c>
      <c r="Z11" s="34"/>
      <c r="AA11" s="34"/>
      <c r="AB11" s="35"/>
      <c r="AC11" s="35"/>
      <c r="AD11" s="34"/>
      <c r="AE11" s="34"/>
      <c r="AF11" s="34"/>
      <c r="AG11" s="35"/>
      <c r="AH11" s="35"/>
      <c r="AI11" s="34"/>
      <c r="AJ11" s="36">
        <v>20412297</v>
      </c>
      <c r="AK11" s="30" t="str">
        <f>VLOOKUP(AJ11,[1]데이터시트!$B$3:$N$196,2,FALSE)</f>
        <v>황현우</v>
      </c>
      <c r="AL11" s="31">
        <f>VLOOKUP(AJ11,[1]데이터시트!$B$3:$N$196,4,FALSE)</f>
        <v>0</v>
      </c>
      <c r="AM11" s="31" t="str">
        <f>VLOOKUP(AJ11,[1]데이터시트!$B$3:$N$196,11,FALSE)</f>
        <v>초기</v>
      </c>
      <c r="AN11" s="37" t="str">
        <f>VLOOKUP(AJ11,[1]데이터시트!$B$3:$N$196,6,FALSE)</f>
        <v>지역기반</v>
      </c>
      <c r="AO11" s="38">
        <v>20428779</v>
      </c>
      <c r="AP11" s="39" t="str">
        <f>VLOOKUP(AO11,[1]데이터시트!$B$3:$N$196,2,FALSE)</f>
        <v>조덕수</v>
      </c>
      <c r="AQ11" s="40">
        <f>VLOOKUP(AO11,[1]데이터시트!$B$3:$N$196,4,FALSE)</f>
        <v>0</v>
      </c>
      <c r="AR11" s="40" t="str">
        <f>VLOOKUP(AO11,[1]데이터시트!$B$3:$N$196,11,FALSE)</f>
        <v>도약</v>
      </c>
      <c r="AS11" s="39" t="str">
        <f>VLOOKUP(AO11,[1]데이터시트!$B$3:$N$196,6,FALSE)</f>
        <v>대학발</v>
      </c>
      <c r="AT11" s="47"/>
      <c r="AU11" s="34"/>
      <c r="AV11" s="35"/>
      <c r="AW11" s="35"/>
      <c r="AX11" s="34"/>
      <c r="AY11" s="34"/>
      <c r="AZ11" s="34"/>
      <c r="BA11" s="35"/>
      <c r="BB11" s="35"/>
      <c r="BC11" s="34"/>
      <c r="BD11" s="34"/>
      <c r="BE11" s="34"/>
      <c r="BF11" s="35"/>
      <c r="BG11" s="35"/>
      <c r="BH11" s="34"/>
    </row>
    <row r="12" spans="1:60" x14ac:dyDescent="0.3">
      <c r="A12" s="25">
        <f>SUBTOTAL(103,$B$7:B12)</f>
        <v>5</v>
      </c>
      <c r="B12" s="25" t="s">
        <v>45</v>
      </c>
      <c r="C12" s="25">
        <f t="shared" si="0"/>
        <v>1140</v>
      </c>
      <c r="D12" s="25">
        <v>1200</v>
      </c>
      <c r="E12" s="25">
        <v>20</v>
      </c>
      <c r="F12" s="30">
        <v>20428945</v>
      </c>
      <c r="G12" s="30" t="str">
        <f>VLOOKUP(F12,[1]데이터시트!$B$3:$N$196,2,FALSE)</f>
        <v>이건희</v>
      </c>
      <c r="H12" s="31">
        <f>VLOOKUP(F12,[1]데이터시트!$B$3:$N$196,4,FALSE)</f>
        <v>0</v>
      </c>
      <c r="I12" s="31" t="str">
        <f>VLOOKUP(F12,[1]데이터시트!$B$3:$N$196,11,FALSE)</f>
        <v>초기</v>
      </c>
      <c r="J12" s="30" t="str">
        <f>VLOOKUP(F12,[1]데이터시트!$B$3:$N$196,6,FALSE)</f>
        <v>지역기반</v>
      </c>
      <c r="K12" s="30">
        <v>20431661</v>
      </c>
      <c r="L12" s="30" t="str">
        <f>VLOOKUP(K12,[1]데이터시트!$B$3:$N$196,2,FALSE)</f>
        <v>문상윤</v>
      </c>
      <c r="M12" s="31">
        <f>VLOOKUP(K12,[1]데이터시트!$B$3:$N$196,4,FALSE)</f>
        <v>0</v>
      </c>
      <c r="N12" s="31" t="str">
        <f>VLOOKUP(K12,[1]데이터시트!$B$3:$N$196,11,FALSE)</f>
        <v>초기</v>
      </c>
      <c r="O12" s="42" t="str">
        <f>VLOOKUP(K12,[1]데이터시트!$B$3:$N$196,6,FALSE)</f>
        <v>지역기반</v>
      </c>
      <c r="P12" s="32">
        <v>20429808</v>
      </c>
      <c r="Q12" s="32" t="str">
        <f>VLOOKUP(P12,[1]데이터시트!$B$3:$N$196,2,FALSE)</f>
        <v>정웅택</v>
      </c>
      <c r="R12" s="33" t="str">
        <f>VLOOKUP(P12,[1]데이터시트!$B$3:$N$196,4,FALSE)</f>
        <v>(후속)청년창업사관학교추천</v>
      </c>
      <c r="S12" s="31" t="str">
        <f>VLOOKUP(P12,[1]데이터시트!$B$3:$N$196,11,FALSE)</f>
        <v>초기</v>
      </c>
      <c r="T12" s="30" t="str">
        <f>VLOOKUP(P12,[1]데이터시트!$B$3:$N$196,6,FALSE)</f>
        <v>지역기반</v>
      </c>
      <c r="U12" s="34"/>
      <c r="V12" s="34"/>
      <c r="W12" s="35"/>
      <c r="X12" s="35"/>
      <c r="Y12" s="34"/>
      <c r="Z12" s="34"/>
      <c r="AA12" s="34"/>
      <c r="AB12" s="35"/>
      <c r="AC12" s="35"/>
      <c r="AD12" s="34"/>
      <c r="AE12" s="34"/>
      <c r="AF12" s="34"/>
      <c r="AG12" s="35"/>
      <c r="AH12" s="35"/>
      <c r="AI12" s="34"/>
      <c r="AJ12" s="36">
        <v>20405890</v>
      </c>
      <c r="AK12" s="30" t="str">
        <f>VLOOKUP(AJ12,[1]데이터시트!$B$3:$N$196,2,FALSE)</f>
        <v>조희준</v>
      </c>
      <c r="AL12" s="31">
        <f>VLOOKUP(AJ12,[1]데이터시트!$B$3:$N$196,4,FALSE)</f>
        <v>0</v>
      </c>
      <c r="AM12" s="31" t="str">
        <f>VLOOKUP(AJ12,[1]데이터시트!$B$3:$N$196,11,FALSE)</f>
        <v>초기</v>
      </c>
      <c r="AN12" s="30" t="str">
        <f>VLOOKUP(AJ12,[1]데이터시트!$B$3:$N$196,6,FALSE)</f>
        <v>지역기반</v>
      </c>
      <c r="AO12" s="48"/>
      <c r="AP12" s="48"/>
      <c r="AQ12" s="49"/>
      <c r="AR12" s="49"/>
      <c r="AS12" s="48"/>
      <c r="AT12" s="34"/>
      <c r="AU12" s="34"/>
      <c r="AV12" s="35"/>
      <c r="AW12" s="35"/>
      <c r="AX12" s="34"/>
      <c r="AY12" s="34"/>
      <c r="AZ12" s="34"/>
      <c r="BA12" s="35"/>
      <c r="BB12" s="35"/>
      <c r="BC12" s="34"/>
      <c r="BD12" s="34"/>
      <c r="BE12" s="34"/>
      <c r="BF12" s="35"/>
      <c r="BG12" s="35"/>
      <c r="BH12" s="34"/>
    </row>
    <row r="13" spans="1:60" x14ac:dyDescent="0.3">
      <c r="A13" s="25"/>
      <c r="B13" s="25"/>
      <c r="C13" s="50">
        <v>1200</v>
      </c>
      <c r="D13" s="50">
        <v>1300</v>
      </c>
      <c r="E13" s="50">
        <v>60</v>
      </c>
      <c r="F13" s="51" t="s">
        <v>46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3"/>
    </row>
    <row r="14" spans="1:60" x14ac:dyDescent="0.3">
      <c r="A14" s="25">
        <f>SUBTOTAL(103,$B$7:B14)</f>
        <v>6</v>
      </c>
      <c r="B14" s="25" t="s">
        <v>45</v>
      </c>
      <c r="C14" s="25">
        <v>1300</v>
      </c>
      <c r="D14" s="25">
        <v>1320</v>
      </c>
      <c r="E14" s="25">
        <v>20</v>
      </c>
      <c r="F14" s="30">
        <v>20420108</v>
      </c>
      <c r="G14" s="30" t="str">
        <f>VLOOKUP(F14,[1]데이터시트!$B$3:$N$196,2,FALSE)</f>
        <v>이여진</v>
      </c>
      <c r="H14" s="31">
        <f>VLOOKUP(F14,[1]데이터시트!$B$3:$N$196,4,FALSE)</f>
        <v>0</v>
      </c>
      <c r="I14" s="31" t="str">
        <f>VLOOKUP(F14,[1]데이터시트!$B$3:$N$196,11,FALSE)</f>
        <v>초기</v>
      </c>
      <c r="J14" s="30" t="str">
        <f>VLOOKUP(F14,[1]데이터시트!$B$3:$N$196,6,FALSE)</f>
        <v>지역기반</v>
      </c>
      <c r="K14" s="30">
        <v>20417471</v>
      </c>
      <c r="L14" s="30" t="str">
        <f>VLOOKUP(K14,[1]데이터시트!$B$3:$N$196,2,FALSE)</f>
        <v>하은주</v>
      </c>
      <c r="M14" s="31">
        <f>VLOOKUP(K14,[1]데이터시트!$B$3:$N$196,4,FALSE)</f>
        <v>0</v>
      </c>
      <c r="N14" s="31" t="str">
        <f>VLOOKUP(K14,[1]데이터시트!$B$3:$N$196,11,FALSE)</f>
        <v>도약</v>
      </c>
      <c r="O14" s="42" t="str">
        <f>VLOOKUP(K14,[1]데이터시트!$B$3:$N$196,6,FALSE)</f>
        <v>지역기반</v>
      </c>
      <c r="P14" s="30">
        <v>20418037</v>
      </c>
      <c r="Q14" s="30" t="str">
        <f>VLOOKUP(P14,[1]데이터시트!$B$3:$N$196,2,FALSE)</f>
        <v>조영숙</v>
      </c>
      <c r="R14" s="31">
        <f>VLOOKUP(P14,[1]데이터시트!$B$3:$N$196,4,FALSE)</f>
        <v>0</v>
      </c>
      <c r="S14" s="31" t="str">
        <f>VLOOKUP(P14,[1]데이터시트!$B$3:$N$196,11,FALSE)</f>
        <v>초기</v>
      </c>
      <c r="T14" s="30" t="str">
        <f>VLOOKUP(P14,[1]데이터시트!$B$3:$N$196,6,FALSE)</f>
        <v>지역기반</v>
      </c>
      <c r="U14" s="30">
        <v>20429253</v>
      </c>
      <c r="V14" s="30" t="str">
        <f>VLOOKUP(U14,[1]데이터시트!$B$3:$N$196,2,FALSE)</f>
        <v>임재우</v>
      </c>
      <c r="W14" s="31">
        <f>VLOOKUP(U14,[1]데이터시트!$B$3:$N$196,4,FALSE)</f>
        <v>0</v>
      </c>
      <c r="X14" s="31" t="str">
        <f>VLOOKUP(U14,[1]데이터시트!$B$3:$N$196,11,FALSE)</f>
        <v>초기</v>
      </c>
      <c r="Y14" s="30" t="str">
        <f>VLOOKUP(U14,[1]데이터시트!$B$3:$N$196,6,FALSE)</f>
        <v>대학발</v>
      </c>
      <c r="Z14" s="34"/>
      <c r="AA14" s="34"/>
      <c r="AB14" s="35"/>
      <c r="AC14" s="35"/>
      <c r="AD14" s="34"/>
      <c r="AE14" s="34"/>
      <c r="AF14" s="34"/>
      <c r="AG14" s="35"/>
      <c r="AH14" s="35"/>
      <c r="AI14" s="34"/>
      <c r="AJ14" s="36">
        <v>20417774</v>
      </c>
      <c r="AK14" s="30" t="str">
        <f>VLOOKUP(AJ14,[1]데이터시트!$B$3:$N$196,2,FALSE)</f>
        <v>김홍국</v>
      </c>
      <c r="AL14" s="31">
        <f>VLOOKUP(AJ14,[1]데이터시트!$B$3:$N$196,4,FALSE)</f>
        <v>0</v>
      </c>
      <c r="AM14" s="31" t="str">
        <f>VLOOKUP(AJ14,[1]데이터시트!$B$3:$N$196,11,FALSE)</f>
        <v>도약</v>
      </c>
      <c r="AN14" s="30" t="str">
        <f>VLOOKUP(AJ14,[1]데이터시트!$B$3:$N$196,6,FALSE)</f>
        <v>지역기반</v>
      </c>
      <c r="AO14" s="36">
        <v>20425607</v>
      </c>
      <c r="AP14" s="30" t="str">
        <f>VLOOKUP(AO14,[1]데이터시트!$B$3:$N$196,2,FALSE)</f>
        <v>신동성</v>
      </c>
      <c r="AQ14" s="31">
        <f>VLOOKUP(AO14,[1]데이터시트!$B$3:$N$196,4,FALSE)</f>
        <v>0</v>
      </c>
      <c r="AR14" s="31" t="str">
        <f>VLOOKUP(AO14,[1]데이터시트!$B$3:$N$196,11,FALSE)</f>
        <v>초기</v>
      </c>
      <c r="AS14" s="30" t="str">
        <f>VLOOKUP(AO14,[1]데이터시트!$B$3:$N$196,6,FALSE)</f>
        <v>대학발</v>
      </c>
      <c r="AT14" s="34"/>
      <c r="AU14" s="34"/>
      <c r="AV14" s="35"/>
      <c r="AW14" s="35"/>
      <c r="AX14" s="34"/>
      <c r="AY14" s="34"/>
      <c r="AZ14" s="34"/>
      <c r="BA14" s="35"/>
      <c r="BB14" s="35"/>
      <c r="BC14" s="34"/>
      <c r="BD14" s="34"/>
      <c r="BE14" s="34"/>
      <c r="BF14" s="35"/>
      <c r="BG14" s="35"/>
      <c r="BH14" s="34"/>
    </row>
    <row r="15" spans="1:60" x14ac:dyDescent="0.3">
      <c r="A15" s="25">
        <f>SUBTOTAL(103,$B$7:B15)</f>
        <v>7</v>
      </c>
      <c r="B15" s="25" t="s">
        <v>45</v>
      </c>
      <c r="C15" s="25">
        <f t="shared" si="0"/>
        <v>1325</v>
      </c>
      <c r="D15" s="25">
        <v>1345</v>
      </c>
      <c r="E15" s="25">
        <v>20</v>
      </c>
      <c r="F15" s="30">
        <v>20429573</v>
      </c>
      <c r="G15" s="30" t="str">
        <f>VLOOKUP(F15,[1]데이터시트!$B$3:$N$196,2,FALSE)</f>
        <v>배경환</v>
      </c>
      <c r="H15" s="31">
        <f>VLOOKUP(F15,[1]데이터시트!$B$3:$N$196,4,FALSE)</f>
        <v>0</v>
      </c>
      <c r="I15" s="31" t="str">
        <f>VLOOKUP(F15,[1]데이터시트!$B$3:$N$196,11,FALSE)</f>
        <v>초기</v>
      </c>
      <c r="J15" s="30" t="str">
        <f>VLOOKUP(F15,[1]데이터시트!$B$3:$N$196,6,FALSE)</f>
        <v>지역기반</v>
      </c>
      <c r="K15" s="30">
        <v>20418401</v>
      </c>
      <c r="L15" s="30" t="str">
        <f>VLOOKUP(K15,[1]데이터시트!$B$3:$N$196,2,FALSE)</f>
        <v>박종명</v>
      </c>
      <c r="M15" s="31">
        <f>VLOOKUP(K15,[1]데이터시트!$B$3:$N$196,4,FALSE)</f>
        <v>0</v>
      </c>
      <c r="N15" s="31" t="str">
        <f>VLOOKUP(K15,[1]데이터시트!$B$3:$N$196,11,FALSE)</f>
        <v>도약</v>
      </c>
      <c r="O15" s="42" t="str">
        <f>VLOOKUP(K15,[1]데이터시트!$B$3:$N$196,6,FALSE)</f>
        <v>지역기반</v>
      </c>
      <c r="P15" s="30">
        <v>20425812</v>
      </c>
      <c r="Q15" s="30" t="str">
        <f>VLOOKUP(P15,[1]데이터시트!$B$3:$N$196,2,FALSE)</f>
        <v>이승한</v>
      </c>
      <c r="R15" s="31">
        <f>VLOOKUP(P15,[1]데이터시트!$B$3:$N$196,4,FALSE)</f>
        <v>0</v>
      </c>
      <c r="S15" s="31" t="str">
        <f>VLOOKUP(P15,[1]데이터시트!$B$3:$N$196,11,FALSE)</f>
        <v>초기</v>
      </c>
      <c r="T15" s="30" t="str">
        <f>VLOOKUP(P15,[1]데이터시트!$B$3:$N$196,6,FALSE)</f>
        <v>지역기반</v>
      </c>
      <c r="U15" s="30">
        <v>20429524</v>
      </c>
      <c r="V15" s="30" t="str">
        <f>VLOOKUP(U15,[1]데이터시트!$B$3:$N$196,2,FALSE)</f>
        <v>김동현</v>
      </c>
      <c r="W15" s="31">
        <f>VLOOKUP(U15,[1]데이터시트!$B$3:$N$196,4,FALSE)</f>
        <v>0</v>
      </c>
      <c r="X15" s="31" t="str">
        <f>VLOOKUP(U15,[1]데이터시트!$B$3:$N$196,11,FALSE)</f>
        <v>초기</v>
      </c>
      <c r="Y15" s="30" t="str">
        <f>VLOOKUP(U15,[1]데이터시트!$B$3:$N$196,6,FALSE)</f>
        <v>대학발</v>
      </c>
      <c r="Z15" s="34"/>
      <c r="AA15" s="34"/>
      <c r="AB15" s="35"/>
      <c r="AC15" s="35"/>
      <c r="AD15" s="34"/>
      <c r="AE15" s="34"/>
      <c r="AF15" s="34"/>
      <c r="AG15" s="35"/>
      <c r="AH15" s="35"/>
      <c r="AI15" s="34"/>
      <c r="AJ15" s="36">
        <v>20417896</v>
      </c>
      <c r="AK15" s="30" t="str">
        <f>VLOOKUP(AJ15,[1]데이터시트!$B$3:$N$196,2,FALSE)</f>
        <v>백승엽</v>
      </c>
      <c r="AL15" s="31">
        <f>VLOOKUP(AJ15,[1]데이터시트!$B$3:$N$196,4,FALSE)</f>
        <v>0</v>
      </c>
      <c r="AM15" s="31" t="str">
        <f>VLOOKUP(AJ15,[1]데이터시트!$B$3:$N$196,11,FALSE)</f>
        <v>도약</v>
      </c>
      <c r="AN15" s="30" t="str">
        <f>VLOOKUP(AJ15,[1]데이터시트!$B$3:$N$196,6,FALSE)</f>
        <v>지역기반</v>
      </c>
      <c r="AO15" s="36">
        <v>20425675</v>
      </c>
      <c r="AP15" s="30" t="str">
        <f>VLOOKUP(AO15,[1]데이터시트!$B$3:$N$196,2,FALSE)</f>
        <v>양준우</v>
      </c>
      <c r="AQ15" s="31">
        <f>VLOOKUP(AO15,[1]데이터시트!$B$3:$N$196,4,FALSE)</f>
        <v>0</v>
      </c>
      <c r="AR15" s="31" t="str">
        <f>VLOOKUP(AO15,[1]데이터시트!$B$3:$N$196,11,FALSE)</f>
        <v>초기</v>
      </c>
      <c r="AS15" s="30" t="str">
        <f>VLOOKUP(AO15,[1]데이터시트!$B$3:$N$196,6,FALSE)</f>
        <v>대학발</v>
      </c>
      <c r="AT15" s="34"/>
      <c r="AU15" s="34"/>
      <c r="AV15" s="35"/>
      <c r="AW15" s="35"/>
      <c r="AX15" s="34"/>
      <c r="AY15" s="34"/>
      <c r="AZ15" s="34"/>
      <c r="BA15" s="35"/>
      <c r="BB15" s="35"/>
      <c r="BC15" s="34"/>
      <c r="BD15" s="34"/>
      <c r="BE15" s="34"/>
      <c r="BF15" s="35"/>
      <c r="BG15" s="35"/>
      <c r="BH15" s="34"/>
    </row>
    <row r="16" spans="1:60" x14ac:dyDescent="0.3">
      <c r="A16" s="25">
        <f>SUBTOTAL(103,$B$7:B16)</f>
        <v>8</v>
      </c>
      <c r="B16" s="25" t="s">
        <v>45</v>
      </c>
      <c r="C16" s="25">
        <f t="shared" si="0"/>
        <v>1350</v>
      </c>
      <c r="D16" s="25">
        <v>1410</v>
      </c>
      <c r="E16" s="25">
        <v>20</v>
      </c>
      <c r="F16" s="30">
        <v>20420270</v>
      </c>
      <c r="G16" s="30" t="str">
        <f>VLOOKUP(F16,[1]데이터시트!$B$3:$N$196,2,FALSE)</f>
        <v>박수연</v>
      </c>
      <c r="H16" s="31">
        <f>VLOOKUP(F16,[1]데이터시트!$B$3:$N$196,4,FALSE)</f>
        <v>0</v>
      </c>
      <c r="I16" s="31" t="str">
        <f>VLOOKUP(F16,[1]데이터시트!$B$3:$N$196,11,FALSE)</f>
        <v>도약</v>
      </c>
      <c r="J16" s="30" t="str">
        <f>VLOOKUP(F16,[1]데이터시트!$B$3:$N$196,6,FALSE)</f>
        <v>지역기반</v>
      </c>
      <c r="K16" s="30">
        <v>20425290</v>
      </c>
      <c r="L16" s="30" t="str">
        <f>VLOOKUP(K16,[1]데이터시트!$B$3:$N$196,2,FALSE)</f>
        <v>정희철</v>
      </c>
      <c r="M16" s="31">
        <f>VLOOKUP(K16,[1]데이터시트!$B$3:$N$196,4,FALSE)</f>
        <v>0</v>
      </c>
      <c r="N16" s="31" t="str">
        <f>VLOOKUP(K16,[1]데이터시트!$B$3:$N$196,11,FALSE)</f>
        <v>도약</v>
      </c>
      <c r="O16" s="42" t="str">
        <f>VLOOKUP(K16,[1]데이터시트!$B$3:$N$196,6,FALSE)</f>
        <v>지역기반</v>
      </c>
      <c r="P16" s="32">
        <v>20428287</v>
      </c>
      <c r="Q16" s="32" t="str">
        <f>VLOOKUP(P16,[1]데이터시트!$B$3:$N$196,2,FALSE)</f>
        <v>황해수</v>
      </c>
      <c r="R16" s="33" t="str">
        <f>VLOOKUP(P16,[1]데이터시트!$B$3:$N$196,4,FALSE)</f>
        <v>잠재력 확인 팀</v>
      </c>
      <c r="S16" s="31" t="str">
        <f>VLOOKUP(P16,[1]데이터시트!$B$3:$N$196,11,FALSE)</f>
        <v>초기</v>
      </c>
      <c r="T16" s="30" t="str">
        <f>VLOOKUP(P16,[1]데이터시트!$B$3:$N$196,6,FALSE)</f>
        <v>지역기반</v>
      </c>
      <c r="U16" s="30">
        <v>20429214</v>
      </c>
      <c r="V16" s="30" t="str">
        <f>VLOOKUP(U16,[1]데이터시트!$B$3:$N$196,2,FALSE)</f>
        <v>김영진</v>
      </c>
      <c r="W16" s="31">
        <f>VLOOKUP(U16,[1]데이터시트!$B$3:$N$196,4,FALSE)</f>
        <v>0</v>
      </c>
      <c r="X16" s="31" t="str">
        <f>VLOOKUP(U16,[1]데이터시트!$B$3:$N$196,11,FALSE)</f>
        <v>초기</v>
      </c>
      <c r="Y16" s="30" t="str">
        <f>VLOOKUP(U16,[1]데이터시트!$B$3:$N$196,6,FALSE)</f>
        <v>대학발</v>
      </c>
      <c r="Z16" s="34"/>
      <c r="AA16" s="34"/>
      <c r="AB16" s="35"/>
      <c r="AC16" s="35"/>
      <c r="AD16" s="34"/>
      <c r="AE16" s="34"/>
      <c r="AF16" s="34"/>
      <c r="AG16" s="35"/>
      <c r="AH16" s="35"/>
      <c r="AI16" s="34"/>
      <c r="AJ16" s="36">
        <v>20418609</v>
      </c>
      <c r="AK16" s="30" t="str">
        <f>VLOOKUP(AJ16,[1]데이터시트!$B$3:$N$196,2,FALSE)</f>
        <v>이상헌</v>
      </c>
      <c r="AL16" s="31">
        <f>VLOOKUP(AJ16,[1]데이터시트!$B$3:$N$196,4,FALSE)</f>
        <v>0</v>
      </c>
      <c r="AM16" s="31" t="str">
        <f>VLOOKUP(AJ16,[1]데이터시트!$B$3:$N$196,11,FALSE)</f>
        <v>도약</v>
      </c>
      <c r="AN16" s="30" t="str">
        <f>VLOOKUP(AJ16,[1]데이터시트!$B$3:$N$196,6,FALSE)</f>
        <v>지역기반</v>
      </c>
      <c r="AO16" s="36">
        <v>20418903</v>
      </c>
      <c r="AP16" s="30" t="str">
        <f>VLOOKUP(AO16,[1]데이터시트!$B$3:$N$196,2,FALSE)</f>
        <v>신재영</v>
      </c>
      <c r="AQ16" s="31">
        <f>VLOOKUP(AO16,[1]데이터시트!$B$3:$N$196,4,FALSE)</f>
        <v>0</v>
      </c>
      <c r="AR16" s="31" t="str">
        <f>VLOOKUP(AO16,[1]데이터시트!$B$3:$N$196,11,FALSE)</f>
        <v>초기</v>
      </c>
      <c r="AS16" s="30" t="str">
        <f>VLOOKUP(AO16,[1]데이터시트!$B$3:$N$196,6,FALSE)</f>
        <v>대학발</v>
      </c>
      <c r="AT16" s="34"/>
      <c r="AU16" s="34"/>
      <c r="AV16" s="35"/>
      <c r="AW16" s="35"/>
      <c r="AX16" s="34"/>
      <c r="AY16" s="34"/>
      <c r="AZ16" s="34"/>
      <c r="BA16" s="35"/>
      <c r="BB16" s="35"/>
      <c r="BC16" s="34"/>
      <c r="BD16" s="34"/>
      <c r="BE16" s="34"/>
      <c r="BF16" s="35"/>
      <c r="BG16" s="35"/>
      <c r="BH16" s="34"/>
    </row>
    <row r="17" spans="1:60" ht="17.25" thickBot="1" x14ac:dyDescent="0.35">
      <c r="A17" s="25">
        <f>SUBTOTAL(103,$B$7:B17)</f>
        <v>9</v>
      </c>
      <c r="B17" s="25" t="s">
        <v>45</v>
      </c>
      <c r="C17" s="25">
        <f t="shared" si="0"/>
        <v>1415</v>
      </c>
      <c r="D17" s="25">
        <v>1435</v>
      </c>
      <c r="E17" s="25">
        <v>20</v>
      </c>
      <c r="F17" s="30">
        <v>20428115</v>
      </c>
      <c r="G17" s="30" t="str">
        <f>VLOOKUP(F17,[1]데이터시트!$B$3:$N$196,2,FALSE)</f>
        <v>권정훈</v>
      </c>
      <c r="H17" s="31">
        <f>VLOOKUP(F17,[1]데이터시트!$B$3:$N$196,4,FALSE)</f>
        <v>0</v>
      </c>
      <c r="I17" s="31" t="str">
        <f>VLOOKUP(F17,[1]데이터시트!$B$3:$N$196,11,FALSE)</f>
        <v>도약</v>
      </c>
      <c r="J17" s="30" t="str">
        <f>VLOOKUP(F17,[1]데이터시트!$B$3:$N$196,6,FALSE)</f>
        <v>지역기반</v>
      </c>
      <c r="K17" s="30">
        <v>20429725</v>
      </c>
      <c r="L17" s="30" t="str">
        <f>VLOOKUP(K17,[1]데이터시트!$B$3:$N$196,2,FALSE)</f>
        <v>김현</v>
      </c>
      <c r="M17" s="31">
        <f>VLOOKUP(K17,[1]데이터시트!$B$3:$N$196,4,FALSE)</f>
        <v>0</v>
      </c>
      <c r="N17" s="31" t="str">
        <f>VLOOKUP(K17,[1]데이터시트!$B$3:$N$196,11,FALSE)</f>
        <v>도약</v>
      </c>
      <c r="O17" s="42" t="str">
        <f>VLOOKUP(K17,[1]데이터시트!$B$3:$N$196,6,FALSE)</f>
        <v>지역기반</v>
      </c>
      <c r="P17" s="32">
        <v>20429982</v>
      </c>
      <c r="Q17" s="32" t="str">
        <f>VLOOKUP(P17,[1]데이터시트!$B$3:$N$196,2,FALSE)</f>
        <v>이은지</v>
      </c>
      <c r="R17" s="33" t="str">
        <f>VLOOKUP(P17,[1]데이터시트!$B$3:$N$196,4,FALSE)</f>
        <v>잠재력 확인 팀</v>
      </c>
      <c r="S17" s="31" t="str">
        <f>VLOOKUP(P17,[1]데이터시트!$B$3:$N$196,11,FALSE)</f>
        <v>도약</v>
      </c>
      <c r="T17" s="30" t="str">
        <f>VLOOKUP(P17,[1]데이터시트!$B$3:$N$196,6,FALSE)</f>
        <v>지역기반</v>
      </c>
      <c r="U17" s="32">
        <v>20426082</v>
      </c>
      <c r="V17" s="32" t="str">
        <f>VLOOKUP(U17,[1]데이터시트!$B$3:$N$196,2,FALSE)</f>
        <v>박주혁</v>
      </c>
      <c r="W17" s="33" t="str">
        <f>VLOOKUP(U17,[1]데이터시트!$B$3:$N$196,4,FALSE)</f>
        <v>매출실적우수</v>
      </c>
      <c r="X17" s="31" t="str">
        <f>VLOOKUP(U17,[1]데이터시트!$B$3:$N$196,11,FALSE)</f>
        <v>도약</v>
      </c>
      <c r="Y17" s="30" t="str">
        <f>VLOOKUP(U17,[1]데이터시트!$B$3:$N$196,6,FALSE)</f>
        <v>대학발</v>
      </c>
      <c r="Z17" s="34"/>
      <c r="AA17" s="34"/>
      <c r="AB17" s="35"/>
      <c r="AC17" s="35"/>
      <c r="AD17" s="34"/>
      <c r="AE17" s="34"/>
      <c r="AF17" s="34"/>
      <c r="AG17" s="35"/>
      <c r="AH17" s="35"/>
      <c r="AI17" s="34"/>
      <c r="AJ17" s="36">
        <v>20418733</v>
      </c>
      <c r="AK17" s="30" t="str">
        <f>VLOOKUP(AJ17,[1]데이터시트!$B$3:$N$196,2,FALSE)</f>
        <v>김진웅</v>
      </c>
      <c r="AL17" s="31">
        <f>VLOOKUP(AJ17,[1]데이터시트!$B$3:$N$196,4,FALSE)</f>
        <v>0</v>
      </c>
      <c r="AM17" s="31" t="str">
        <f>VLOOKUP(AJ17,[1]데이터시트!$B$3:$N$196,11,FALSE)</f>
        <v>도약</v>
      </c>
      <c r="AN17" s="30" t="str">
        <f>VLOOKUP(AJ17,[1]데이터시트!$B$3:$N$196,6,FALSE)</f>
        <v>지역기반</v>
      </c>
      <c r="AO17" s="36">
        <v>20429861</v>
      </c>
      <c r="AP17" s="30" t="str">
        <f>VLOOKUP(AO17,[1]데이터시트!$B$3:$N$196,2,FALSE)</f>
        <v>오혜린</v>
      </c>
      <c r="AQ17" s="31">
        <f>VLOOKUP(AO17,[1]데이터시트!$B$3:$N$196,4,FALSE)</f>
        <v>0</v>
      </c>
      <c r="AR17" s="31" t="str">
        <f>VLOOKUP(AO17,[1]데이터시트!$B$3:$N$196,11,FALSE)</f>
        <v>초기</v>
      </c>
      <c r="AS17" s="30" t="str">
        <f>VLOOKUP(AO17,[1]데이터시트!$B$3:$N$196,6,FALSE)</f>
        <v>대학발</v>
      </c>
      <c r="AT17" s="34"/>
      <c r="AU17" s="34"/>
      <c r="AV17" s="35"/>
      <c r="AW17" s="35"/>
      <c r="AX17" s="34"/>
      <c r="AY17" s="34"/>
      <c r="AZ17" s="34"/>
      <c r="BA17" s="35"/>
      <c r="BB17" s="35"/>
      <c r="BC17" s="34"/>
      <c r="BD17" s="34"/>
      <c r="BE17" s="34"/>
      <c r="BF17" s="35"/>
      <c r="BG17" s="35"/>
      <c r="BH17" s="34"/>
    </row>
    <row r="18" spans="1:60" ht="17.25" thickBot="1" x14ac:dyDescent="0.35">
      <c r="A18" s="25">
        <f>SUBTOTAL(103,$B$7:B18)</f>
        <v>10</v>
      </c>
      <c r="B18" s="25" t="s">
        <v>45</v>
      </c>
      <c r="C18" s="25">
        <f t="shared" si="0"/>
        <v>1440</v>
      </c>
      <c r="D18" s="25">
        <v>1500</v>
      </c>
      <c r="E18" s="25">
        <v>20</v>
      </c>
      <c r="F18" s="30">
        <v>20428639</v>
      </c>
      <c r="G18" s="30" t="str">
        <f>VLOOKUP(F18,[1]데이터시트!$B$3:$N$196,2,FALSE)</f>
        <v>권도현</v>
      </c>
      <c r="H18" s="31">
        <f>VLOOKUP(F18,[1]데이터시트!$B$3:$N$196,4,FALSE)</f>
        <v>0</v>
      </c>
      <c r="I18" s="31" t="str">
        <f>VLOOKUP(F18,[1]데이터시트!$B$3:$N$196,11,FALSE)</f>
        <v>도약</v>
      </c>
      <c r="J18" s="30" t="str">
        <f>VLOOKUP(F18,[1]데이터시트!$B$3:$N$196,6,FALSE)</f>
        <v>지역기반</v>
      </c>
      <c r="K18" s="30">
        <v>20408825</v>
      </c>
      <c r="L18" s="30" t="str">
        <f>VLOOKUP(K18,[1]데이터시트!$B$3:$N$196,2,FALSE)</f>
        <v>한대희</v>
      </c>
      <c r="M18" s="31">
        <f>VLOOKUP(K18,[1]데이터시트!$B$3:$N$196,4,FALSE)</f>
        <v>0</v>
      </c>
      <c r="N18" s="31" t="str">
        <f>VLOOKUP(K18,[1]데이터시트!$B$3:$N$196,11,FALSE)</f>
        <v>도약</v>
      </c>
      <c r="O18" s="42" t="str">
        <f>VLOOKUP(K18,[1]데이터시트!$B$3:$N$196,6,FALSE)</f>
        <v>지역기반</v>
      </c>
      <c r="P18" s="30">
        <v>20415684</v>
      </c>
      <c r="Q18" s="30" t="str">
        <f>VLOOKUP(P18,[1]데이터시트!$B$3:$N$196,2,FALSE)</f>
        <v>김명곤</v>
      </c>
      <c r="R18" s="31">
        <f>VLOOKUP(P18,[1]데이터시트!$B$3:$N$196,4,FALSE)</f>
        <v>0</v>
      </c>
      <c r="S18" s="31" t="str">
        <f>VLOOKUP(P18,[1]데이터시트!$B$3:$N$196,11,FALSE)</f>
        <v>도약</v>
      </c>
      <c r="T18" s="30" t="str">
        <f>VLOOKUP(P18,[1]데이터시트!$B$3:$N$196,6,FALSE)</f>
        <v>지역기반</v>
      </c>
      <c r="U18" s="30">
        <v>20424850</v>
      </c>
      <c r="V18" s="30" t="str">
        <f>VLOOKUP(U18,[1]데이터시트!$B$3:$N$196,2,FALSE)</f>
        <v>안영샘</v>
      </c>
      <c r="W18" s="31">
        <f>VLOOKUP(U18,[1]데이터시트!$B$3:$N$196,4,FALSE)</f>
        <v>0</v>
      </c>
      <c r="X18" s="31" t="str">
        <f>VLOOKUP(U18,[1]데이터시트!$B$3:$N$196,11,FALSE)</f>
        <v>도약</v>
      </c>
      <c r="Y18" s="30" t="str">
        <f>VLOOKUP(U18,[1]데이터시트!$B$3:$N$196,6,FALSE)</f>
        <v>대학발</v>
      </c>
      <c r="Z18" s="34"/>
      <c r="AA18" s="34"/>
      <c r="AB18" s="35"/>
      <c r="AC18" s="35"/>
      <c r="AD18" s="34"/>
      <c r="AE18" s="34"/>
      <c r="AF18" s="34"/>
      <c r="AG18" s="35"/>
      <c r="AH18" s="35"/>
      <c r="AI18" s="34"/>
      <c r="AJ18" s="36">
        <v>20407665</v>
      </c>
      <c r="AK18" s="30" t="str">
        <f>VLOOKUP(AJ18,[1]데이터시트!$B$3:$N$196,2,FALSE)</f>
        <v>박지은</v>
      </c>
      <c r="AL18" s="31">
        <f>VLOOKUP(AJ18,[1]데이터시트!$B$3:$N$196,4,FALSE)</f>
        <v>0</v>
      </c>
      <c r="AM18" s="31" t="str">
        <f>VLOOKUP(AJ18,[1]데이터시트!$B$3:$N$196,11,FALSE)</f>
        <v>도약</v>
      </c>
      <c r="AN18" s="30" t="str">
        <f>VLOOKUP(AJ18,[1]데이터시트!$B$3:$N$196,6,FALSE)</f>
        <v>지역기반</v>
      </c>
      <c r="AO18" s="54">
        <v>20427486</v>
      </c>
      <c r="AP18" s="55" t="str">
        <f>VLOOKUP(AO18,[1]데이터시트!$B$3:$N$196,2,FALSE)</f>
        <v>손창호</v>
      </c>
      <c r="AQ18" s="56">
        <f>VLOOKUP(AO18,[1]데이터시트!$B$3:$N$196,4,FALSE)</f>
        <v>0</v>
      </c>
      <c r="AR18" s="57" t="str">
        <f>VLOOKUP(AO18,[1]데이터시트!$B$3:$N$196,11,FALSE)</f>
        <v>초기</v>
      </c>
      <c r="AS18" s="58" t="str">
        <f>VLOOKUP(AO18,[1]데이터시트!$B$3:$N$196,6,FALSE)</f>
        <v>실험실</v>
      </c>
      <c r="AT18" s="47"/>
      <c r="AU18" s="34"/>
      <c r="AV18" s="35"/>
      <c r="AW18" s="35"/>
      <c r="AX18" s="34"/>
      <c r="AY18" s="34"/>
      <c r="AZ18" s="34"/>
      <c r="BA18" s="35"/>
      <c r="BB18" s="35"/>
      <c r="BC18" s="34"/>
      <c r="BD18" s="34"/>
      <c r="BE18" s="34"/>
      <c r="BF18" s="35"/>
      <c r="BG18" s="35"/>
      <c r="BH18" s="34"/>
    </row>
    <row r="19" spans="1:60" ht="17.25" thickBot="1" x14ac:dyDescent="0.35">
      <c r="A19" s="25">
        <f>SUBTOTAL(103,$B$7:B19)</f>
        <v>11</v>
      </c>
      <c r="B19" s="25" t="s">
        <v>45</v>
      </c>
      <c r="C19" s="25">
        <f>D18+5</f>
        <v>1505</v>
      </c>
      <c r="D19" s="25">
        <v>1525</v>
      </c>
      <c r="E19" s="25">
        <v>20</v>
      </c>
      <c r="F19" s="30">
        <v>20414308</v>
      </c>
      <c r="G19" s="30" t="str">
        <f>VLOOKUP(F19,[1]데이터시트!$B$3:$N$196,2,FALSE)</f>
        <v>최용호</v>
      </c>
      <c r="H19" s="31">
        <f>VLOOKUP(F19,[1]데이터시트!$B$3:$N$196,4,FALSE)</f>
        <v>0</v>
      </c>
      <c r="I19" s="31" t="str">
        <f>VLOOKUP(F19,[1]데이터시트!$B$3:$N$196,11,FALSE)</f>
        <v>도약</v>
      </c>
      <c r="J19" s="30" t="str">
        <f>VLOOKUP(F19,[1]데이터시트!$B$3:$N$196,6,FALSE)</f>
        <v>지역기반</v>
      </c>
      <c r="K19" s="30">
        <v>20422010</v>
      </c>
      <c r="L19" s="30" t="str">
        <f>VLOOKUP(K19,[1]데이터시트!$B$3:$N$196,2,FALSE)</f>
        <v>김예지</v>
      </c>
      <c r="M19" s="31">
        <f>VLOOKUP(K19,[1]데이터시트!$B$3:$N$196,4,FALSE)</f>
        <v>0</v>
      </c>
      <c r="N19" s="31" t="str">
        <f>VLOOKUP(K19,[1]데이터시트!$B$3:$N$196,11,FALSE)</f>
        <v>도약</v>
      </c>
      <c r="O19" s="42" t="str">
        <f>VLOOKUP(K19,[1]데이터시트!$B$3:$N$196,6,FALSE)</f>
        <v>지역기반</v>
      </c>
      <c r="P19" s="30">
        <v>20418458</v>
      </c>
      <c r="Q19" s="30" t="str">
        <f>VLOOKUP(P19,[1]데이터시트!$B$3:$N$196,2,FALSE)</f>
        <v>임유진</v>
      </c>
      <c r="R19" s="31">
        <f>VLOOKUP(P19,[1]데이터시트!$B$3:$N$196,4,FALSE)</f>
        <v>0</v>
      </c>
      <c r="S19" s="31" t="str">
        <f>VLOOKUP(P19,[1]데이터시트!$B$3:$N$196,11,FALSE)</f>
        <v>도약</v>
      </c>
      <c r="T19" s="30" t="str">
        <f>VLOOKUP(P19,[1]데이터시트!$B$3:$N$196,6,FALSE)</f>
        <v>지역기반</v>
      </c>
      <c r="U19" s="30"/>
      <c r="V19" s="30"/>
      <c r="W19" s="31"/>
      <c r="X19" s="31"/>
      <c r="Y19" s="30"/>
      <c r="Z19" s="34"/>
      <c r="AA19" s="34"/>
      <c r="AB19" s="35"/>
      <c r="AC19" s="35"/>
      <c r="AD19" s="34"/>
      <c r="AE19" s="34"/>
      <c r="AF19" s="34"/>
      <c r="AG19" s="35"/>
      <c r="AH19" s="35"/>
      <c r="AI19" s="34"/>
      <c r="AJ19" s="36">
        <v>20410913</v>
      </c>
      <c r="AK19" s="30" t="str">
        <f>VLOOKUP(AJ19,[1]데이터시트!$B$3:$N$196,2,FALSE)</f>
        <v>윤병현</v>
      </c>
      <c r="AL19" s="31">
        <f>VLOOKUP(AJ19,[1]데이터시트!$B$3:$N$196,4,FALSE)</f>
        <v>0</v>
      </c>
      <c r="AM19" s="31" t="str">
        <f>VLOOKUP(AJ19,[1]데이터시트!$B$3:$N$196,11,FALSE)</f>
        <v>도약</v>
      </c>
      <c r="AN19" s="30" t="str">
        <f>VLOOKUP(AJ19,[1]데이터시트!$B$3:$N$196,6,FALSE)</f>
        <v>지역기반</v>
      </c>
      <c r="AO19" s="59">
        <v>20428862</v>
      </c>
      <c r="AP19" s="60" t="str">
        <f>VLOOKUP(AO19,[1]데이터시트!$B$3:$N$196,2,FALSE)</f>
        <v>왕준호</v>
      </c>
      <c r="AQ19" s="61" t="str">
        <f>VLOOKUP(AO19,[1]데이터시트!$B$3:$N$196,4,FALSE)</f>
        <v>전임교원</v>
      </c>
      <c r="AR19" s="62" t="str">
        <f>VLOOKUP(AO19,[1]데이터시트!$B$3:$N$196,11,FALSE)</f>
        <v>초기</v>
      </c>
      <c r="AS19" s="63" t="str">
        <f>VLOOKUP(AO19,[1]데이터시트!$B$3:$N$196,6,FALSE)</f>
        <v>실험실</v>
      </c>
      <c r="AT19" s="47"/>
      <c r="AU19" s="34"/>
      <c r="AV19" s="35"/>
      <c r="AW19" s="35"/>
      <c r="AX19" s="34"/>
      <c r="AY19" s="34"/>
      <c r="AZ19" s="34"/>
      <c r="BA19" s="35"/>
      <c r="BB19" s="35"/>
      <c r="BC19" s="34"/>
      <c r="BD19" s="34"/>
      <c r="BE19" s="34"/>
      <c r="BF19" s="35"/>
      <c r="BG19" s="35"/>
      <c r="BH19" s="34"/>
    </row>
    <row r="20" spans="1:60" x14ac:dyDescent="0.3">
      <c r="A20" s="25">
        <f>SUBTOTAL(103,$B$7:B20)</f>
        <v>12</v>
      </c>
      <c r="B20" s="25" t="s">
        <v>45</v>
      </c>
      <c r="C20" s="25">
        <f t="shared" si="0"/>
        <v>1530</v>
      </c>
      <c r="D20" s="25">
        <v>1550</v>
      </c>
      <c r="E20" s="25">
        <v>20</v>
      </c>
      <c r="F20" s="30">
        <v>20427459</v>
      </c>
      <c r="G20" s="30" t="str">
        <f>VLOOKUP(F20,[1]데이터시트!$B$3:$N$196,2,FALSE)</f>
        <v>신인근</v>
      </c>
      <c r="H20" s="31">
        <f>VLOOKUP(F20,[1]데이터시트!$B$3:$N$196,4,FALSE)</f>
        <v>0</v>
      </c>
      <c r="I20" s="31" t="str">
        <f>VLOOKUP(F20,[1]데이터시트!$B$3:$N$196,11,FALSE)</f>
        <v>도약</v>
      </c>
      <c r="J20" s="30" t="str">
        <f>VLOOKUP(F20,[1]데이터시트!$B$3:$N$196,6,FALSE)</f>
        <v>지역기반</v>
      </c>
      <c r="K20" s="39">
        <v>20426671</v>
      </c>
      <c r="L20" s="39" t="str">
        <f>VLOOKUP(K20,[1]데이터시트!$B$3:$N$196,2,FALSE)</f>
        <v>이해섭</v>
      </c>
      <c r="M20" s="40">
        <f>VLOOKUP(K20,[1]데이터시트!$B$3:$N$196,4,FALSE)</f>
        <v>0</v>
      </c>
      <c r="N20" s="40" t="str">
        <f>VLOOKUP(K20,[1]데이터시트!$B$3:$N$196,11,FALSE)</f>
        <v>도약</v>
      </c>
      <c r="O20" s="64" t="str">
        <f>VLOOKUP(K20,[1]데이터시트!$B$3:$N$196,6,FALSE)</f>
        <v>지역기반</v>
      </c>
      <c r="P20" s="65">
        <v>20413200</v>
      </c>
      <c r="Q20" s="32" t="str">
        <f>VLOOKUP(P20,[1]데이터시트!$B$3:$N$196,2,FALSE)</f>
        <v>승영욱</v>
      </c>
      <c r="R20" s="33" t="str">
        <f>VLOOKUP(P20,[1]데이터시트!$B$3:$N$196,4,FALSE)</f>
        <v>잠재력 확인 팀</v>
      </c>
      <c r="S20" s="31" t="str">
        <f>VLOOKUP(P20,[1]데이터시트!$B$3:$N$196,11,FALSE)</f>
        <v>도약</v>
      </c>
      <c r="T20" s="30" t="str">
        <f>VLOOKUP(P20,[1]데이터시트!$B$3:$N$196,6,FALSE)</f>
        <v>지역기반</v>
      </c>
      <c r="U20" s="30"/>
      <c r="V20" s="30"/>
      <c r="W20" s="31"/>
      <c r="X20" s="31"/>
      <c r="Y20" s="30"/>
      <c r="Z20" s="34"/>
      <c r="AA20" s="34"/>
      <c r="AB20" s="35"/>
      <c r="AC20" s="35"/>
      <c r="AD20" s="34"/>
      <c r="AE20" s="34"/>
      <c r="AF20" s="34"/>
      <c r="AG20" s="35"/>
      <c r="AH20" s="35"/>
      <c r="AI20" s="34"/>
      <c r="AJ20" s="36">
        <v>20413981</v>
      </c>
      <c r="AK20" s="30" t="str">
        <f>VLOOKUP(AJ20,[1]데이터시트!$B$3:$N$196,2,FALSE)</f>
        <v>조백상</v>
      </c>
      <c r="AL20" s="31">
        <f>VLOOKUP(AJ20,[1]데이터시트!$B$3:$N$196,4,FALSE)</f>
        <v>0</v>
      </c>
      <c r="AM20" s="31" t="str">
        <f>VLOOKUP(AJ20,[1]데이터시트!$B$3:$N$196,11,FALSE)</f>
        <v>도약</v>
      </c>
      <c r="AN20" s="30" t="str">
        <f>VLOOKUP(AJ20,[1]데이터시트!$B$3:$N$196,6,FALSE)</f>
        <v>지역기반</v>
      </c>
      <c r="AT20" s="34"/>
      <c r="AU20" s="34"/>
      <c r="AV20" s="35"/>
      <c r="AW20" s="35"/>
      <c r="AX20" s="34"/>
      <c r="AY20" s="34"/>
      <c r="AZ20" s="34"/>
      <c r="BA20" s="35"/>
      <c r="BB20" s="35"/>
      <c r="BC20" s="34"/>
      <c r="BD20" s="34"/>
      <c r="BE20" s="34"/>
      <c r="BF20" s="35"/>
      <c r="BG20" s="35"/>
      <c r="BH20" s="34"/>
    </row>
    <row r="21" spans="1:60" x14ac:dyDescent="0.3">
      <c r="A21" s="25">
        <f>SUBTOTAL(103,$B$7:B21)</f>
        <v>13</v>
      </c>
      <c r="B21" s="25" t="s">
        <v>45</v>
      </c>
      <c r="C21" s="25">
        <f t="shared" si="0"/>
        <v>1555</v>
      </c>
      <c r="D21" s="25">
        <v>1615</v>
      </c>
      <c r="E21" s="25">
        <v>20</v>
      </c>
      <c r="F21" s="30"/>
      <c r="G21" s="30"/>
      <c r="H21" s="66"/>
      <c r="I21" s="66"/>
      <c r="J21" s="37"/>
      <c r="K21" s="67"/>
      <c r="L21" s="67"/>
      <c r="M21" s="68"/>
      <c r="N21" s="68"/>
      <c r="O21" s="67"/>
      <c r="P21" s="67"/>
      <c r="Q21" s="69"/>
      <c r="R21" s="31"/>
      <c r="S21" s="31"/>
      <c r="T21" s="30"/>
      <c r="U21" s="30"/>
      <c r="V21" s="30"/>
      <c r="W21" s="31"/>
      <c r="X21" s="31"/>
      <c r="Y21" s="30"/>
      <c r="Z21" s="30"/>
      <c r="AA21" s="30"/>
      <c r="AB21" s="31"/>
      <c r="AC21" s="31"/>
      <c r="AD21" s="30"/>
      <c r="AE21" s="30"/>
      <c r="AF21" s="30"/>
      <c r="AG21" s="31"/>
      <c r="AH21" s="31"/>
      <c r="AI21" s="30"/>
      <c r="AJ21" s="36"/>
      <c r="AK21" s="30"/>
      <c r="AL21" s="31"/>
      <c r="AM21" s="70"/>
      <c r="AN21" s="71"/>
      <c r="AO21" s="72"/>
      <c r="AP21" s="30"/>
      <c r="AQ21" s="31"/>
      <c r="AR21" s="31"/>
      <c r="AS21" s="30"/>
      <c r="AT21" s="30"/>
      <c r="AU21" s="30"/>
      <c r="AV21" s="31"/>
      <c r="AW21" s="31"/>
      <c r="AX21" s="30"/>
      <c r="AY21" s="30"/>
      <c r="AZ21" s="30"/>
      <c r="BA21" s="31"/>
      <c r="BB21" s="31"/>
      <c r="BC21" s="30"/>
      <c r="BD21" s="30"/>
      <c r="BE21" s="30"/>
      <c r="BF21" s="31"/>
      <c r="BG21" s="31"/>
      <c r="BH21" s="30"/>
    </row>
    <row r="22" spans="1:60" x14ac:dyDescent="0.3">
      <c r="A22" s="25">
        <f>SUBTOTAL(103,$B$7:B22)</f>
        <v>14</v>
      </c>
      <c r="B22" s="25" t="s">
        <v>45</v>
      </c>
      <c r="C22" s="25">
        <f t="shared" si="0"/>
        <v>1620</v>
      </c>
      <c r="D22" s="25">
        <v>1640</v>
      </c>
      <c r="E22" s="25">
        <v>20</v>
      </c>
      <c r="F22" s="30"/>
      <c r="G22" s="30"/>
      <c r="H22" s="66"/>
      <c r="I22" s="66"/>
      <c r="J22" s="37"/>
      <c r="K22" s="67"/>
      <c r="L22" s="67"/>
      <c r="M22" s="68"/>
      <c r="N22" s="68"/>
      <c r="O22" s="67"/>
      <c r="P22" s="67"/>
      <c r="Q22" s="69"/>
      <c r="R22" s="31"/>
      <c r="S22" s="31"/>
      <c r="T22" s="30"/>
      <c r="U22" s="30"/>
      <c r="V22" s="30"/>
      <c r="W22" s="31"/>
      <c r="X22" s="31"/>
      <c r="Y22" s="30"/>
      <c r="Z22" s="30"/>
      <c r="AA22" s="30"/>
      <c r="AB22" s="31"/>
      <c r="AC22" s="31"/>
      <c r="AD22" s="30"/>
      <c r="AE22" s="30"/>
      <c r="AF22" s="30"/>
      <c r="AG22" s="31"/>
      <c r="AH22" s="31"/>
      <c r="AI22" s="30"/>
      <c r="AJ22" s="30"/>
      <c r="AK22" s="30"/>
      <c r="AL22" s="31"/>
      <c r="AM22" s="31"/>
      <c r="AN22" s="30"/>
      <c r="AO22" s="73"/>
      <c r="AP22" s="30"/>
      <c r="AQ22" s="31"/>
      <c r="AR22" s="31"/>
      <c r="AS22" s="30"/>
      <c r="AT22" s="30"/>
      <c r="AU22" s="30"/>
      <c r="AV22" s="31"/>
      <c r="AW22" s="31"/>
      <c r="AX22" s="30"/>
      <c r="AY22" s="30"/>
      <c r="AZ22" s="30"/>
      <c r="BA22" s="31"/>
      <c r="BB22" s="31"/>
      <c r="BC22" s="30"/>
      <c r="BD22" s="30"/>
      <c r="BE22" s="30"/>
      <c r="BF22" s="31"/>
      <c r="BG22" s="31"/>
      <c r="BH22" s="30"/>
    </row>
    <row r="23" spans="1:60" ht="26.25" customHeight="1" x14ac:dyDescent="0.3"/>
    <row r="24" spans="1:60" ht="18" customHeight="1" x14ac:dyDescent="0.3">
      <c r="A24" s="1">
        <v>46134</v>
      </c>
    </row>
    <row r="25" spans="1:60" x14ac:dyDescent="0.3">
      <c r="A25" s="74" t="s">
        <v>47</v>
      </c>
      <c r="B25" s="7"/>
      <c r="C25" s="7"/>
      <c r="D25" s="7"/>
      <c r="E25" s="8"/>
    </row>
    <row r="26" spans="1:60" x14ac:dyDescent="0.3">
      <c r="A26" s="75"/>
      <c r="B26" s="13"/>
      <c r="C26" s="13"/>
      <c r="D26" s="13"/>
      <c r="E26" s="14"/>
      <c r="F26" s="15" t="s">
        <v>4</v>
      </c>
      <c r="G26" s="15"/>
      <c r="H26" s="15"/>
      <c r="I26" s="15"/>
      <c r="J26" s="15"/>
      <c r="K26" s="15" t="s">
        <v>5</v>
      </c>
      <c r="L26" s="15"/>
      <c r="M26" s="15"/>
      <c r="N26" s="15"/>
      <c r="O26" s="15"/>
      <c r="P26" s="15" t="s">
        <v>6</v>
      </c>
      <c r="Q26" s="15"/>
      <c r="R26" s="15"/>
      <c r="S26" s="15"/>
      <c r="T26" s="15"/>
      <c r="U26" s="15" t="s">
        <v>7</v>
      </c>
      <c r="V26" s="15"/>
      <c r="W26" s="15"/>
      <c r="X26" s="15"/>
      <c r="Y26" s="15"/>
      <c r="Z26" s="15" t="s">
        <v>8</v>
      </c>
      <c r="AA26" s="15"/>
      <c r="AB26" s="15"/>
      <c r="AC26" s="15"/>
      <c r="AD26" s="15"/>
      <c r="AE26" s="15" t="s">
        <v>9</v>
      </c>
      <c r="AF26" s="15"/>
      <c r="AG26" s="15"/>
      <c r="AH26" s="16"/>
      <c r="AI26" s="16"/>
      <c r="AJ26" s="76" t="s">
        <v>10</v>
      </c>
      <c r="AK26" s="76"/>
      <c r="AL26" s="76"/>
      <c r="AM26" s="76"/>
      <c r="AN26" s="76"/>
      <c r="AO26" s="18" t="s">
        <v>11</v>
      </c>
      <c r="AP26" s="15"/>
      <c r="AQ26" s="15"/>
      <c r="AR26" s="15"/>
      <c r="AS26" s="15"/>
      <c r="AT26" s="15" t="s">
        <v>12</v>
      </c>
      <c r="AU26" s="15"/>
      <c r="AV26" s="15"/>
      <c r="AW26" s="15"/>
      <c r="AX26" s="15"/>
      <c r="AY26" s="15" t="s">
        <v>13</v>
      </c>
      <c r="AZ26" s="15"/>
      <c r="BA26" s="15"/>
      <c r="BB26" s="15"/>
      <c r="BC26" s="15"/>
      <c r="BD26" s="15" t="s">
        <v>14</v>
      </c>
      <c r="BE26" s="15"/>
      <c r="BF26" s="15"/>
      <c r="BG26" s="15"/>
      <c r="BH26" s="15"/>
    </row>
    <row r="27" spans="1:60" x14ac:dyDescent="0.3">
      <c r="A27" s="19" t="s">
        <v>48</v>
      </c>
      <c r="B27" s="19" t="s">
        <v>15</v>
      </c>
      <c r="C27" s="19" t="s">
        <v>16</v>
      </c>
      <c r="D27" s="19" t="s">
        <v>17</v>
      </c>
      <c r="E27" s="19" t="s">
        <v>18</v>
      </c>
      <c r="F27" s="20" t="s">
        <v>19</v>
      </c>
      <c r="G27" s="21" t="str">
        <f>G6</f>
        <v>105호</v>
      </c>
      <c r="H27" s="22"/>
      <c r="I27" s="23"/>
      <c r="J27" s="24" t="str">
        <f>J6</f>
        <v>박유진</v>
      </c>
      <c r="K27" s="20" t="s">
        <v>19</v>
      </c>
      <c r="L27" s="21" t="str">
        <f>L6</f>
        <v>108호</v>
      </c>
      <c r="M27" s="22"/>
      <c r="N27" s="23"/>
      <c r="O27" s="24" t="str">
        <f>O6</f>
        <v>이수화</v>
      </c>
      <c r="P27" s="20" t="s">
        <v>19</v>
      </c>
      <c r="Q27" s="21" t="str">
        <f>Q6</f>
        <v>107호</v>
      </c>
      <c r="R27" s="22"/>
      <c r="S27" s="23"/>
      <c r="T27" s="24" t="str">
        <f>T6</f>
        <v>김이진</v>
      </c>
      <c r="U27" s="20" t="s">
        <v>19</v>
      </c>
      <c r="V27" s="21" t="str">
        <f>V6</f>
        <v>110호</v>
      </c>
      <c r="W27" s="22"/>
      <c r="X27" s="23"/>
      <c r="Y27" s="24" t="str">
        <f>Y6</f>
        <v>김지희</v>
      </c>
      <c r="Z27" s="20" t="s">
        <v>19</v>
      </c>
      <c r="AA27" s="21" t="str">
        <f>AA6</f>
        <v>205호</v>
      </c>
      <c r="AB27" s="22"/>
      <c r="AC27" s="23"/>
      <c r="AD27" s="24" t="str">
        <f>AD6</f>
        <v>신동영</v>
      </c>
      <c r="AE27" s="20" t="s">
        <v>19</v>
      </c>
      <c r="AF27" s="21" t="str">
        <f>AF6</f>
        <v>1304호</v>
      </c>
      <c r="AG27" s="22"/>
      <c r="AH27" s="23"/>
      <c r="AI27" s="24" t="str">
        <f>AI6</f>
        <v>박영선</v>
      </c>
      <c r="AJ27" s="77" t="s">
        <v>19</v>
      </c>
      <c r="AK27" s="78" t="str">
        <f>AK6</f>
        <v>1301호</v>
      </c>
      <c r="AL27" s="79"/>
      <c r="AM27" s="80"/>
      <c r="AN27" s="81" t="str">
        <f>AN6</f>
        <v>김도훈</v>
      </c>
      <c r="AO27" s="20" t="s">
        <v>19</v>
      </c>
      <c r="AP27" s="21" t="str">
        <f>AP6</f>
        <v>1302호</v>
      </c>
      <c r="AQ27" s="22"/>
      <c r="AR27" s="23"/>
      <c r="AS27" s="24" t="str">
        <f>AS6</f>
        <v>지진훈</v>
      </c>
      <c r="AT27" s="20" t="s">
        <v>19</v>
      </c>
      <c r="AU27" s="21" t="str">
        <f>AU6</f>
        <v>201호</v>
      </c>
      <c r="AV27" s="22"/>
      <c r="AW27" s="23"/>
      <c r="AX27" s="24" t="str">
        <f>AX6</f>
        <v>최희정</v>
      </c>
      <c r="AY27" s="20" t="s">
        <v>19</v>
      </c>
      <c r="AZ27" s="21" t="str">
        <f>AZ6</f>
        <v>208~209호</v>
      </c>
      <c r="BA27" s="22"/>
      <c r="BB27" s="23"/>
      <c r="BC27" s="24" t="str">
        <f>BC6</f>
        <v>정승아</v>
      </c>
      <c r="BD27" s="20" t="s">
        <v>19</v>
      </c>
      <c r="BE27" s="21">
        <v>20428661</v>
      </c>
      <c r="BF27" s="22"/>
      <c r="BG27" s="23"/>
      <c r="BH27" s="24" t="str">
        <f>BH6</f>
        <v>김수진</v>
      </c>
    </row>
    <row r="28" spans="1:60" ht="17.25" thickBot="1" x14ac:dyDescent="0.35">
      <c r="A28" s="82"/>
      <c r="B28" s="82"/>
      <c r="C28" s="26" t="s">
        <v>42</v>
      </c>
      <c r="D28" s="26" t="s">
        <v>43</v>
      </c>
      <c r="E28" s="83">
        <v>30</v>
      </c>
      <c r="F28" s="27" t="s">
        <v>44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9"/>
    </row>
    <row r="29" spans="1:60" ht="17.25" thickBot="1" x14ac:dyDescent="0.35">
      <c r="A29" s="25">
        <f>SUBTOTAL(103,$B$29:B29)</f>
        <v>1</v>
      </c>
      <c r="B29" s="25" t="s">
        <v>49</v>
      </c>
      <c r="C29" s="26" t="s">
        <v>43</v>
      </c>
      <c r="D29" s="25">
        <v>1020</v>
      </c>
      <c r="E29" s="25">
        <v>20</v>
      </c>
      <c r="F29" s="30">
        <v>20424619</v>
      </c>
      <c r="G29" s="30" t="str">
        <f>VLOOKUP(F29,[1]데이터시트!$B$3:$N$196,2,FALSE)</f>
        <v>김현지</v>
      </c>
      <c r="H29" s="31">
        <f>VLOOKUP(F29,[1]데이터시트!$B$3:$N$196,4,FALSE)</f>
        <v>0</v>
      </c>
      <c r="I29" s="31" t="str">
        <f>VLOOKUP(F29,[1]데이터시트!$B$3:$N$196,11,FALSE)</f>
        <v>초기</v>
      </c>
      <c r="J29" s="30" t="str">
        <f>VLOOKUP(F29,[1]데이터시트!$B$3:$N$196,6,FALSE)</f>
        <v>지역기반</v>
      </c>
      <c r="K29" s="30">
        <v>20412766</v>
      </c>
      <c r="L29" s="30" t="str">
        <f>VLOOKUP(K29,[1]데이터시트!$B$3:$N$196,2,FALSE)</f>
        <v>한경용</v>
      </c>
      <c r="M29" s="31">
        <f>VLOOKUP(K29,[1]데이터시트!$B$3:$N$196,4,FALSE)</f>
        <v>0</v>
      </c>
      <c r="N29" s="31" t="str">
        <f>VLOOKUP(K29,[1]데이터시트!$B$3:$N$196,11,FALSE)</f>
        <v>예비</v>
      </c>
      <c r="O29" s="30" t="str">
        <f>VLOOKUP(K31,[1]데이터시트!$B$3:$N$196,6,FALSE)</f>
        <v>지역기반</v>
      </c>
      <c r="P29" s="30">
        <v>20430270</v>
      </c>
      <c r="Q29" s="30" t="str">
        <f>VLOOKUP(P29,[1]데이터시트!$B$3:$N$196,2,FALSE)</f>
        <v>백종욱</v>
      </c>
      <c r="R29" s="31">
        <f>VLOOKUP(P29,[1]데이터시트!$B$3:$N$196,4,FALSE)</f>
        <v>0</v>
      </c>
      <c r="S29" s="31" t="str">
        <f>VLOOKUP(P29,[1]데이터시트!$B$3:$N$196,11,FALSE)</f>
        <v>도약</v>
      </c>
      <c r="T29" s="30" t="str">
        <f>VLOOKUP(P29,[1]데이터시트!$B$3:$N$196,6,FALSE)</f>
        <v>지역기반</v>
      </c>
      <c r="U29" s="32">
        <v>20431469</v>
      </c>
      <c r="V29" s="32" t="str">
        <f>VLOOKUP(U29,[1]데이터시트!$B$3:$N$196,2,FALSE)</f>
        <v>고형진</v>
      </c>
      <c r="W29" s="33" t="str">
        <f>VLOOKUP(U29,[1]데이터시트!$B$3:$N$196,4,FALSE)</f>
        <v>전임교원</v>
      </c>
      <c r="X29" s="31" t="str">
        <f>VLOOKUP(U29,[1]데이터시트!$B$3:$N$196,11,FALSE)</f>
        <v>예비</v>
      </c>
      <c r="Y29" s="30" t="str">
        <f>VLOOKUP(U29,[1]데이터시트!$B$3:$N$196,6,FALSE)</f>
        <v>대학발</v>
      </c>
      <c r="Z29" s="36">
        <v>20413968</v>
      </c>
      <c r="AA29" s="30" t="str">
        <f>VLOOKUP(Z29,[1]데이터시트!$B$3:$N$196,2,FALSE)</f>
        <v>이승준</v>
      </c>
      <c r="AB29" s="31">
        <f>VLOOKUP(Z29,[1]데이터시트!$B$3:$N$196,4,FALSE)</f>
        <v>0</v>
      </c>
      <c r="AC29" s="31" t="str">
        <f>VLOOKUP(Z29,[1]데이터시트!$B$3:$N$196,11,FALSE)</f>
        <v>초기</v>
      </c>
      <c r="AD29" s="30" t="str">
        <f>VLOOKUP(Z29,[1]데이터시트!$B$3:$N$196,6,FALSE)</f>
        <v>지역기반</v>
      </c>
      <c r="AE29" s="36">
        <v>20408877</v>
      </c>
      <c r="AF29" s="30" t="str">
        <f>VLOOKUP(AE29,[1]데이터시트!$B$3:$N$196,2,FALSE)</f>
        <v>노형도</v>
      </c>
      <c r="AG29" s="31">
        <f>VLOOKUP(AE29,[1]데이터시트!$B$3:$N$196,4,FALSE)</f>
        <v>0</v>
      </c>
      <c r="AH29" s="31" t="str">
        <f>VLOOKUP(AE29,[1]데이터시트!$B$3:$N$196,11,FALSE)</f>
        <v>예비</v>
      </c>
      <c r="AI29" s="30" t="str">
        <f>VLOOKUP(AE29,[1]데이터시트!$B$3:$N$196,6,FALSE)</f>
        <v>지역기반</v>
      </c>
      <c r="AJ29" s="36">
        <v>20415588</v>
      </c>
      <c r="AK29" s="30" t="str">
        <f>VLOOKUP(AJ29,[1]데이터시트!$B$3:$N$196,2,FALSE)</f>
        <v>조성윤</v>
      </c>
      <c r="AL29" s="31">
        <f>VLOOKUP(AJ29,[1]데이터시트!$B$3:$N$196,4,FALSE)</f>
        <v>0</v>
      </c>
      <c r="AM29" s="31" t="str">
        <f>VLOOKUP(AJ29,[1]데이터시트!$B$3:$N$196,11,FALSE)</f>
        <v>초기</v>
      </c>
      <c r="AN29" s="30" t="str">
        <f>VLOOKUP(AJ29,[1]데이터시트!$B$3:$N$196,6,FALSE)</f>
        <v>지역기반</v>
      </c>
      <c r="AO29" s="84">
        <v>20404581</v>
      </c>
      <c r="AP29" s="32" t="str">
        <f>VLOOKUP(AO29,[1]데이터시트!$B$3:$N$196,2,FALSE)</f>
        <v>임세진</v>
      </c>
      <c r="AQ29" s="33" t="str">
        <f>VLOOKUP(AO29,[1]데이터시트!$B$3:$N$196,4,FALSE)</f>
        <v>전임교원</v>
      </c>
      <c r="AR29" s="31" t="str">
        <f>VLOOKUP(AO29,[1]데이터시트!$B$3:$N$196,11,FALSE)</f>
        <v>초기</v>
      </c>
      <c r="AS29" s="30" t="str">
        <f>VLOOKUP(AO29,[1]데이터시트!$B$3:$N$196,6,FALSE)</f>
        <v>실험실</v>
      </c>
      <c r="AT29" s="36">
        <v>20414625</v>
      </c>
      <c r="AU29" s="30" t="str">
        <f>VLOOKUP(AT29,[1]데이터시트!$B$3:$N$196,2,FALSE)</f>
        <v>김선진</v>
      </c>
      <c r="AV29" s="31">
        <f>VLOOKUP(AT29,[1]데이터시트!$B$3:$N$196,4,FALSE)</f>
        <v>0</v>
      </c>
      <c r="AW29" s="31" t="str">
        <f>VLOOKUP(AT29,[1]데이터시트!$B$3:$N$196,11,FALSE)</f>
        <v>예비</v>
      </c>
      <c r="AX29" s="30" t="str">
        <f>VLOOKUP(AT29,[1]데이터시트!$B$3:$N$196,6,FALSE)</f>
        <v>지역기반</v>
      </c>
      <c r="AY29" s="85">
        <v>20432406</v>
      </c>
      <c r="AZ29" s="86" t="str">
        <f>VLOOKUP(AY29,[1]데이터시트!$B$3:$N$196,2,FALSE)</f>
        <v>배성찬</v>
      </c>
      <c r="BA29" s="87">
        <f>VLOOKUP(AY29,[1]데이터시트!$B$3:$N$196,4,FALSE)</f>
        <v>0</v>
      </c>
      <c r="BB29" s="88" t="str">
        <f>VLOOKUP(AY29,[1]데이터시트!$B$3:$N$196,11,FALSE)</f>
        <v>도약</v>
      </c>
      <c r="BC29" s="89" t="str">
        <f>VLOOKUP(AY29,[1]데이터시트!$B$3:$N$196,6,FALSE)</f>
        <v>대학발</v>
      </c>
      <c r="BD29" s="36">
        <v>20416188</v>
      </c>
      <c r="BE29" s="30" t="str">
        <f>VLOOKUP(BD29,[1]데이터시트!$B$3:$N$196,2,FALSE)</f>
        <v>왕지혜</v>
      </c>
      <c r="BF29" s="31">
        <f>VLOOKUP(BD29,[1]데이터시트!$B$3:$N$196,4,FALSE)</f>
        <v>0</v>
      </c>
      <c r="BG29" s="90" t="str">
        <f>VLOOKUP(BD29,[1]데이터시트!$B$3:$N$196,11,FALSE)</f>
        <v>초기</v>
      </c>
      <c r="BH29" s="30" t="str">
        <f>VLOOKUP(BD29,[1]데이터시트!$B$3:$N$196,6,FALSE)</f>
        <v>지역기반</v>
      </c>
    </row>
    <row r="30" spans="1:60" x14ac:dyDescent="0.3">
      <c r="A30" s="25">
        <f>SUBTOTAL(103,$B$29:B30)</f>
        <v>2</v>
      </c>
      <c r="B30" s="25" t="s">
        <v>49</v>
      </c>
      <c r="C30" s="25">
        <f>D29+5</f>
        <v>1025</v>
      </c>
      <c r="D30" s="25">
        <v>1045</v>
      </c>
      <c r="E30" s="25">
        <v>20</v>
      </c>
      <c r="F30" s="30">
        <v>20431696</v>
      </c>
      <c r="G30" s="30" t="str">
        <f>VLOOKUP(F30,[1]데이터시트!$B$3:$N$196,2,FALSE)</f>
        <v>박철환</v>
      </c>
      <c r="H30" s="31">
        <f>VLOOKUP(F30,[1]데이터시트!$B$3:$N$196,4,FALSE)</f>
        <v>0</v>
      </c>
      <c r="I30" s="31" t="str">
        <f>VLOOKUP(F30,[1]데이터시트!$B$3:$N$196,11,FALSE)</f>
        <v>초기</v>
      </c>
      <c r="J30" s="30" t="str">
        <f>VLOOKUP(F30,[1]데이터시트!$B$3:$N$196,6,FALSE)</f>
        <v>지역기반</v>
      </c>
      <c r="K30" s="30">
        <v>20428259</v>
      </c>
      <c r="L30" s="30" t="str">
        <f>VLOOKUP(K30,[1]데이터시트!$B$3:$N$196,2,FALSE)</f>
        <v>박민준</v>
      </c>
      <c r="M30" s="31">
        <f>VLOOKUP(K30,[1]데이터시트!$B$3:$N$196,4,FALSE)</f>
        <v>0</v>
      </c>
      <c r="N30" s="31" t="str">
        <f>VLOOKUP(K30,[1]데이터시트!$B$3:$N$196,11,FALSE)</f>
        <v>예비</v>
      </c>
      <c r="O30" s="30" t="str">
        <f>VLOOKUP(K32,[1]데이터시트!$B$3:$N$196,6,FALSE)</f>
        <v>지역기반</v>
      </c>
      <c r="P30" s="30">
        <v>20428346</v>
      </c>
      <c r="Q30" s="30" t="str">
        <f>VLOOKUP(P30,[1]데이터시트!$B$3:$N$196,2,FALSE)</f>
        <v>김태겸</v>
      </c>
      <c r="R30" s="31">
        <f>VLOOKUP(P30,[1]데이터시트!$B$3:$N$196,4,FALSE)</f>
        <v>0</v>
      </c>
      <c r="S30" s="31" t="str">
        <f>VLOOKUP(P30,[1]데이터시트!$B$3:$N$196,11,FALSE)</f>
        <v>도약</v>
      </c>
      <c r="T30" s="30" t="str">
        <f>VLOOKUP(P30,[1]데이터시트!$B$3:$N$196,6,FALSE)</f>
        <v>지역기반</v>
      </c>
      <c r="U30" s="32">
        <v>20423461</v>
      </c>
      <c r="V30" s="32" t="str">
        <f>VLOOKUP(U30,[1]데이터시트!$B$3:$N$196,2,FALSE)</f>
        <v>이은석</v>
      </c>
      <c r="W30" s="33" t="str">
        <f>VLOOKUP(U30,[1]데이터시트!$B$3:$N$196,4,FALSE)</f>
        <v>전임교원</v>
      </c>
      <c r="X30" s="31" t="str">
        <f>VLOOKUP(U30,[1]데이터시트!$B$3:$N$196,11,FALSE)</f>
        <v>예비</v>
      </c>
      <c r="Y30" s="30" t="str">
        <f>VLOOKUP(U30,[1]데이터시트!$B$3:$N$196,6,FALSE)</f>
        <v>대학발</v>
      </c>
      <c r="Z30" s="36">
        <v>20430589</v>
      </c>
      <c r="AA30" s="39" t="str">
        <f>VLOOKUP(Z30,[1]데이터시트!$B$3:$N$196,2,FALSE)</f>
        <v>윤대원</v>
      </c>
      <c r="AB30" s="40">
        <f>VLOOKUP(Z30,[1]데이터시트!$B$3:$N$196,4,FALSE)</f>
        <v>0</v>
      </c>
      <c r="AC30" s="40" t="str">
        <f>VLOOKUP(Z30,[1]데이터시트!$B$3:$N$196,11,FALSE)</f>
        <v>초기</v>
      </c>
      <c r="AD30" s="39" t="str">
        <f>VLOOKUP(Z30,[1]데이터시트!$B$3:$N$196,6,FALSE)</f>
        <v>지역기반</v>
      </c>
      <c r="AE30" s="36">
        <v>20413111</v>
      </c>
      <c r="AF30" s="30" t="str">
        <f>VLOOKUP(AE30,[1]데이터시트!$B$3:$N$196,2,FALSE)</f>
        <v>안지인</v>
      </c>
      <c r="AG30" s="31">
        <f>VLOOKUP(AE30,[1]데이터시트!$B$3:$N$196,4,FALSE)</f>
        <v>0</v>
      </c>
      <c r="AH30" s="31" t="str">
        <f>VLOOKUP(AE30,[1]데이터시트!$B$3:$N$196,11,FALSE)</f>
        <v>초기</v>
      </c>
      <c r="AI30" s="30" t="str">
        <f>VLOOKUP(AE30,[1]데이터시트!$B$3:$N$196,6,FALSE)</f>
        <v>지역기반</v>
      </c>
      <c r="AJ30" s="36">
        <v>20417534</v>
      </c>
      <c r="AK30" s="30" t="str">
        <f>VLOOKUP(AJ30,[1]데이터시트!$B$3:$N$196,2,FALSE)</f>
        <v>김이철</v>
      </c>
      <c r="AL30" s="31">
        <f>VLOOKUP(AJ30,[1]데이터시트!$B$3:$N$196,4,FALSE)</f>
        <v>0</v>
      </c>
      <c r="AM30" s="31" t="str">
        <f>VLOOKUP(AJ30,[1]데이터시트!$B$3:$N$196,11,FALSE)</f>
        <v>초기</v>
      </c>
      <c r="AN30" s="30" t="str">
        <f>VLOOKUP(AJ30,[1]데이터시트!$B$3:$N$196,6,FALSE)</f>
        <v>지역기반</v>
      </c>
      <c r="AO30" s="36">
        <v>20404954</v>
      </c>
      <c r="AP30" s="30" t="str">
        <f>VLOOKUP(AO30,[1]데이터시트!$B$3:$N$196,2,FALSE)</f>
        <v>이승민</v>
      </c>
      <c r="AQ30" s="31">
        <f>VLOOKUP(AO30,[1]데이터시트!$B$3:$N$196,4,FALSE)</f>
        <v>0</v>
      </c>
      <c r="AR30" s="31" t="str">
        <f>VLOOKUP(AO30,[1]데이터시트!$B$3:$N$196,11,FALSE)</f>
        <v>초기</v>
      </c>
      <c r="AS30" s="30" t="str">
        <f>VLOOKUP(AO30,[1]데이터시트!$B$3:$N$196,6,FALSE)</f>
        <v>실험실</v>
      </c>
      <c r="AT30" s="36">
        <v>20414167</v>
      </c>
      <c r="AU30" s="30" t="str">
        <f>VLOOKUP(AT30,[1]데이터시트!$B$3:$N$196,2,FALSE)</f>
        <v>손석봉</v>
      </c>
      <c r="AV30" s="31">
        <f>VLOOKUP(AT30,[1]데이터시트!$B$3:$N$196,4,FALSE)</f>
        <v>0</v>
      </c>
      <c r="AW30" s="31" t="str">
        <f>VLOOKUP(AT30,[1]데이터시트!$B$3:$N$196,11,FALSE)</f>
        <v>도약</v>
      </c>
      <c r="AX30" s="30" t="str">
        <f>VLOOKUP(AT30,[1]데이터시트!$B$3:$N$196,6,FALSE)</f>
        <v>지역기반</v>
      </c>
      <c r="AY30" s="36">
        <v>20417599</v>
      </c>
      <c r="AZ30" s="39" t="str">
        <f>VLOOKUP(AY30,[1]데이터시트!$B$3:$N$196,2,FALSE)</f>
        <v>김수전</v>
      </c>
      <c r="BA30" s="40">
        <f>VLOOKUP(AY30,[1]데이터시트!$B$3:$N$196,4,FALSE)</f>
        <v>0</v>
      </c>
      <c r="BB30" s="40" t="str">
        <f>VLOOKUP(AY30,[1]데이터시트!$B$3:$N$196,11,FALSE)</f>
        <v>초기</v>
      </c>
      <c r="BC30" s="39" t="str">
        <f>VLOOKUP(AY30,[1]데이터시트!$B$3:$N$196,6,FALSE)</f>
        <v>실험실</v>
      </c>
      <c r="BD30" s="36">
        <v>20419372</v>
      </c>
      <c r="BE30" s="30" t="str">
        <f>VLOOKUP(BD30,[1]데이터시트!$B$3:$N$196,2,FALSE)</f>
        <v>김태희</v>
      </c>
      <c r="BF30" s="31">
        <f>VLOOKUP(BD30,[1]데이터시트!$B$3:$N$196,4,FALSE)</f>
        <v>0</v>
      </c>
      <c r="BG30" s="90" t="str">
        <f>VLOOKUP(BD30,[1]데이터시트!$B$3:$N$196,11,FALSE)</f>
        <v>초기</v>
      </c>
      <c r="BH30" s="30" t="str">
        <f>VLOOKUP(BD30,[1]데이터시트!$B$3:$N$196,6,FALSE)</f>
        <v>지역기반</v>
      </c>
    </row>
    <row r="31" spans="1:60" x14ac:dyDescent="0.3">
      <c r="A31" s="25">
        <f>SUBTOTAL(103,$B$29:B31)</f>
        <v>3</v>
      </c>
      <c r="B31" s="25" t="s">
        <v>49</v>
      </c>
      <c r="C31" s="25">
        <f>D30+5</f>
        <v>1050</v>
      </c>
      <c r="D31" s="25">
        <v>1110</v>
      </c>
      <c r="E31" s="25">
        <v>20</v>
      </c>
      <c r="F31" s="30">
        <v>20415817</v>
      </c>
      <c r="G31" s="30" t="str">
        <f>VLOOKUP(F31,[1]데이터시트!$B$3:$N$196,2,FALSE)</f>
        <v>조만희</v>
      </c>
      <c r="H31" s="31">
        <f>VLOOKUP(F31,[1]데이터시트!$B$3:$N$196,4,FALSE)</f>
        <v>0</v>
      </c>
      <c r="I31" s="31" t="str">
        <f>VLOOKUP(F31,[1]데이터시트!$B$3:$N$196,11,FALSE)</f>
        <v>초기</v>
      </c>
      <c r="J31" s="30" t="str">
        <f>VLOOKUP(F31,[1]데이터시트!$B$3:$N$196,6,FALSE)</f>
        <v>지역기반</v>
      </c>
      <c r="K31" s="30">
        <v>20410732</v>
      </c>
      <c r="L31" s="30" t="str">
        <f>VLOOKUP(K31,[1]데이터시트!$B$3:$N$196,2,FALSE)</f>
        <v>여혜은</v>
      </c>
      <c r="M31" s="31">
        <f>VLOOKUP(K31,[1]데이터시트!$B$3:$N$196,4,FALSE)</f>
        <v>0</v>
      </c>
      <c r="N31" s="31" t="str">
        <f>VLOOKUP(K31,[1]데이터시트!$B$3:$N$196,11,FALSE)</f>
        <v>초기</v>
      </c>
      <c r="O31" s="30" t="str">
        <f>VLOOKUP(K33,[1]데이터시트!$B$3:$N$196,6,FALSE)</f>
        <v>지역기반</v>
      </c>
      <c r="P31" s="30">
        <v>20428037</v>
      </c>
      <c r="Q31" s="30" t="str">
        <f>VLOOKUP(P31,[1]데이터시트!$B$3:$N$196,2,FALSE)</f>
        <v>이원형</v>
      </c>
      <c r="R31" s="31">
        <f>VLOOKUP(P31,[1]데이터시트!$B$3:$N$196,4,FALSE)</f>
        <v>0</v>
      </c>
      <c r="S31" s="31" t="str">
        <f>VLOOKUP(P31,[1]데이터시트!$B$3:$N$196,11,FALSE)</f>
        <v>초기</v>
      </c>
      <c r="T31" s="30" t="str">
        <f>VLOOKUP(P31,[1]데이터시트!$B$3:$N$196,6,FALSE)</f>
        <v>지역기반</v>
      </c>
      <c r="U31" s="30">
        <v>20406455</v>
      </c>
      <c r="V31" s="30" t="str">
        <f>VLOOKUP(U31,[1]데이터시트!$B$3:$N$196,2,FALSE)</f>
        <v>홍기증</v>
      </c>
      <c r="W31" s="31">
        <f>VLOOKUP(U31,[1]데이터시트!$B$3:$N$196,4,FALSE)</f>
        <v>0</v>
      </c>
      <c r="X31" s="31" t="str">
        <f>VLOOKUP(U31,[1]데이터시트!$B$3:$N$196,11,FALSE)</f>
        <v>예비</v>
      </c>
      <c r="Y31" s="30" t="str">
        <f>VLOOKUP(U31,[1]데이터시트!$B$3:$N$196,6,FALSE)</f>
        <v>대학발</v>
      </c>
      <c r="Z31" s="36">
        <v>20425817</v>
      </c>
      <c r="AA31" s="30" t="str">
        <f>VLOOKUP(Z31,[1]데이터시트!$B$3:$N$196,2,FALSE)</f>
        <v>이종근</v>
      </c>
      <c r="AB31" s="31">
        <f>VLOOKUP(Z31,[1]데이터시트!$B$3:$N$196,4,FALSE)</f>
        <v>0</v>
      </c>
      <c r="AC31" s="31" t="str">
        <f>VLOOKUP(Z31,[1]데이터시트!$B$3:$N$196,11,FALSE)</f>
        <v>초기</v>
      </c>
      <c r="AD31" s="30" t="str">
        <f>VLOOKUP(Z31,[1]데이터시트!$B$3:$N$196,6,FALSE)</f>
        <v>지역기반</v>
      </c>
      <c r="AE31" s="36">
        <v>20413444</v>
      </c>
      <c r="AF31" s="30" t="str">
        <f>VLOOKUP(AE31,[1]데이터시트!$B$3:$N$196,2,FALSE)</f>
        <v>박재민</v>
      </c>
      <c r="AG31" s="31">
        <f>VLOOKUP(AE31,[1]데이터시트!$B$3:$N$196,4,FALSE)</f>
        <v>0</v>
      </c>
      <c r="AH31" s="31" t="str">
        <f>VLOOKUP(AE31,[1]데이터시트!$B$3:$N$196,11,FALSE)</f>
        <v>초기</v>
      </c>
      <c r="AI31" s="30" t="str">
        <f>VLOOKUP(AE31,[1]데이터시트!$B$3:$N$196,6,FALSE)</f>
        <v>지역기반</v>
      </c>
      <c r="AJ31" s="36">
        <v>20415851</v>
      </c>
      <c r="AK31" s="30" t="str">
        <f>VLOOKUP(AJ31,[1]데이터시트!$B$3:$N$196,2,FALSE)</f>
        <v>김지원</v>
      </c>
      <c r="AL31" s="31">
        <f>VLOOKUP(AJ31,[1]데이터시트!$B$3:$N$196,4,FALSE)</f>
        <v>0</v>
      </c>
      <c r="AM31" s="31" t="str">
        <f>VLOOKUP(AJ31,[1]데이터시트!$B$3:$N$196,11,FALSE)</f>
        <v>초기</v>
      </c>
      <c r="AN31" s="30" t="str">
        <f>VLOOKUP(AJ31,[1]데이터시트!$B$3:$N$196,6,FALSE)</f>
        <v>지역기반</v>
      </c>
      <c r="AO31" s="36">
        <v>20412385</v>
      </c>
      <c r="AP31" s="30" t="str">
        <f>VLOOKUP(AO31,[1]데이터시트!$B$3:$N$196,2,FALSE)</f>
        <v>엄선우</v>
      </c>
      <c r="AQ31" s="31">
        <f>VLOOKUP(AO31,[1]데이터시트!$B$3:$N$196,4,FALSE)</f>
        <v>0</v>
      </c>
      <c r="AR31" s="31" t="str">
        <f>VLOOKUP(AO31,[1]데이터시트!$B$3:$N$196,11,FALSE)</f>
        <v>초기</v>
      </c>
      <c r="AS31" s="30" t="str">
        <f>VLOOKUP(AO31,[1]데이터시트!$B$3:$N$196,6,FALSE)</f>
        <v>실험실</v>
      </c>
      <c r="AT31" s="36">
        <v>20410202</v>
      </c>
      <c r="AU31" s="30" t="str">
        <f>VLOOKUP(AT31,[1]데이터시트!$B$3:$N$196,2,FALSE)</f>
        <v>김준</v>
      </c>
      <c r="AV31" s="31">
        <f>VLOOKUP(AT31,[1]데이터시트!$B$3:$N$196,4,FALSE)</f>
        <v>0</v>
      </c>
      <c r="AW31" s="31" t="str">
        <f>VLOOKUP(AT31,[1]데이터시트!$B$3:$N$196,11,FALSE)</f>
        <v>도약</v>
      </c>
      <c r="AX31" s="30" t="str">
        <f>VLOOKUP(AT31,[1]데이터시트!$B$3:$N$196,6,FALSE)</f>
        <v>지역기반</v>
      </c>
      <c r="AY31" s="36">
        <v>20403842</v>
      </c>
      <c r="AZ31" s="30" t="str">
        <f>VLOOKUP(AY31,[1]데이터시트!$B$3:$N$196,2,FALSE)</f>
        <v>조나라</v>
      </c>
      <c r="BA31" s="31">
        <f>VLOOKUP(AY31,[1]데이터시트!$B$3:$N$196,4,FALSE)</f>
        <v>0</v>
      </c>
      <c r="BB31" s="90" t="str">
        <f>VLOOKUP(AY31,[1]데이터시트!$B$3:$N$196,11,FALSE)</f>
        <v>예비</v>
      </c>
      <c r="BC31" s="30" t="str">
        <f>VLOOKUP(AY31,[1]데이터시트!$B$3:$N$196,6,FALSE)</f>
        <v>지역기반</v>
      </c>
      <c r="BD31" s="36">
        <v>20419388</v>
      </c>
      <c r="BE31" s="30" t="str">
        <f>VLOOKUP(BD31,[1]데이터시트!$B$3:$N$196,2,FALSE)</f>
        <v>이명진</v>
      </c>
      <c r="BF31" s="31">
        <f>VLOOKUP(BD31,[1]데이터시트!$B$3:$N$196,4,FALSE)</f>
        <v>0</v>
      </c>
      <c r="BG31" s="90" t="str">
        <f>VLOOKUP(BD31,[1]데이터시트!$B$3:$N$196,11,FALSE)</f>
        <v>초기</v>
      </c>
      <c r="BH31" s="30" t="str">
        <f>VLOOKUP(BD31,[1]데이터시트!$B$3:$N$196,6,FALSE)</f>
        <v>지역기반</v>
      </c>
    </row>
    <row r="32" spans="1:60" x14ac:dyDescent="0.3">
      <c r="A32" s="25">
        <f>SUBTOTAL(103,$B$29:B32)</f>
        <v>4</v>
      </c>
      <c r="B32" s="25" t="s">
        <v>49</v>
      </c>
      <c r="C32" s="25">
        <f>D31+5</f>
        <v>1115</v>
      </c>
      <c r="D32" s="25">
        <v>1135</v>
      </c>
      <c r="E32" s="25">
        <v>20</v>
      </c>
      <c r="F32" s="32">
        <v>20421734</v>
      </c>
      <c r="G32" s="32" t="str">
        <f>VLOOKUP(F32,[1]데이터시트!$B$3:$N$196,2,FALSE)</f>
        <v>이영주</v>
      </c>
      <c r="H32" s="33" t="str">
        <f>VLOOKUP(F32,[1]데이터시트!$B$3:$N$196,4,FALSE)</f>
        <v>전임교원</v>
      </c>
      <c r="I32" s="31" t="str">
        <f>VLOOKUP(F32,[1]데이터시트!$B$3:$N$196,11,FALSE)</f>
        <v>초기</v>
      </c>
      <c r="J32" s="30" t="str">
        <f>VLOOKUP(F32,[1]데이터시트!$B$3:$N$196,6,FALSE)</f>
        <v>지역기반</v>
      </c>
      <c r="K32" s="30">
        <v>20419317</v>
      </c>
      <c r="L32" s="30" t="str">
        <f>VLOOKUP(K32,[1]데이터시트!$B$3:$N$196,2,FALSE)</f>
        <v>조효정</v>
      </c>
      <c r="M32" s="31">
        <f>VLOOKUP(K32,[1]데이터시트!$B$3:$N$196,4,FALSE)</f>
        <v>0</v>
      </c>
      <c r="N32" s="31" t="str">
        <f>VLOOKUP(K32,[1]데이터시트!$B$3:$N$196,11,FALSE)</f>
        <v>초기</v>
      </c>
      <c r="O32" s="30" t="str">
        <f>VLOOKUP(K35,[1]데이터시트!$B$3:$N$196,6,FALSE)</f>
        <v>지역기반</v>
      </c>
      <c r="P32" s="91">
        <v>20409229</v>
      </c>
      <c r="Q32" s="91" t="str">
        <f>VLOOKUP(P32,[1]데이터시트!$B$3:$N$196,2,FALSE)</f>
        <v>박준호</v>
      </c>
      <c r="R32" s="92" t="str">
        <f>VLOOKUP(P32,[1]데이터시트!$B$3:$N$196,4,FALSE)</f>
        <v>창업기업미해당</v>
      </c>
      <c r="S32" s="92">
        <f>VLOOKUP(P32,[1]데이터시트!$B$3:$N$196,11,FALSE)</f>
        <v>0</v>
      </c>
      <c r="T32" s="91">
        <f>VLOOKUP(P32,[1]데이터시트!$B$3:$N$196,6,FALSE)</f>
        <v>0</v>
      </c>
      <c r="U32" s="32">
        <v>20423136</v>
      </c>
      <c r="V32" s="32" t="str">
        <f>VLOOKUP(U32,[1]데이터시트!$B$3:$N$196,2,FALSE)</f>
        <v>민무홍</v>
      </c>
      <c r="W32" s="33" t="str">
        <f>VLOOKUP(U32,[1]데이터시트!$B$3:$N$196,4,FALSE)</f>
        <v>전임교원</v>
      </c>
      <c r="X32" s="31" t="str">
        <f>VLOOKUP(U32,[1]데이터시트!$B$3:$N$196,11,FALSE)</f>
        <v>예비</v>
      </c>
      <c r="Y32" s="30" t="str">
        <f>VLOOKUP(U32,[1]데이터시트!$B$3:$N$196,6,FALSE)</f>
        <v>대학발</v>
      </c>
      <c r="Z32" s="36">
        <v>20428574</v>
      </c>
      <c r="AA32" s="30" t="str">
        <f>VLOOKUP(Z32,[1]데이터시트!$B$3:$N$196,2,FALSE)</f>
        <v>최승천</v>
      </c>
      <c r="AB32" s="31">
        <f>VLOOKUP(Z32,[1]데이터시트!$B$3:$N$196,4,FALSE)</f>
        <v>0</v>
      </c>
      <c r="AC32" s="31" t="str">
        <f>VLOOKUP(Z32,[1]데이터시트!$B$3:$N$196,11,FALSE)</f>
        <v>초기</v>
      </c>
      <c r="AD32" s="30" t="str">
        <f>VLOOKUP(Z32,[1]데이터시트!$B$3:$N$196,6,FALSE)</f>
        <v>지역기반</v>
      </c>
      <c r="AE32" s="36">
        <v>20422710</v>
      </c>
      <c r="AF32" s="30" t="str">
        <f>VLOOKUP(AE32,[1]데이터시트!$B$3:$N$196,2,FALSE)</f>
        <v>유봉현</v>
      </c>
      <c r="AG32" s="31">
        <f>VLOOKUP(AE32,[1]데이터시트!$B$3:$N$196,4,FALSE)</f>
        <v>0</v>
      </c>
      <c r="AH32" s="31" t="str">
        <f>VLOOKUP(AE32,[1]데이터시트!$B$3:$N$196,11,FALSE)</f>
        <v>초기</v>
      </c>
      <c r="AI32" s="30" t="str">
        <f>VLOOKUP(AE32,[1]데이터시트!$B$3:$N$196,6,FALSE)</f>
        <v>지역기반</v>
      </c>
      <c r="AJ32" s="36">
        <v>20428457</v>
      </c>
      <c r="AK32" s="30" t="str">
        <f>VLOOKUP(AJ32,[1]데이터시트!$B$3:$N$196,2,FALSE)</f>
        <v>김민수</v>
      </c>
      <c r="AL32" s="31">
        <f>VLOOKUP(AJ32,[1]데이터시트!$B$3:$N$196,4,FALSE)</f>
        <v>0</v>
      </c>
      <c r="AM32" s="31" t="str">
        <f>VLOOKUP(AJ32,[1]데이터시트!$B$3:$N$196,11,FALSE)</f>
        <v>초기</v>
      </c>
      <c r="AN32" s="30" t="str">
        <f>VLOOKUP(AJ32,[1]데이터시트!$B$3:$N$196,6,FALSE)</f>
        <v>지역기반</v>
      </c>
      <c r="AO32" s="36">
        <v>20413825</v>
      </c>
      <c r="AP32" s="30" t="str">
        <f>VLOOKUP(AO32,[1]데이터시트!$B$3:$N$196,2,FALSE)</f>
        <v>노상용</v>
      </c>
      <c r="AQ32" s="31">
        <f>VLOOKUP(AO32,[1]데이터시트!$B$3:$N$196,4,FALSE)</f>
        <v>0</v>
      </c>
      <c r="AR32" s="31" t="str">
        <f>VLOOKUP(AO32,[1]데이터시트!$B$3:$N$196,11,FALSE)</f>
        <v>초기</v>
      </c>
      <c r="AS32" s="30" t="str">
        <f>VLOOKUP(AO32,[1]데이터시트!$B$3:$N$196,6,FALSE)</f>
        <v>실험실</v>
      </c>
      <c r="AT32" s="36">
        <v>20401269</v>
      </c>
      <c r="AU32" s="30" t="str">
        <f>VLOOKUP(AT32,[1]데이터시트!$B$3:$N$196,2,FALSE)</f>
        <v>윤수정</v>
      </c>
      <c r="AV32" s="31">
        <f>VLOOKUP(AT32,[1]데이터시트!$B$3:$N$196,4,FALSE)</f>
        <v>0</v>
      </c>
      <c r="AW32" s="31" t="str">
        <f>VLOOKUP(AT32,[1]데이터시트!$B$3:$N$196,11,FALSE)</f>
        <v>초기</v>
      </c>
      <c r="AX32" s="30" t="str">
        <f>VLOOKUP(AT32,[1]데이터시트!$B$3:$N$196,6,FALSE)</f>
        <v>지역기반</v>
      </c>
      <c r="AY32" s="36">
        <v>20439414</v>
      </c>
      <c r="AZ32" s="30" t="str">
        <f>VLOOKUP(AY32,[1]데이터시트!$B$3:$N$196,2,FALSE)</f>
        <v>송인우</v>
      </c>
      <c r="BA32" s="31">
        <f>VLOOKUP(AY32,[1]데이터시트!$B$3:$N$196,4,FALSE)</f>
        <v>0</v>
      </c>
      <c r="BB32" s="90" t="str">
        <f>VLOOKUP(AY32,[1]데이터시트!$B$3:$N$196,11,FALSE)</f>
        <v>예비</v>
      </c>
      <c r="BC32" s="30" t="str">
        <f>VLOOKUP(AY32,[1]데이터시트!$B$3:$N$196,6,FALSE)</f>
        <v>지역기반</v>
      </c>
      <c r="BD32" s="84">
        <v>20424483</v>
      </c>
      <c r="BE32" s="32" t="str">
        <f>VLOOKUP(BD32,[1]데이터시트!$B$3:$N$196,2,FALSE)</f>
        <v>윤태균</v>
      </c>
      <c r="BF32" s="33" t="str">
        <f>VLOOKUP(BD32,[1]데이터시트!$B$3:$N$196,4,FALSE)</f>
        <v>투자파트발굴</v>
      </c>
      <c r="BG32" s="90" t="str">
        <f>VLOOKUP(BD32,[1]데이터시트!$B$3:$N$196,11,FALSE)</f>
        <v>초기</v>
      </c>
      <c r="BH32" s="30" t="str">
        <f>VLOOKUP(BD32,[1]데이터시트!$B$3:$N$196,6,FALSE)</f>
        <v>지역기반</v>
      </c>
    </row>
    <row r="33" spans="1:60" x14ac:dyDescent="0.3">
      <c r="A33" s="25">
        <f>SUBTOTAL(103,$B$29:B33)</f>
        <v>5</v>
      </c>
      <c r="B33" s="25" t="s">
        <v>49</v>
      </c>
      <c r="C33" s="25">
        <f>D32+5</f>
        <v>1140</v>
      </c>
      <c r="D33" s="25">
        <v>1200</v>
      </c>
      <c r="E33" s="25">
        <v>20</v>
      </c>
      <c r="F33" s="30">
        <v>20428934</v>
      </c>
      <c r="G33" s="30" t="str">
        <f>VLOOKUP(F33,[1]데이터시트!$B$3:$N$196,2,FALSE)</f>
        <v>이원택</v>
      </c>
      <c r="H33" s="31">
        <f>VLOOKUP(F33,[1]데이터시트!$B$3:$N$196,4,FALSE)</f>
        <v>0</v>
      </c>
      <c r="I33" s="31" t="str">
        <f>VLOOKUP(F33,[1]데이터시트!$B$3:$N$196,11,FALSE)</f>
        <v>초기</v>
      </c>
      <c r="J33" s="30" t="str">
        <f>VLOOKUP(F33,[1]데이터시트!$B$3:$N$196,6,FALSE)</f>
        <v>지역기반</v>
      </c>
      <c r="K33" s="30">
        <v>20427103</v>
      </c>
      <c r="L33" s="30" t="str">
        <f>VLOOKUP(K33,[1]데이터시트!$B$3:$N$196,2,FALSE)</f>
        <v>이창욱</v>
      </c>
      <c r="M33" s="31">
        <f>VLOOKUP(K33,[1]데이터시트!$B$3:$N$196,4,FALSE)</f>
        <v>0</v>
      </c>
      <c r="N33" s="31" t="str">
        <f>VLOOKUP(K33,[1]데이터시트!$B$3:$N$196,11,FALSE)</f>
        <v>초기</v>
      </c>
      <c r="O33" s="30" t="str">
        <f>VLOOKUP(K36,[1]데이터시트!$B$3:$N$196,6,FALSE)</f>
        <v>지역기반</v>
      </c>
      <c r="P33" s="30">
        <v>20412024</v>
      </c>
      <c r="Q33" s="30" t="str">
        <f>VLOOKUP(P33,[1]데이터시트!$B$3:$N$196,2,FALSE)</f>
        <v>민선화</v>
      </c>
      <c r="R33" s="31">
        <f>VLOOKUP(P33,[1]데이터시트!$B$3:$N$196,4,FALSE)</f>
        <v>0</v>
      </c>
      <c r="S33" s="31" t="str">
        <f>VLOOKUP(P33,[1]데이터시트!$B$3:$N$196,11,FALSE)</f>
        <v>초기</v>
      </c>
      <c r="T33" s="30" t="str">
        <f>VLOOKUP(P33,[1]데이터시트!$B$3:$N$196,6,FALSE)</f>
        <v>지역기반</v>
      </c>
      <c r="U33" s="32">
        <v>20415837</v>
      </c>
      <c r="V33" s="32" t="str">
        <f>VLOOKUP(U33,[1]데이터시트!$B$3:$N$196,2,FALSE)</f>
        <v>노건준</v>
      </c>
      <c r="W33" s="33" t="str">
        <f>VLOOKUP(U33,[1]데이터시트!$B$3:$N$196,4,FALSE)</f>
        <v>잠재력 확인 팀</v>
      </c>
      <c r="X33" s="31" t="str">
        <f>VLOOKUP(U33,[1]데이터시트!$B$3:$N$196,11,FALSE)</f>
        <v>예비</v>
      </c>
      <c r="Y33" s="30" t="str">
        <f>VLOOKUP(U33,[1]데이터시트!$B$3:$N$196,6,FALSE)</f>
        <v>대학발</v>
      </c>
      <c r="Z33" s="84">
        <v>20429923</v>
      </c>
      <c r="AA33" s="32" t="str">
        <f>VLOOKUP(Z33,[1]데이터시트!$B$3:$N$196,2,FALSE)</f>
        <v>고현웅</v>
      </c>
      <c r="AB33" s="33" t="str">
        <f>VLOOKUP(Z33,[1]데이터시트!$B$3:$N$196,4,FALSE)</f>
        <v>투자파트발굴/교원</v>
      </c>
      <c r="AC33" s="31" t="str">
        <f>VLOOKUP(Z33,[1]데이터시트!$B$3:$N$196,11,FALSE)</f>
        <v>도약</v>
      </c>
      <c r="AD33" s="30" t="str">
        <f>VLOOKUP(Z33,[1]데이터시트!$B$3:$N$196,6,FALSE)</f>
        <v>지역기반</v>
      </c>
      <c r="AE33" s="36">
        <v>20427563</v>
      </c>
      <c r="AF33" s="30" t="str">
        <f>VLOOKUP(AE33,[1]데이터시트!$B$3:$N$196,2,FALSE)</f>
        <v>김성욱</v>
      </c>
      <c r="AG33" s="31">
        <f>VLOOKUP(AE33,[1]데이터시트!$B$3:$N$196,4,FALSE)</f>
        <v>0</v>
      </c>
      <c r="AH33" s="31" t="str">
        <f>VLOOKUP(AE33,[1]데이터시트!$B$3:$N$196,11,FALSE)</f>
        <v>초기</v>
      </c>
      <c r="AI33" s="30" t="str">
        <f>VLOOKUP(AE33,[1]데이터시트!$B$3:$N$196,6,FALSE)</f>
        <v>지역기반</v>
      </c>
      <c r="AJ33" s="36">
        <v>20429088</v>
      </c>
      <c r="AK33" s="30" t="str">
        <f>VLOOKUP(AJ33,[1]데이터시트!$B$3:$N$196,2,FALSE)</f>
        <v>김용완</v>
      </c>
      <c r="AL33" s="31">
        <f>VLOOKUP(AJ33,[1]데이터시트!$B$3:$N$196,4,FALSE)</f>
        <v>0</v>
      </c>
      <c r="AM33" s="31" t="str">
        <f>VLOOKUP(AJ33,[1]데이터시트!$B$3:$N$196,11,FALSE)</f>
        <v>초기</v>
      </c>
      <c r="AN33" s="30" t="str">
        <f>VLOOKUP(AJ33,[1]데이터시트!$B$3:$N$196,6,FALSE)</f>
        <v>지역기반</v>
      </c>
      <c r="AO33" s="93">
        <v>20417675</v>
      </c>
      <c r="AP33" s="32" t="str">
        <f>VLOOKUP(AO33,[1]데이터시트!$B$3:$N$196,2,FALSE)</f>
        <v>박한규</v>
      </c>
      <c r="AQ33" s="33" t="str">
        <f>VLOOKUP(AO33,[1]데이터시트!$B$3:$N$196,4,FALSE)</f>
        <v>전임교원</v>
      </c>
      <c r="AR33" s="31" t="str">
        <f>VLOOKUP(AO33,[1]데이터시트!$B$3:$N$196,11,FALSE)</f>
        <v>초기</v>
      </c>
      <c r="AS33" s="30" t="str">
        <f>VLOOKUP(AO33,[1]데이터시트!$B$3:$N$196,6,FALSE)</f>
        <v>실험실</v>
      </c>
      <c r="AT33" s="36">
        <v>20416443</v>
      </c>
      <c r="AU33" s="30" t="str">
        <f>VLOOKUP(AT33,[1]데이터시트!$B$3:$N$196,2,FALSE)</f>
        <v>김성진</v>
      </c>
      <c r="AV33" s="31">
        <f>VLOOKUP(AT33,[1]데이터시트!$B$3:$N$196,4,FALSE)</f>
        <v>0</v>
      </c>
      <c r="AW33" s="31" t="str">
        <f>VLOOKUP(AT33,[1]데이터시트!$B$3:$N$196,11,FALSE)</f>
        <v>초기</v>
      </c>
      <c r="AX33" s="30" t="str">
        <f>VLOOKUP(AT33,[1]데이터시트!$B$3:$N$196,6,FALSE)</f>
        <v>지역기반</v>
      </c>
      <c r="AY33" s="36">
        <v>20428829</v>
      </c>
      <c r="AZ33" s="30" t="str">
        <f>VLOOKUP(AY33,[1]데이터시트!$B$3:$N$196,2,FALSE)</f>
        <v>이건희</v>
      </c>
      <c r="BA33" s="31">
        <f>VLOOKUP(AY33,[1]데이터시트!$B$3:$N$196,4,FALSE)</f>
        <v>0</v>
      </c>
      <c r="BB33" s="90" t="str">
        <f>VLOOKUP(AY33,[1]데이터시트!$B$3:$N$196,11,FALSE)</f>
        <v>초기</v>
      </c>
      <c r="BC33" s="30" t="str">
        <f>VLOOKUP(AY33,[1]데이터시트!$B$3:$N$196,6,FALSE)</f>
        <v>지역기반</v>
      </c>
      <c r="BD33" s="36">
        <v>20427515</v>
      </c>
      <c r="BE33" s="30" t="str">
        <f>VLOOKUP(BD33,[1]데이터시트!$B$3:$N$196,2,FALSE)</f>
        <v>정우재</v>
      </c>
      <c r="BF33" s="31">
        <f>VLOOKUP(BD33,[1]데이터시트!$B$3:$N$196,4,FALSE)</f>
        <v>0</v>
      </c>
      <c r="BG33" s="90" t="str">
        <f>VLOOKUP(BD33,[1]데이터시트!$B$3:$N$196,11,FALSE)</f>
        <v>초기</v>
      </c>
      <c r="BH33" s="30" t="str">
        <f>VLOOKUP(BD33,[1]데이터시트!$B$3:$N$196,6,FALSE)</f>
        <v>지역기반</v>
      </c>
    </row>
    <row r="34" spans="1:60" x14ac:dyDescent="0.3">
      <c r="A34" s="25"/>
      <c r="B34" s="25"/>
      <c r="C34" s="50">
        <v>1200</v>
      </c>
      <c r="D34" s="50">
        <v>1300</v>
      </c>
      <c r="E34" s="50">
        <v>60</v>
      </c>
      <c r="F34" s="51" t="s">
        <v>46</v>
      </c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3"/>
    </row>
    <row r="35" spans="1:60" x14ac:dyDescent="0.3">
      <c r="A35" s="25">
        <f>SUBTOTAL(103,$B$29:B35)</f>
        <v>6</v>
      </c>
      <c r="B35" s="25" t="s">
        <v>49</v>
      </c>
      <c r="C35" s="25">
        <v>1300</v>
      </c>
      <c r="D35" s="25">
        <v>1320</v>
      </c>
      <c r="E35" s="25">
        <v>20</v>
      </c>
      <c r="F35" s="30">
        <v>20409931</v>
      </c>
      <c r="G35" s="30" t="str">
        <f>VLOOKUP(F35,[1]데이터시트!$B$3:$N$196,2,FALSE)</f>
        <v>김서진</v>
      </c>
      <c r="H35" s="31">
        <f>VLOOKUP(F35,[1]데이터시트!$B$3:$N$196,4,FALSE)</f>
        <v>0</v>
      </c>
      <c r="I35" s="31" t="str">
        <f>VLOOKUP(F35,[1]데이터시트!$B$3:$N$196,11,FALSE)</f>
        <v>도약</v>
      </c>
      <c r="J35" s="30" t="str">
        <f>VLOOKUP(F35,[1]데이터시트!$B$3:$N$196,6,FALSE)</f>
        <v>지역기반</v>
      </c>
      <c r="K35" s="30">
        <v>20417694</v>
      </c>
      <c r="L35" s="30" t="str">
        <f>VLOOKUP(K35,[1]데이터시트!$B$3:$N$196,2,FALSE)</f>
        <v>홍태균</v>
      </c>
      <c r="M35" s="31">
        <f>VLOOKUP(K35,[1]데이터시트!$B$3:$N$196,4,FALSE)</f>
        <v>0</v>
      </c>
      <c r="N35" s="31" t="str">
        <f>VLOOKUP(K35,[1]데이터시트!$B$3:$N$196,11,FALSE)</f>
        <v>초기</v>
      </c>
      <c r="O35" s="30" t="str">
        <f>VLOOKUP(K29,[1]데이터시트!$B$3:$N$196,6,FALSE)</f>
        <v>지역기반</v>
      </c>
      <c r="P35" s="32">
        <v>20414899</v>
      </c>
      <c r="Q35" s="32" t="str">
        <f>VLOOKUP(P35,[1]데이터시트!$B$3:$N$196,2,FALSE)</f>
        <v>김정훈</v>
      </c>
      <c r="R35" s="33" t="str">
        <f>VLOOKUP(P35,[1]데이터시트!$B$3:$N$196,4,FALSE)</f>
        <v>잠재력 확인 팀</v>
      </c>
      <c r="S35" s="31" t="str">
        <f>VLOOKUP(P35,[1]데이터시트!$B$3:$N$196,11,FALSE)</f>
        <v>초기</v>
      </c>
      <c r="T35" s="30" t="str">
        <f>VLOOKUP(P35,[1]데이터시트!$B$3:$N$196,6,FALSE)</f>
        <v>지역기반</v>
      </c>
      <c r="U35" s="34"/>
      <c r="V35" s="34"/>
      <c r="W35" s="35"/>
      <c r="X35" s="35"/>
      <c r="Y35" s="34"/>
      <c r="Z35" s="94"/>
      <c r="AA35" s="34"/>
      <c r="AB35" s="35"/>
      <c r="AC35" s="35"/>
      <c r="AD35" s="34"/>
      <c r="AE35" s="36">
        <v>20428661</v>
      </c>
      <c r="AF35" s="30" t="str">
        <f>VLOOKUP(AE35,[1]데이터시트!$B$3:$N$196,2,FALSE)</f>
        <v>이준영</v>
      </c>
      <c r="AG35" s="31">
        <f>VLOOKUP(AE35,[1]데이터시트!$B$3:$N$196,4,FALSE)</f>
        <v>0</v>
      </c>
      <c r="AH35" s="31" t="str">
        <f>VLOOKUP(AE35,[1]데이터시트!$B$3:$N$196,11,FALSE)</f>
        <v>초기</v>
      </c>
      <c r="AI35" s="30" t="str">
        <f>VLOOKUP(AE35,[1]데이터시트!$B$3:$N$196,6,FALSE)</f>
        <v>지역기반</v>
      </c>
      <c r="AJ35" s="95"/>
      <c r="AK35" s="95"/>
      <c r="AL35" s="96"/>
      <c r="AM35" s="96"/>
      <c r="AN35" s="95"/>
      <c r="AO35" s="94"/>
      <c r="AP35" s="34"/>
      <c r="AQ35" s="35"/>
      <c r="AR35" s="35"/>
      <c r="AS35" s="34"/>
      <c r="AT35" s="36">
        <v>20424839</v>
      </c>
      <c r="AU35" s="30" t="str">
        <f>VLOOKUP(AT35,[1]데이터시트!$B$3:$N$196,2,FALSE)</f>
        <v>이경원</v>
      </c>
      <c r="AV35" s="31">
        <f>VLOOKUP(AT35,[1]데이터시트!$B$3:$N$196,4,FALSE)</f>
        <v>0</v>
      </c>
      <c r="AW35" s="31" t="str">
        <f>VLOOKUP(AT35,[1]데이터시트!$B$3:$N$196,11,FALSE)</f>
        <v>초기</v>
      </c>
      <c r="AX35" s="30" t="str">
        <f>VLOOKUP(AT35,[1]데이터시트!$B$3:$N$196,6,FALSE)</f>
        <v>지역기반</v>
      </c>
      <c r="AY35" s="36">
        <v>20418464</v>
      </c>
      <c r="AZ35" s="30" t="str">
        <f>VLOOKUP(AY35,[1]데이터시트!$B$3:$N$196,2,FALSE)</f>
        <v>이창하</v>
      </c>
      <c r="BA35" s="31">
        <f>VLOOKUP(AY35,[1]데이터시트!$B$3:$N$196,4,FALSE)</f>
        <v>0</v>
      </c>
      <c r="BB35" s="90" t="str">
        <f>VLOOKUP(AY35,[1]데이터시트!$B$3:$N$196,11,FALSE)</f>
        <v>초기</v>
      </c>
      <c r="BC35" s="30" t="str">
        <f>VLOOKUP(AY35,[1]데이터시트!$B$3:$N$196,6,FALSE)</f>
        <v>지역기반</v>
      </c>
      <c r="BD35" s="94"/>
      <c r="BE35" s="34"/>
      <c r="BF35" s="35"/>
      <c r="BG35" s="35"/>
      <c r="BH35" s="34"/>
    </row>
    <row r="36" spans="1:60" x14ac:dyDescent="0.3">
      <c r="A36" s="25">
        <f>SUBTOTAL(103,$B$29:B36)</f>
        <v>7</v>
      </c>
      <c r="B36" s="25" t="s">
        <v>49</v>
      </c>
      <c r="C36" s="25">
        <f t="shared" ref="C36:C43" si="1">D35+5</f>
        <v>1325</v>
      </c>
      <c r="D36" s="25">
        <v>1345</v>
      </c>
      <c r="E36" s="25">
        <v>20</v>
      </c>
      <c r="F36" s="30">
        <v>20431043</v>
      </c>
      <c r="G36" s="30" t="str">
        <f>VLOOKUP(F36,[1]데이터시트!$B$3:$N$196,2,FALSE)</f>
        <v>유병기</v>
      </c>
      <c r="H36" s="31">
        <f>VLOOKUP(F36,[1]데이터시트!$B$3:$N$196,4,FALSE)</f>
        <v>0</v>
      </c>
      <c r="I36" s="31" t="str">
        <f>VLOOKUP(F36,[1]데이터시트!$B$3:$N$196,11,FALSE)</f>
        <v>도약</v>
      </c>
      <c r="J36" s="30" t="str">
        <f>VLOOKUP(F36,[1]데이터시트!$B$3:$N$196,6,FALSE)</f>
        <v>지역기반</v>
      </c>
      <c r="K36" s="30">
        <v>20418822</v>
      </c>
      <c r="L36" s="30" t="str">
        <f>VLOOKUP(K36,[1]데이터시트!$B$3:$N$196,2,FALSE)</f>
        <v>이종민</v>
      </c>
      <c r="M36" s="31">
        <f>VLOOKUP(K36,[1]데이터시트!$B$3:$N$196,4,FALSE)</f>
        <v>0</v>
      </c>
      <c r="N36" s="31" t="str">
        <f>VLOOKUP(K36,[1]데이터시트!$B$3:$N$196,11,FALSE)</f>
        <v>초기</v>
      </c>
      <c r="O36" s="30" t="str">
        <f>VLOOKUP(K30,[1]데이터시트!$B$3:$N$196,6,FALSE)</f>
        <v>지역기반</v>
      </c>
      <c r="P36" s="46">
        <v>20428312</v>
      </c>
      <c r="Q36" s="46" t="str">
        <f>VLOOKUP(P36,[1]데이터시트!$B$3:$N$196,2,FALSE)</f>
        <v>최의순</v>
      </c>
      <c r="R36" s="97">
        <f>VLOOKUP(P36,[1]데이터시트!$B$3:$N$196,4,FALSE)</f>
        <v>0</v>
      </c>
      <c r="S36" s="97" t="str">
        <f>VLOOKUP(P36,[1]데이터시트!$B$3:$N$196,11,FALSE)</f>
        <v>초기</v>
      </c>
      <c r="T36" s="46" t="str">
        <f>VLOOKUP(P36,[1]데이터시트!$B$3:$N$196,6,FALSE)</f>
        <v>지역기반</v>
      </c>
      <c r="U36" s="34"/>
      <c r="V36" s="34"/>
      <c r="W36" s="35"/>
      <c r="X36" s="35"/>
      <c r="Y36" s="34"/>
      <c r="Z36" s="36">
        <v>20430098</v>
      </c>
      <c r="AA36" s="30" t="str">
        <f>VLOOKUP(Z36,[1]데이터시트!$B$3:$N$196,2,FALSE)</f>
        <v>김민중</v>
      </c>
      <c r="AB36" s="31">
        <f>VLOOKUP(Z36,[1]데이터시트!$B$3:$N$196,4,FALSE)</f>
        <v>0</v>
      </c>
      <c r="AC36" s="31" t="str">
        <f>VLOOKUP(Z36,[1]데이터시트!$B$3:$N$196,11,FALSE)</f>
        <v>도약</v>
      </c>
      <c r="AD36" s="30" t="str">
        <f>VLOOKUP(Z36,[1]데이터시트!$B$3:$N$196,6,FALSE)</f>
        <v>지역기반</v>
      </c>
      <c r="AE36" s="36">
        <v>20431761</v>
      </c>
      <c r="AF36" s="30" t="str">
        <f>VLOOKUP(AE36,[1]데이터시트!$B$3:$N$196,2,FALSE)</f>
        <v>김범수</v>
      </c>
      <c r="AG36" s="31">
        <f>VLOOKUP(AE36,[1]데이터시트!$B$3:$N$196,4,FALSE)</f>
        <v>0</v>
      </c>
      <c r="AH36" s="31" t="str">
        <f>VLOOKUP(AE36,[1]데이터시트!$B$3:$N$196,11,FALSE)</f>
        <v>초기</v>
      </c>
      <c r="AI36" s="30" t="str">
        <f>VLOOKUP(AE36,[1]데이터시트!$B$3:$N$196,6,FALSE)</f>
        <v>지역기반</v>
      </c>
      <c r="AJ36" s="36">
        <v>20428133</v>
      </c>
      <c r="AK36" s="30" t="str">
        <f>VLOOKUP(AJ36,[1]데이터시트!$B$3:$N$196,2,FALSE)</f>
        <v>배주모</v>
      </c>
      <c r="AL36" s="31">
        <f>VLOOKUP(AJ36,[1]데이터시트!$B$3:$N$196,4,FALSE)</f>
        <v>0</v>
      </c>
      <c r="AM36" s="31" t="str">
        <f>VLOOKUP(AJ36,[1]데이터시트!$B$3:$N$196,11,FALSE)</f>
        <v>도약</v>
      </c>
      <c r="AN36" s="30" t="str">
        <f>VLOOKUP(AJ36,[1]데이터시트!$B$3:$N$196,6,FALSE)</f>
        <v>지역기반</v>
      </c>
      <c r="AO36" s="36">
        <v>20420569</v>
      </c>
      <c r="AP36" s="30" t="str">
        <f>VLOOKUP(AO36,[1]데이터시트!$B$3:$N$196,2,FALSE)</f>
        <v>김영길</v>
      </c>
      <c r="AQ36" s="31">
        <f>VLOOKUP(AO36,[1]데이터시트!$B$3:$N$196,4,FALSE)</f>
        <v>0</v>
      </c>
      <c r="AR36" s="31" t="str">
        <f>VLOOKUP(AO36,[1]데이터시트!$B$3:$N$196,11,FALSE)</f>
        <v>초기</v>
      </c>
      <c r="AS36" s="30" t="str">
        <f>VLOOKUP(AO36,[1]데이터시트!$B$3:$N$196,6,FALSE)</f>
        <v>실험실</v>
      </c>
      <c r="AT36" s="36">
        <v>20428258</v>
      </c>
      <c r="AU36" s="30" t="str">
        <f>VLOOKUP(AT36,[1]데이터시트!$B$3:$N$196,2,FALSE)</f>
        <v>이정현</v>
      </c>
      <c r="AV36" s="31">
        <f>VLOOKUP(AT36,[1]데이터시트!$B$3:$N$196,4,FALSE)</f>
        <v>0</v>
      </c>
      <c r="AW36" s="31" t="str">
        <f>VLOOKUP(AT36,[1]데이터시트!$B$3:$N$196,11,FALSE)</f>
        <v>초기</v>
      </c>
      <c r="AX36" s="30" t="str">
        <f>VLOOKUP(AT36,[1]데이터시트!$B$3:$N$196,6,FALSE)</f>
        <v>지역기반</v>
      </c>
      <c r="AY36" s="36">
        <v>20426658</v>
      </c>
      <c r="AZ36" s="30" t="str">
        <f>VLOOKUP(AY36,[1]데이터시트!$B$3:$N$196,2,FALSE)</f>
        <v>최해란</v>
      </c>
      <c r="BA36" s="97">
        <f>VLOOKUP(AY36,[1]데이터시트!$B$3:$N$196,4,FALSE)</f>
        <v>0</v>
      </c>
      <c r="BB36" s="90" t="str">
        <f>VLOOKUP(AY36,[1]데이터시트!$B$3:$N$196,11,FALSE)</f>
        <v>초기</v>
      </c>
      <c r="BC36" s="30" t="str">
        <f>VLOOKUP(AY36,[1]데이터시트!$B$3:$N$196,6,FALSE)</f>
        <v>지역기반</v>
      </c>
      <c r="BD36" s="94"/>
      <c r="BE36" s="34"/>
      <c r="BF36" s="35"/>
      <c r="BG36" s="35"/>
      <c r="BH36" s="34"/>
    </row>
    <row r="37" spans="1:60" x14ac:dyDescent="0.3">
      <c r="A37" s="25">
        <f>SUBTOTAL(103,$B$29:B37)</f>
        <v>8</v>
      </c>
      <c r="B37" s="25" t="s">
        <v>49</v>
      </c>
      <c r="C37" s="25">
        <f t="shared" si="1"/>
        <v>1350</v>
      </c>
      <c r="D37" s="25">
        <v>1410</v>
      </c>
      <c r="E37" s="25">
        <v>20</v>
      </c>
      <c r="F37" s="30">
        <v>20416947</v>
      </c>
      <c r="G37" s="30" t="str">
        <f>VLOOKUP(F37,[1]데이터시트!$B$3:$N$196,2,FALSE)</f>
        <v>김민상</v>
      </c>
      <c r="H37" s="31">
        <f>VLOOKUP(F37,[1]데이터시트!$B$3:$N$196,4,FALSE)</f>
        <v>0</v>
      </c>
      <c r="I37" s="31" t="str">
        <f>VLOOKUP(F37,[1]데이터시트!$B$3:$N$196,11,FALSE)</f>
        <v>도약</v>
      </c>
      <c r="J37" s="30" t="str">
        <f>VLOOKUP(F37,[1]데이터시트!$B$3:$N$196,6,FALSE)</f>
        <v>지역기반</v>
      </c>
      <c r="K37" s="30">
        <v>20415506</v>
      </c>
      <c r="L37" s="30" t="str">
        <f>VLOOKUP(K37,[1]데이터시트!$B$3:$N$196,2,FALSE)</f>
        <v>남수정</v>
      </c>
      <c r="M37" s="31">
        <f>VLOOKUP(K37,[1]데이터시트!$B$3:$N$196,4,FALSE)</f>
        <v>0</v>
      </c>
      <c r="N37" s="31" t="str">
        <f>VLOOKUP(K37,[1]데이터시트!$B$3:$N$196,11,FALSE)</f>
        <v>도약</v>
      </c>
      <c r="O37" s="30" t="str">
        <f>VLOOKUP(K37,[1]데이터시트!$B$3:$N$196,6,FALSE)</f>
        <v>지역기반</v>
      </c>
      <c r="P37" s="30">
        <v>20424540</v>
      </c>
      <c r="Q37" s="30" t="str">
        <f>VLOOKUP(P37,[1]데이터시트!$B$3:$N$196,2,FALSE)</f>
        <v>배기쁨</v>
      </c>
      <c r="R37" s="31">
        <f>VLOOKUP(P37,[1]데이터시트!$B$3:$N$196,4,FALSE)</f>
        <v>0</v>
      </c>
      <c r="S37" s="31" t="str">
        <f>VLOOKUP(P37,[1]데이터시트!$B$3:$N$196,11,FALSE)</f>
        <v>초기</v>
      </c>
      <c r="T37" s="30" t="str">
        <f>VLOOKUP(P37,[1]데이터시트!$B$3:$N$196,6,FALSE)</f>
        <v>지역기반</v>
      </c>
      <c r="U37" s="34"/>
      <c r="V37" s="34"/>
      <c r="W37" s="96"/>
      <c r="X37" s="96"/>
      <c r="Y37" s="95"/>
      <c r="Z37" s="36">
        <v>20426937</v>
      </c>
      <c r="AA37" s="30" t="str">
        <f>VLOOKUP(Z37,[1]데이터시트!$B$3:$N$196,2,FALSE)</f>
        <v>이성수</v>
      </c>
      <c r="AB37" s="31">
        <f>VLOOKUP(Z37,[1]데이터시트!$B$3:$N$196,4,FALSE)</f>
        <v>0</v>
      </c>
      <c r="AC37" s="31" t="str">
        <f>VLOOKUP(Z37,[1]데이터시트!$B$3:$N$196,11,FALSE)</f>
        <v>도약</v>
      </c>
      <c r="AD37" s="30" t="str">
        <f>VLOOKUP(Z37,[1]데이터시트!$B$3:$N$196,6,FALSE)</f>
        <v>지역기반</v>
      </c>
      <c r="AE37" s="36">
        <v>20417238</v>
      </c>
      <c r="AF37" s="30" t="str">
        <f>VLOOKUP(AE37,[1]데이터시트!$B$3:$N$196,2,FALSE)</f>
        <v>서동석</v>
      </c>
      <c r="AG37" s="31">
        <f>VLOOKUP(AE37,[1]데이터시트!$B$3:$N$196,4,FALSE)</f>
        <v>0</v>
      </c>
      <c r="AH37" s="31" t="str">
        <f>VLOOKUP(AE37,[1]데이터시트!$B$3:$N$196,11,FALSE)</f>
        <v>초기</v>
      </c>
      <c r="AI37" s="30" t="str">
        <f>VLOOKUP(AE37,[1]데이터시트!$B$3:$N$196,6,FALSE)</f>
        <v>실험실</v>
      </c>
      <c r="AJ37" s="73">
        <v>20432254</v>
      </c>
      <c r="AK37" s="30" t="str">
        <f>VLOOKUP(AJ37,[1]데이터시트!$B$3:$N$196,2,FALSE)</f>
        <v>정재준</v>
      </c>
      <c r="AL37" s="31">
        <f>VLOOKUP(AJ37,[1]데이터시트!$B$3:$N$196,4,FALSE)</f>
        <v>0</v>
      </c>
      <c r="AM37" s="31" t="str">
        <f>VLOOKUP(AJ37,[1]데이터시트!$B$3:$N$196,11,FALSE)</f>
        <v>도약</v>
      </c>
      <c r="AN37" s="30" t="str">
        <f>VLOOKUP(AJ37,[1]데이터시트!$B$3:$N$196,6,FALSE)</f>
        <v>지역기반</v>
      </c>
      <c r="AO37" s="84">
        <v>20419189</v>
      </c>
      <c r="AP37" s="32" t="str">
        <f>VLOOKUP(AO37,[1]데이터시트!$B$3:$N$196,2,FALSE)</f>
        <v>권오석</v>
      </c>
      <c r="AQ37" s="33" t="str">
        <f>VLOOKUP(AO37,[1]데이터시트!$B$3:$N$196,4,FALSE)</f>
        <v>전임교원</v>
      </c>
      <c r="AR37" s="31" t="str">
        <f>VLOOKUP(AO37,[1]데이터시트!$B$3:$N$196,11,FALSE)</f>
        <v>초기</v>
      </c>
      <c r="AS37" s="30" t="str">
        <f>VLOOKUP(AO37,[1]데이터시트!$B$3:$N$196,6,FALSE)</f>
        <v>실험실</v>
      </c>
      <c r="AT37" s="36">
        <v>20415499</v>
      </c>
      <c r="AU37" s="30" t="str">
        <f>VLOOKUP(AT37,[1]데이터시트!$B$3:$N$196,2,FALSE)</f>
        <v>정진우</v>
      </c>
      <c r="AV37" s="31">
        <f>VLOOKUP(AT37,[1]데이터시트!$B$3:$N$196,4,FALSE)</f>
        <v>0</v>
      </c>
      <c r="AW37" s="31" t="str">
        <f>VLOOKUP(AT37,[1]데이터시트!$B$3:$N$196,11,FALSE)</f>
        <v>초기</v>
      </c>
      <c r="AX37" s="30" t="str">
        <f>VLOOKUP(AT37,[1]데이터시트!$B$3:$N$196,6,FALSE)</f>
        <v>지역기반</v>
      </c>
      <c r="AY37" s="36">
        <v>20413666</v>
      </c>
      <c r="AZ37" s="30" t="str">
        <f>VLOOKUP(AY37,[1]데이터시트!$B$3:$N$196,2,FALSE)</f>
        <v>김정현</v>
      </c>
      <c r="BA37" s="31">
        <f>VLOOKUP(AY37,[1]데이터시트!$B$3:$N$196,4,FALSE)</f>
        <v>0</v>
      </c>
      <c r="BB37" s="90" t="str">
        <f>VLOOKUP(AY37,[1]데이터시트!$B$3:$N$196,11,FALSE)</f>
        <v>초기</v>
      </c>
      <c r="BC37" s="30" t="str">
        <f>VLOOKUP(AY37,[1]데이터시트!$B$3:$N$196,6,FALSE)</f>
        <v>지역기반</v>
      </c>
      <c r="BD37" s="72">
        <v>20416542</v>
      </c>
      <c r="BE37" s="30" t="str">
        <f>VLOOKUP(BD37,[1]데이터시트!$B$3:$N$196,2,FALSE)</f>
        <v>박기호</v>
      </c>
      <c r="BF37" s="31">
        <f>VLOOKUP(BD37,[1]데이터시트!$B$3:$N$196,4,FALSE)</f>
        <v>0</v>
      </c>
      <c r="BG37" s="90" t="str">
        <f>VLOOKUP(BD37,[1]데이터시트!$B$3:$N$196,11,FALSE)</f>
        <v>도약</v>
      </c>
      <c r="BH37" s="30" t="str">
        <f>VLOOKUP(BD37,[1]데이터시트!$B$3:$N$196,6,FALSE)</f>
        <v>지역기반</v>
      </c>
    </row>
    <row r="38" spans="1:60" x14ac:dyDescent="0.3">
      <c r="A38" s="25">
        <f>SUBTOTAL(103,$B$29:B38)</f>
        <v>9</v>
      </c>
      <c r="B38" s="25" t="s">
        <v>49</v>
      </c>
      <c r="C38" s="25">
        <f t="shared" si="1"/>
        <v>1415</v>
      </c>
      <c r="D38" s="25">
        <v>1435</v>
      </c>
      <c r="E38" s="25">
        <v>20</v>
      </c>
      <c r="F38" s="30">
        <v>20415487</v>
      </c>
      <c r="G38" s="30" t="str">
        <f>VLOOKUP(F38,[1]데이터시트!$B$3:$N$196,2,FALSE)</f>
        <v>김용민</v>
      </c>
      <c r="H38" s="31">
        <f>VLOOKUP(F38,[1]데이터시트!$B$3:$N$196,4,FALSE)</f>
        <v>0</v>
      </c>
      <c r="I38" s="31" t="str">
        <f>VLOOKUP(F38,[1]데이터시트!$B$3:$N$196,11,FALSE)</f>
        <v>도약</v>
      </c>
      <c r="J38" s="30" t="str">
        <f>VLOOKUP(F38,[1]데이터시트!$B$3:$N$196,6,FALSE)</f>
        <v>지역기반</v>
      </c>
      <c r="K38" s="30">
        <v>20431875</v>
      </c>
      <c r="L38" s="30" t="str">
        <f>VLOOKUP(K38,[1]데이터시트!$B$3:$N$196,2,FALSE)</f>
        <v>강지현</v>
      </c>
      <c r="M38" s="31">
        <f>VLOOKUP(K38,[1]데이터시트!$B$3:$N$196,4,FALSE)</f>
        <v>0</v>
      </c>
      <c r="N38" s="31" t="str">
        <f>VLOOKUP(K38,[1]데이터시트!$B$3:$N$196,11,FALSE)</f>
        <v>도약</v>
      </c>
      <c r="O38" s="30" t="str">
        <f>VLOOKUP(K38,[1]데이터시트!$B$3:$N$196,6,FALSE)</f>
        <v>지역기반</v>
      </c>
      <c r="P38" s="98">
        <v>20419192</v>
      </c>
      <c r="Q38" s="30" t="str">
        <f>VLOOKUP(P38,[1]데이터시트!$B$3:$N$196,2,FALSE)</f>
        <v>박주연</v>
      </c>
      <c r="R38" s="31">
        <f>VLOOKUP(P38,[1]데이터시트!$B$3:$N$196,4,FALSE)</f>
        <v>0</v>
      </c>
      <c r="S38" s="31" t="str">
        <f>VLOOKUP(P38,[1]데이터시트!$B$3:$N$196,11,FALSE)</f>
        <v>초기</v>
      </c>
      <c r="T38" s="30" t="str">
        <f>VLOOKUP(P38,[1]데이터시트!$B$3:$N$196,6,FALSE)</f>
        <v>실험실</v>
      </c>
      <c r="U38" s="30">
        <v>20403700</v>
      </c>
      <c r="V38" s="30" t="str">
        <f>VLOOKUP(U38,[1]데이터시트!$B$3:$N$196,2,FALSE)</f>
        <v>강연구</v>
      </c>
      <c r="W38" s="31">
        <f>VLOOKUP(U38,[1]데이터시트!$B$3:$N$196,4,FALSE)</f>
        <v>0</v>
      </c>
      <c r="X38" s="31" t="str">
        <f>VLOOKUP(U38,[1]데이터시트!$B$3:$N$196,11,FALSE)</f>
        <v>초기</v>
      </c>
      <c r="Y38" s="30" t="str">
        <f>VLOOKUP(U38,[1]데이터시트!$B$3:$N$196,6,FALSE)</f>
        <v>대학발</v>
      </c>
      <c r="Z38" s="85">
        <v>20418623</v>
      </c>
      <c r="AA38" s="30" t="str">
        <f>VLOOKUP(Z38,[1]데이터시트!$B$3:$N$196,2,FALSE)</f>
        <v>이성욱</v>
      </c>
      <c r="AB38" s="31">
        <f>VLOOKUP(Z38,[1]데이터시트!$B$3:$N$196,4,FALSE)</f>
        <v>0</v>
      </c>
      <c r="AC38" s="31" t="str">
        <f>VLOOKUP(Z38,[1]데이터시트!$B$3:$N$196,11,FALSE)</f>
        <v>초기</v>
      </c>
      <c r="AD38" s="30" t="str">
        <f>VLOOKUP(Z38,[1]데이터시트!$B$3:$N$196,6,FALSE)</f>
        <v>실험실</v>
      </c>
      <c r="AE38" s="99">
        <v>20417596</v>
      </c>
      <c r="AF38" s="32" t="str">
        <f>VLOOKUP(AE38,[1]데이터시트!$B$3:$N$196,2,FALSE)</f>
        <v>전일</v>
      </c>
      <c r="AG38" s="33" t="str">
        <f>VLOOKUP(AE38,[1]데이터시트!$B$3:$N$196,4,FALSE)</f>
        <v>전임교원</v>
      </c>
      <c r="AH38" s="31" t="str">
        <f>VLOOKUP(AE38,[1]데이터시트!$B$3:$N$196,11,FALSE)</f>
        <v>초기</v>
      </c>
      <c r="AI38" s="30" t="str">
        <f>VLOOKUP(AE38,[1]데이터시트!$B$3:$N$196,6,FALSE)</f>
        <v>대학발</v>
      </c>
      <c r="AJ38" s="36">
        <v>20415849</v>
      </c>
      <c r="AK38" s="30" t="str">
        <f>VLOOKUP(AJ38,[1]데이터시트!$B$3:$N$196,2,FALSE)</f>
        <v>서상수</v>
      </c>
      <c r="AL38" s="31">
        <f>VLOOKUP(AJ38,[1]데이터시트!$B$3:$N$196,4,FALSE)</f>
        <v>0</v>
      </c>
      <c r="AM38" s="31" t="str">
        <f>VLOOKUP(AJ38,[1]데이터시트!$B$3:$N$196,11,FALSE)</f>
        <v>도약</v>
      </c>
      <c r="AN38" s="30" t="str">
        <f>VLOOKUP(AJ38,[1]데이터시트!$B$3:$N$196,6,FALSE)</f>
        <v>지역기반</v>
      </c>
      <c r="AO38" s="84">
        <v>20421952</v>
      </c>
      <c r="AP38" s="32" t="str">
        <f>VLOOKUP(AO38,[1]데이터시트!$B$3:$N$196,2,FALSE)</f>
        <v>박진형</v>
      </c>
      <c r="AQ38" s="33" t="str">
        <f>VLOOKUP(AO38,[1]데이터시트!$B$3:$N$196,4,FALSE)</f>
        <v>전임교원</v>
      </c>
      <c r="AR38" s="31" t="str">
        <f>VLOOKUP(AO38,[1]데이터시트!$B$3:$N$196,11,FALSE)</f>
        <v>초기</v>
      </c>
      <c r="AS38" s="30" t="str">
        <f>VLOOKUP(AO38,[1]데이터시트!$B$3:$N$196,6,FALSE)</f>
        <v>실험실</v>
      </c>
      <c r="AT38" s="36">
        <v>20426411</v>
      </c>
      <c r="AU38" s="30" t="str">
        <f>VLOOKUP(AT38,[1]데이터시트!$B$3:$N$196,2,FALSE)</f>
        <v>봉민균</v>
      </c>
      <c r="AV38" s="31">
        <f>VLOOKUP(AT38,[1]데이터시트!$B$3:$N$196,4,FALSE)</f>
        <v>0</v>
      </c>
      <c r="AW38" s="31" t="str">
        <f>VLOOKUP(AT38,[1]데이터시트!$B$3:$N$196,11,FALSE)</f>
        <v>초기</v>
      </c>
      <c r="AX38" s="30" t="str">
        <f>VLOOKUP(AT38,[1]데이터시트!$B$3:$N$196,6,FALSE)</f>
        <v>지역기반</v>
      </c>
      <c r="AY38" s="36">
        <v>20404406</v>
      </c>
      <c r="AZ38" s="100" t="str">
        <f>VLOOKUP(AY38,[1]데이터시트!$B$3:$N$196,2,FALSE)</f>
        <v>김진혁</v>
      </c>
      <c r="BA38" s="68">
        <f>VLOOKUP(AY38,[1]데이터시트!$B$3:$N$196,4,FALSE)</f>
        <v>0</v>
      </c>
      <c r="BB38" s="90" t="str">
        <f>VLOOKUP(AY38,[1]데이터시트!$B$3:$N$196,11,FALSE)</f>
        <v>도약</v>
      </c>
      <c r="BC38" s="101" t="str">
        <f>VLOOKUP(AY38,[1]데이터시트!$B$3:$N$196,6,FALSE)</f>
        <v>지역기반</v>
      </c>
      <c r="BD38" s="36">
        <v>20419206</v>
      </c>
      <c r="BE38" s="30" t="str">
        <f>VLOOKUP(BD38,[1]데이터시트!$B$3:$N$196,2,FALSE)</f>
        <v>민경국</v>
      </c>
      <c r="BF38" s="31">
        <f>VLOOKUP(BD38,[1]데이터시트!$B$3:$N$196,4,FALSE)</f>
        <v>0</v>
      </c>
      <c r="BG38" s="90" t="str">
        <f>VLOOKUP(BD38,[1]데이터시트!$B$3:$N$196,11,FALSE)</f>
        <v>도약</v>
      </c>
      <c r="BH38" s="30" t="str">
        <f>VLOOKUP(BD38,[1]데이터시트!$B$3:$N$196,6,FALSE)</f>
        <v>지역기반</v>
      </c>
    </row>
    <row r="39" spans="1:60" ht="17.25" thickBot="1" x14ac:dyDescent="0.35">
      <c r="A39" s="25">
        <f>SUBTOTAL(103,$B$29:B39)</f>
        <v>10</v>
      </c>
      <c r="B39" s="25" t="s">
        <v>49</v>
      </c>
      <c r="C39" s="25">
        <f t="shared" si="1"/>
        <v>1440</v>
      </c>
      <c r="D39" s="25">
        <v>1500</v>
      </c>
      <c r="E39" s="25">
        <v>20</v>
      </c>
      <c r="F39" s="30">
        <v>20417617</v>
      </c>
      <c r="G39" s="30" t="str">
        <f>VLOOKUP(F39,[1]데이터시트!$B$3:$N$196,2,FALSE)</f>
        <v>서진원</v>
      </c>
      <c r="H39" s="31">
        <f>VLOOKUP(F39,[1]데이터시트!$B$3:$N$196,4,FALSE)</f>
        <v>0</v>
      </c>
      <c r="I39" s="31" t="str">
        <f>VLOOKUP(F39,[1]데이터시트!$B$3:$N$196,11,FALSE)</f>
        <v>도약</v>
      </c>
      <c r="J39" s="30" t="str">
        <f>VLOOKUP(F39,[1]데이터시트!$B$3:$N$196,6,FALSE)</f>
        <v>지역기반</v>
      </c>
      <c r="K39" s="30">
        <v>20415870</v>
      </c>
      <c r="L39" s="30" t="str">
        <f>VLOOKUP(K39,[1]데이터시트!$B$3:$N$196,2,FALSE)</f>
        <v>이민규</v>
      </c>
      <c r="M39" s="31">
        <f>VLOOKUP(K39,[1]데이터시트!$B$3:$N$196,4,FALSE)</f>
        <v>0</v>
      </c>
      <c r="N39" s="31" t="str">
        <f>VLOOKUP(K39,[1]데이터시트!$B$3:$N$196,11,FALSE)</f>
        <v>도약</v>
      </c>
      <c r="O39" s="30" t="str">
        <f>VLOOKUP(K39,[1]데이터시트!$B$3:$N$196,6,FALSE)</f>
        <v>지역기반</v>
      </c>
      <c r="P39" s="32">
        <v>20417697</v>
      </c>
      <c r="Q39" s="32" t="str">
        <f>VLOOKUP(P39,[1]데이터시트!$B$3:$N$196,2,FALSE)</f>
        <v>신완선</v>
      </c>
      <c r="R39" s="33" t="str">
        <f>VLOOKUP(P39,[1]데이터시트!$B$3:$N$196,4,FALSE)</f>
        <v>전임교원</v>
      </c>
      <c r="S39" s="31" t="str">
        <f>VLOOKUP(P39,[1]데이터시트!$B$3:$N$196,11,FALSE)</f>
        <v>초기</v>
      </c>
      <c r="T39" s="30" t="str">
        <f>VLOOKUP(P39,[1]데이터시트!$B$3:$N$196,6,FALSE)</f>
        <v>실험실</v>
      </c>
      <c r="U39" s="32">
        <v>20427590</v>
      </c>
      <c r="V39" s="32" t="str">
        <f>VLOOKUP(U39,[1]데이터시트!$B$3:$N$196,2,FALSE)</f>
        <v>한진영</v>
      </c>
      <c r="W39" s="33" t="str">
        <f>VLOOKUP(U39,[1]데이터시트!$B$3:$N$196,4,FALSE)</f>
        <v>전임교원</v>
      </c>
      <c r="X39" s="31" t="str">
        <f>VLOOKUP(U39,[1]데이터시트!$B$3:$N$196,11,FALSE)</f>
        <v>초기</v>
      </c>
      <c r="Y39" s="30" t="str">
        <f>VLOOKUP(U39,[1]데이터시트!$B$3:$N$196,6,FALSE)</f>
        <v>대학발</v>
      </c>
      <c r="Z39" s="85">
        <v>20419110</v>
      </c>
      <c r="AA39" s="39" t="str">
        <f>VLOOKUP(Z39,[1]데이터시트!$B$3:$N$196,2,FALSE)</f>
        <v>서준호</v>
      </c>
      <c r="AB39" s="40">
        <f>VLOOKUP(Z39,[1]데이터시트!$B$3:$N$196,4,FALSE)</f>
        <v>0</v>
      </c>
      <c r="AC39" s="40" t="str">
        <f>VLOOKUP(Z39,[1]데이터시트!$B$3:$N$196,11,FALSE)</f>
        <v>초기</v>
      </c>
      <c r="AD39" s="39" t="str">
        <f>VLOOKUP(Z39,[1]데이터시트!$B$3:$N$196,6,FALSE)</f>
        <v>실험실</v>
      </c>
      <c r="AE39" s="72">
        <v>20427490</v>
      </c>
      <c r="AF39" s="30" t="str">
        <f>VLOOKUP(AE39,[1]데이터시트!$B$3:$N$196,2,FALSE)</f>
        <v>전정배</v>
      </c>
      <c r="AG39" s="31">
        <f>VLOOKUP(AE39,[1]데이터시트!$B$3:$N$196,4,FALSE)</f>
        <v>0</v>
      </c>
      <c r="AH39" s="31" t="str">
        <f>VLOOKUP(AE39,[1]데이터시트!$B$3:$N$196,11,FALSE)</f>
        <v>초기</v>
      </c>
      <c r="AI39" s="30" t="str">
        <f>VLOOKUP(AE39,[1]데이터시트!$B$3:$N$196,6,FALSE)</f>
        <v>대학발</v>
      </c>
      <c r="AJ39" s="36">
        <v>20416502</v>
      </c>
      <c r="AK39" s="30" t="str">
        <f>VLOOKUP(AJ39,[1]데이터시트!$B$3:$N$196,2,FALSE)</f>
        <v>이상근</v>
      </c>
      <c r="AL39" s="31">
        <f>VLOOKUP(AJ39,[1]데이터시트!$B$3:$N$196,4,FALSE)</f>
        <v>0</v>
      </c>
      <c r="AM39" s="31" t="str">
        <f>VLOOKUP(AJ39,[1]데이터시트!$B$3:$N$196,11,FALSE)</f>
        <v>도약</v>
      </c>
      <c r="AN39" s="30" t="str">
        <f>VLOOKUP(AJ39,[1]데이터시트!$B$3:$N$196,6,FALSE)</f>
        <v>지역기반</v>
      </c>
      <c r="AO39" s="36">
        <v>20423821</v>
      </c>
      <c r="AP39" s="30" t="str">
        <f>VLOOKUP(AO39,[1]데이터시트!$B$3:$N$196,2,FALSE)</f>
        <v>장희수</v>
      </c>
      <c r="AQ39" s="31">
        <f>VLOOKUP(AO39,[1]데이터시트!$B$3:$N$196,4,FALSE)</f>
        <v>0</v>
      </c>
      <c r="AR39" s="31" t="str">
        <f>VLOOKUP(AO39,[1]데이터시트!$B$3:$N$196,11,FALSE)</f>
        <v>초기</v>
      </c>
      <c r="AS39" s="30" t="str">
        <f>VLOOKUP(AO39,[1]데이터시트!$B$3:$N$196,6,FALSE)</f>
        <v>실험실</v>
      </c>
      <c r="AT39" s="36">
        <v>20426887</v>
      </c>
      <c r="AU39" s="30" t="str">
        <f>VLOOKUP(AT39,[1]데이터시트!$B$3:$N$196,2,FALSE)</f>
        <v>김희중</v>
      </c>
      <c r="AV39" s="31">
        <f>VLOOKUP(AT39,[1]데이터시트!$B$3:$N$196,4,FALSE)</f>
        <v>0</v>
      </c>
      <c r="AW39" s="31" t="str">
        <f>VLOOKUP(AT39,[1]데이터시트!$B$3:$N$196,11,FALSE)</f>
        <v>초기</v>
      </c>
      <c r="AX39" s="30" t="str">
        <f>VLOOKUP(AT39,[1]데이터시트!$B$3:$N$196,6,FALSE)</f>
        <v>지역기반</v>
      </c>
      <c r="AY39" s="36">
        <v>20406463</v>
      </c>
      <c r="AZ39" s="30" t="str">
        <f>VLOOKUP(AY39,[1]데이터시트!$B$3:$N$196,2,FALSE)</f>
        <v>유영진</v>
      </c>
      <c r="BA39" s="31">
        <f>VLOOKUP(AY39,[1]데이터시트!$B$3:$N$196,4,FALSE)</f>
        <v>0</v>
      </c>
      <c r="BB39" s="90" t="str">
        <f>VLOOKUP(AY39,[1]데이터시트!$B$3:$N$196,11,FALSE)</f>
        <v>도약</v>
      </c>
      <c r="BC39" s="30" t="str">
        <f>VLOOKUP(AY39,[1]데이터시트!$B$3:$N$196,6,FALSE)</f>
        <v>지역기반</v>
      </c>
      <c r="BD39" s="36">
        <v>20424544</v>
      </c>
      <c r="BE39" s="30" t="str">
        <f>VLOOKUP(BD39,[1]데이터시트!$B$3:$N$196,2,FALSE)</f>
        <v>주태경</v>
      </c>
      <c r="BF39" s="31">
        <f>VLOOKUP(BD39,[1]데이터시트!$B$3:$N$196,4,FALSE)</f>
        <v>0</v>
      </c>
      <c r="BG39" s="90" t="str">
        <f>VLOOKUP(BD39,[1]데이터시트!$B$3:$N$196,11,FALSE)</f>
        <v>도약</v>
      </c>
      <c r="BH39" s="30" t="str">
        <f>VLOOKUP(BD39,[1]데이터시트!$B$3:$N$196,6,FALSE)</f>
        <v>지역기반</v>
      </c>
    </row>
    <row r="40" spans="1:60" x14ac:dyDescent="0.3">
      <c r="A40" s="25">
        <f>SUBTOTAL(103,$B$29:B40)</f>
        <v>11</v>
      </c>
      <c r="B40" s="25" t="s">
        <v>49</v>
      </c>
      <c r="C40" s="25">
        <f t="shared" si="1"/>
        <v>1505</v>
      </c>
      <c r="D40" s="25">
        <v>1525</v>
      </c>
      <c r="E40" s="25">
        <v>20</v>
      </c>
      <c r="F40" s="30">
        <v>20430125</v>
      </c>
      <c r="G40" s="30" t="str">
        <f>VLOOKUP(F40,[1]데이터시트!$B$3:$N$196,2,FALSE)</f>
        <v>이진식</v>
      </c>
      <c r="H40" s="31">
        <f>VLOOKUP(F40,[1]데이터시트!$B$3:$N$196,4,FALSE)</f>
        <v>0</v>
      </c>
      <c r="I40" s="31" t="str">
        <f>VLOOKUP(F40,[1]데이터시트!$B$3:$N$196,11,FALSE)</f>
        <v>도약</v>
      </c>
      <c r="J40" s="30" t="str">
        <f>VLOOKUP(F40,[1]데이터시트!$B$3:$N$196,6,FALSE)</f>
        <v>지역기반</v>
      </c>
      <c r="K40" s="32">
        <v>20429144</v>
      </c>
      <c r="L40" s="32" t="str">
        <f>VLOOKUP(K40,[1]데이터시트!$B$3:$N$196,2,FALSE)</f>
        <v>이현민</v>
      </c>
      <c r="M40" s="33" t="str">
        <f>VLOOKUP(K40,[1]데이터시트!$B$3:$N$196,4,FALSE)</f>
        <v>매출실적우수</v>
      </c>
      <c r="N40" s="102" t="str">
        <f>VLOOKUP(K40,[1]데이터시트!$B$3:$N$196,11,FALSE)</f>
        <v>도약</v>
      </c>
      <c r="O40" s="30" t="str">
        <f>VLOOKUP(K40,[1]데이터시트!$B$3:$N$196,6,FALSE)</f>
        <v>지역기반</v>
      </c>
      <c r="P40" s="32">
        <v>20419387</v>
      </c>
      <c r="Q40" s="103" t="str">
        <f>VLOOKUP(P40,[1]데이터시트!$B$3:$N$196,2,FALSE)</f>
        <v>WOO SIMON SUNGIL</v>
      </c>
      <c r="R40" s="33" t="str">
        <f>VLOOKUP(P40,[1]데이터시트!$B$3:$N$196,4,FALSE)</f>
        <v>전임교원</v>
      </c>
      <c r="S40" s="31" t="str">
        <f>VLOOKUP(P40,[1]데이터시트!$B$3:$N$196,11,FALSE)</f>
        <v>초기</v>
      </c>
      <c r="T40" s="30" t="str">
        <f>VLOOKUP(P40,[1]데이터시트!$B$3:$N$196,6,FALSE)</f>
        <v>실험실</v>
      </c>
      <c r="U40" s="39">
        <v>20433135</v>
      </c>
      <c r="V40" s="39" t="str">
        <f>VLOOKUP(U40,[1]데이터시트!$B$3:$N$196,2,FALSE)</f>
        <v>이예린</v>
      </c>
      <c r="W40" s="40">
        <f>VLOOKUP(U40,[1]데이터시트!$B$3:$N$196,4,FALSE)</f>
        <v>0</v>
      </c>
      <c r="X40" s="40" t="str">
        <f>VLOOKUP(U40,[1]데이터시트!$B$3:$N$196,11,FALSE)</f>
        <v>도약</v>
      </c>
      <c r="Y40" s="39" t="str">
        <f>VLOOKUP(U40,[1]데이터시트!$B$3:$N$196,6,FALSE)</f>
        <v>대학발</v>
      </c>
      <c r="Z40" s="85">
        <v>20418471</v>
      </c>
      <c r="AA40" s="104" t="str">
        <f>VLOOKUP(Z40,[1]데이터시트!$B$3:$N$196,2,FALSE)</f>
        <v>김도년</v>
      </c>
      <c r="AB40" s="105">
        <f>VLOOKUP(Z40,[1]데이터시트!$B$3:$N$196,4,FALSE)</f>
        <v>0</v>
      </c>
      <c r="AC40" s="106" t="str">
        <f>VLOOKUP(Z40,[1]데이터시트!$B$3:$N$196,11,FALSE)</f>
        <v>초기</v>
      </c>
      <c r="AD40" s="107" t="str">
        <f>VLOOKUP(Z40,[1]데이터시트!$B$3:$N$196,6,FALSE)</f>
        <v>대학발</v>
      </c>
      <c r="AE40" s="72">
        <v>20416208</v>
      </c>
      <c r="AF40" s="30" t="str">
        <f>VLOOKUP(AE40,[1]데이터시트!$B$3:$N$196,2,FALSE)</f>
        <v>이동욱</v>
      </c>
      <c r="AG40" s="31">
        <f>VLOOKUP(AE40,[1]데이터시트!$B$3:$N$196,4,FALSE)</f>
        <v>0</v>
      </c>
      <c r="AH40" s="31" t="str">
        <f>VLOOKUP(AE40,[1]데이터시트!$B$3:$N$196,11,FALSE)</f>
        <v>도약</v>
      </c>
      <c r="AI40" s="30" t="str">
        <f>VLOOKUP(AE40,[1]데이터시트!$B$3:$N$196,6,FALSE)</f>
        <v>대학발</v>
      </c>
      <c r="AJ40" s="36">
        <v>20430556</v>
      </c>
      <c r="AK40" s="30" t="str">
        <f>VLOOKUP(AJ40,[1]데이터시트!$B$3:$N$196,2,FALSE)</f>
        <v>홍준호</v>
      </c>
      <c r="AL40" s="31">
        <f>VLOOKUP(AJ40,[1]데이터시트!$B$3:$N$196,4,FALSE)</f>
        <v>0</v>
      </c>
      <c r="AM40" s="31" t="str">
        <f>VLOOKUP(AJ40,[1]데이터시트!$B$3:$N$196,11,FALSE)</f>
        <v>도약</v>
      </c>
      <c r="AN40" s="30" t="str">
        <f>VLOOKUP(AJ40,[1]데이터시트!$B$3:$N$196,6,FALSE)</f>
        <v>지역기반</v>
      </c>
      <c r="AO40" s="93">
        <v>20426680</v>
      </c>
      <c r="AP40" s="32" t="str">
        <f>VLOOKUP(AO40,[1]데이터시트!$B$3:$N$196,2,FALSE)</f>
        <v>이승원</v>
      </c>
      <c r="AQ40" s="33" t="str">
        <f>VLOOKUP(AO40,[1]데이터시트!$B$3:$N$196,4,FALSE)</f>
        <v>전임교원</v>
      </c>
      <c r="AR40" s="31" t="str">
        <f>VLOOKUP(AO40,[1]데이터시트!$B$3:$N$196,11,FALSE)</f>
        <v>초기</v>
      </c>
      <c r="AS40" s="30" t="str">
        <f>VLOOKUP(AO40,[1]데이터시트!$B$3:$N$196,6,FALSE)</f>
        <v>실험실</v>
      </c>
      <c r="AT40" s="36">
        <v>20416668</v>
      </c>
      <c r="AU40" s="30" t="str">
        <f>VLOOKUP(AT40,[1]데이터시트!$B$3:$N$196,2,FALSE)</f>
        <v>박규근</v>
      </c>
      <c r="AV40" s="31">
        <f>VLOOKUP(AT40,[1]데이터시트!$B$3:$N$196,4,FALSE)</f>
        <v>0</v>
      </c>
      <c r="AW40" s="31" t="str">
        <f>VLOOKUP(AT40,[1]데이터시트!$B$3:$N$196,11,FALSE)</f>
        <v>초기</v>
      </c>
      <c r="AX40" s="30" t="str">
        <f>VLOOKUP(AT40,[1]데이터시트!$B$3:$N$196,6,FALSE)</f>
        <v>대학발</v>
      </c>
      <c r="AY40" s="36">
        <v>20414728</v>
      </c>
      <c r="AZ40" s="30" t="str">
        <f>VLOOKUP(AY40,[1]데이터시트!$B$3:$N$196,2,FALSE)</f>
        <v>황해주</v>
      </c>
      <c r="BA40" s="31">
        <f>VLOOKUP(AY40,[1]데이터시트!$B$3:$N$196,4,FALSE)</f>
        <v>0</v>
      </c>
      <c r="BB40" s="90" t="str">
        <f>VLOOKUP(AY40,[1]데이터시트!$B$3:$N$196,11,FALSE)</f>
        <v>도약</v>
      </c>
      <c r="BC40" s="30" t="str">
        <f>VLOOKUP(AY40,[1]데이터시트!$B$3:$N$196,6,FALSE)</f>
        <v>지역기반</v>
      </c>
      <c r="BD40" s="36">
        <v>20425527</v>
      </c>
      <c r="BE40" s="30" t="str">
        <f>VLOOKUP(BD40,[1]데이터시트!$B$3:$N$196,2,FALSE)</f>
        <v>황정은</v>
      </c>
      <c r="BF40" s="31">
        <f>VLOOKUP(BD40,[1]데이터시트!$B$3:$N$196,4,FALSE)</f>
        <v>0</v>
      </c>
      <c r="BG40" s="90" t="str">
        <f>VLOOKUP(BD40,[1]데이터시트!$B$3:$N$196,11,FALSE)</f>
        <v>도약</v>
      </c>
      <c r="BH40" s="30" t="str">
        <f>VLOOKUP(BD40,[1]데이터시트!$B$3:$N$196,6,FALSE)</f>
        <v>지역기반</v>
      </c>
    </row>
    <row r="41" spans="1:60" ht="17.25" thickBot="1" x14ac:dyDescent="0.35">
      <c r="A41" s="25">
        <f>SUBTOTAL(103,$B$29:B41)</f>
        <v>12</v>
      </c>
      <c r="B41" s="25" t="s">
        <v>49</v>
      </c>
      <c r="C41" s="25">
        <f t="shared" si="1"/>
        <v>1530</v>
      </c>
      <c r="D41" s="25">
        <v>1550</v>
      </c>
      <c r="E41" s="25">
        <v>20</v>
      </c>
      <c r="F41" s="30">
        <v>20418598</v>
      </c>
      <c r="G41" s="30" t="str">
        <f>VLOOKUP(F41,[1]데이터시트!$B$3:$N$196,2,FALSE)</f>
        <v>박윤범</v>
      </c>
      <c r="H41" s="31">
        <f>VLOOKUP(F41,[1]데이터시트!$B$3:$N$196,4,FALSE)</f>
        <v>0</v>
      </c>
      <c r="I41" s="31" t="str">
        <f>VLOOKUP(F41,[1]데이터시트!$B$3:$N$196,11,FALSE)</f>
        <v>도약</v>
      </c>
      <c r="J41" s="30" t="str">
        <f>VLOOKUP(F41,[1]데이터시트!$B$3:$N$196,6,FALSE)</f>
        <v>지역기반</v>
      </c>
      <c r="K41" s="30">
        <v>20430558</v>
      </c>
      <c r="L41" s="30" t="str">
        <f>VLOOKUP(K41,[1]데이터시트!$B$3:$N$196,2,FALSE)</f>
        <v>이승훈</v>
      </c>
      <c r="M41" s="31">
        <f>VLOOKUP(K41,[1]데이터시트!$B$3:$N$196,4,FALSE)</f>
        <v>0</v>
      </c>
      <c r="N41" s="31" t="str">
        <f>VLOOKUP(K41,[1]데이터시트!$B$3:$N$196,11,FALSE)</f>
        <v>도약</v>
      </c>
      <c r="O41" s="30" t="str">
        <f>VLOOKUP(K41,[1]데이터시트!$B$3:$N$196,6,FALSE)</f>
        <v>지역기반</v>
      </c>
      <c r="P41" s="30">
        <v>20402754</v>
      </c>
      <c r="Q41" s="66" t="str">
        <f>VLOOKUP(P41,[1]데이터시트!$B$3:$N$196,2,FALSE)</f>
        <v>최하진</v>
      </c>
      <c r="R41" s="31">
        <f>VLOOKUP(P41,[1]데이터시트!$B$3:$N$196,4,FALSE)</f>
        <v>0</v>
      </c>
      <c r="S41" s="31" t="str">
        <f>VLOOKUP(P41,[1]데이터시트!$B$3:$N$196,11,FALSE)</f>
        <v>초기</v>
      </c>
      <c r="T41" s="37" t="str">
        <f>VLOOKUP(P41,[1]데이터시트!$B$3:$N$196,6,FALSE)</f>
        <v>실험실</v>
      </c>
      <c r="U41" s="67"/>
      <c r="V41" s="67"/>
      <c r="W41" s="108"/>
      <c r="X41" s="108"/>
      <c r="Y41" s="109"/>
      <c r="Z41" s="110">
        <v>20439651</v>
      </c>
      <c r="AA41" s="111" t="str">
        <f>VLOOKUP(Z41,[1]데이터시트!$B$3:$N$196,2,FALSE)</f>
        <v>박장호</v>
      </c>
      <c r="AB41" s="112" t="str">
        <f>VLOOKUP(Z41,[1]데이터시트!$B$3:$N$196,4,FALSE)</f>
        <v>전임교원</v>
      </c>
      <c r="AC41" s="113" t="str">
        <f>VLOOKUP(Z41,[1]데이터시트!$B$3:$N$196,11,FALSE)</f>
        <v>예비</v>
      </c>
      <c r="AD41" s="114" t="str">
        <f>VLOOKUP(Z41,[1]데이터시트!$B$3:$N$196,6,FALSE)</f>
        <v>대학발</v>
      </c>
      <c r="AE41" s="99">
        <v>20428674</v>
      </c>
      <c r="AF41" s="32" t="str">
        <f>VLOOKUP(AE41,[1]데이터시트!$B$3:$N$196,2,FALSE)</f>
        <v>박성준</v>
      </c>
      <c r="AG41" s="33" t="str">
        <f>VLOOKUP(AE41,[1]데이터시트!$B$3:$N$196,4,FALSE)</f>
        <v>잠재력 확인 팀</v>
      </c>
      <c r="AH41" s="31" t="str">
        <f>VLOOKUP(AE41,[1]데이터시트!$B$3:$N$196,11,FALSE)</f>
        <v>도약</v>
      </c>
      <c r="AI41" s="30" t="str">
        <f>VLOOKUP(AE41,[1]데이터시트!$B$3:$N$196,6,FALSE)</f>
        <v>대학발</v>
      </c>
      <c r="AJ41" s="84">
        <v>20431117</v>
      </c>
      <c r="AK41" s="32" t="str">
        <f>VLOOKUP(AJ41,[1]데이터시트!$B$3:$N$196,2,FALSE)</f>
        <v>우성호</v>
      </c>
      <c r="AL41" s="33" t="str">
        <f>VLOOKUP(AJ41,[1]데이터시트!$B$3:$N$196,4,FALSE)</f>
        <v>매출실적우수</v>
      </c>
      <c r="AM41" s="31" t="str">
        <f>VLOOKUP(AJ41,[1]데이터시트!$B$3:$N$196,11,FALSE)</f>
        <v>도약</v>
      </c>
      <c r="AN41" s="30" t="str">
        <f>VLOOKUP(AJ41,[1]데이터시트!$B$3:$N$196,6,FALSE)</f>
        <v>지역기반</v>
      </c>
      <c r="AO41" s="36">
        <v>20419166</v>
      </c>
      <c r="AP41" s="30" t="str">
        <f>VLOOKUP(AO41,[1]데이터시트!$B$3:$N$196,2,FALSE)</f>
        <v>강기운</v>
      </c>
      <c r="AQ41" s="31">
        <f>VLOOKUP(AO41,[1]데이터시트!$B$3:$N$196,4,FALSE)</f>
        <v>0</v>
      </c>
      <c r="AR41" s="31" t="str">
        <f>VLOOKUP(AO41,[1]데이터시트!$B$3:$N$196,11,FALSE)</f>
        <v>초기</v>
      </c>
      <c r="AS41" s="30" t="str">
        <f>VLOOKUP(AO41,[1]데이터시트!$B$3:$N$196,6,FALSE)</f>
        <v>실험실</v>
      </c>
      <c r="AT41" s="36">
        <v>20421742</v>
      </c>
      <c r="AU41" s="30" t="str">
        <f>VLOOKUP(AT41,[1]데이터시트!$B$3:$N$196,2,FALSE)</f>
        <v>이원철</v>
      </c>
      <c r="AV41" s="31">
        <f>VLOOKUP(AT41,[1]데이터시트!$B$3:$N$196,4,FALSE)</f>
        <v>0</v>
      </c>
      <c r="AW41" s="31" t="str">
        <f>VLOOKUP(AT41,[1]데이터시트!$B$3:$N$196,11,FALSE)</f>
        <v>초기</v>
      </c>
      <c r="AX41" s="30" t="str">
        <f>VLOOKUP(AT41,[1]데이터시트!$B$3:$N$196,6,FALSE)</f>
        <v>실험실</v>
      </c>
      <c r="AY41" s="84">
        <v>20425350</v>
      </c>
      <c r="AZ41" s="32" t="str">
        <f>VLOOKUP(AY41,[1]데이터시트!$B$3:$N$196,2,FALSE)</f>
        <v>정승호</v>
      </c>
      <c r="BA41" s="33" t="str">
        <f>VLOOKUP(AY41,[1]데이터시트!$B$3:$N$196,4,FALSE)</f>
        <v>전임교원</v>
      </c>
      <c r="BB41" s="90" t="str">
        <f>VLOOKUP(AY41,[1]데이터시트!$B$3:$N$196,11,FALSE)</f>
        <v>도약</v>
      </c>
      <c r="BC41" s="30" t="str">
        <f>VLOOKUP(AY41,[1]데이터시트!$B$3:$N$196,6,FALSE)</f>
        <v>지역기반</v>
      </c>
      <c r="BD41" s="84">
        <v>20429004</v>
      </c>
      <c r="BE41" s="32" t="str">
        <f>VLOOKUP(BD41,[1]데이터시트!$B$3:$N$196,2,FALSE)</f>
        <v>조용일</v>
      </c>
      <c r="BF41" s="33" t="str">
        <f>VLOOKUP(BD41,[1]데이터시트!$B$3:$N$196,4,FALSE)</f>
        <v>매출실적우수</v>
      </c>
      <c r="BG41" s="90" t="str">
        <f>VLOOKUP(BD41,[1]데이터시트!$B$3:$N$196,11,FALSE)</f>
        <v>도약</v>
      </c>
      <c r="BH41" s="30" t="str">
        <f>VLOOKUP(BD41,[1]데이터시트!$B$3:$N$196,6,FALSE)</f>
        <v>지역기반</v>
      </c>
    </row>
    <row r="42" spans="1:60" x14ac:dyDescent="0.3">
      <c r="A42" s="25">
        <f>SUBTOTAL(103,$B$29:B42)</f>
        <v>13</v>
      </c>
      <c r="B42" s="25" t="s">
        <v>49</v>
      </c>
      <c r="C42" s="25">
        <f t="shared" si="1"/>
        <v>1555</v>
      </c>
      <c r="D42" s="25">
        <v>1615</v>
      </c>
      <c r="E42" s="25">
        <v>20</v>
      </c>
      <c r="F42" s="30"/>
      <c r="G42" s="30"/>
      <c r="H42" s="31"/>
      <c r="I42" s="31"/>
      <c r="J42" s="30"/>
      <c r="K42" s="30"/>
      <c r="L42" s="30"/>
      <c r="M42" s="31"/>
      <c r="N42" s="31"/>
      <c r="O42" s="30"/>
      <c r="P42" s="30"/>
      <c r="Q42" s="30"/>
      <c r="R42" s="31"/>
      <c r="S42" s="31"/>
      <c r="T42" s="30"/>
      <c r="U42" s="46"/>
      <c r="V42" s="46"/>
      <c r="W42" s="97"/>
      <c r="X42" s="97"/>
      <c r="Y42" s="46"/>
      <c r="Z42" s="30"/>
      <c r="AA42" s="46"/>
      <c r="AB42" s="97"/>
      <c r="AC42" s="97"/>
      <c r="AD42" s="46"/>
      <c r="AE42" s="36">
        <v>20415322</v>
      </c>
      <c r="AF42" s="30" t="str">
        <f>VLOOKUP(AE42,[1]데이터시트!$B$3:$N$196,2,FALSE)</f>
        <v>김건형</v>
      </c>
      <c r="AG42" s="31">
        <f>VLOOKUP(AE42,[1]데이터시트!$B$3:$N$196,4,FALSE)</f>
        <v>0</v>
      </c>
      <c r="AH42" s="31" t="str">
        <f>VLOOKUP(AE42,[1]데이터시트!$B$3:$N$196,11,FALSE)</f>
        <v>예비</v>
      </c>
      <c r="AI42" s="30" t="str">
        <f>VLOOKUP(AE42,[1]데이터시트!$B$3:$N$196,6,FALSE)</f>
        <v>대학발</v>
      </c>
      <c r="AJ42" s="36"/>
      <c r="AK42" s="30"/>
      <c r="AL42" s="31"/>
      <c r="AM42" s="31"/>
      <c r="AN42" s="30"/>
      <c r="AO42" s="84">
        <v>20414230</v>
      </c>
      <c r="AP42" s="32" t="str">
        <f>VLOOKUP(AO42,[1]데이터시트!$B$3:$N$196,2,FALSE)</f>
        <v>전영준</v>
      </c>
      <c r="AQ42" s="33" t="str">
        <f>VLOOKUP(AO42,[1]데이터시트!$B$3:$N$196,4,FALSE)</f>
        <v>전임교원</v>
      </c>
      <c r="AR42" s="31" t="str">
        <f>VLOOKUP(AO42,[1]데이터시트!$B$3:$N$196,11,FALSE)</f>
        <v>초기</v>
      </c>
      <c r="AS42" s="30" t="str">
        <f>VLOOKUP(AO42,[1]데이터시트!$B$3:$N$196,6,FALSE)</f>
        <v>대학발</v>
      </c>
      <c r="AT42" s="30"/>
      <c r="AU42" s="30"/>
      <c r="AV42" s="31"/>
      <c r="AW42" s="31"/>
      <c r="AX42" s="30"/>
      <c r="AY42" s="30"/>
      <c r="AZ42" s="30"/>
      <c r="BA42" s="31"/>
      <c r="BB42" s="31"/>
      <c r="BC42" s="30"/>
      <c r="BD42" s="30"/>
      <c r="BE42" s="30"/>
      <c r="BF42" s="31"/>
      <c r="BG42" s="31"/>
      <c r="BH42" s="30"/>
    </row>
    <row r="43" spans="1:60" x14ac:dyDescent="0.3">
      <c r="A43" s="25">
        <f>SUBTOTAL(103,$B$29:B43)</f>
        <v>14</v>
      </c>
      <c r="B43" s="25" t="s">
        <v>49</v>
      </c>
      <c r="C43" s="25">
        <f t="shared" si="1"/>
        <v>1620</v>
      </c>
      <c r="D43" s="25">
        <v>1640</v>
      </c>
      <c r="E43" s="25">
        <v>20</v>
      </c>
      <c r="F43" s="30"/>
      <c r="G43" s="30"/>
      <c r="H43" s="31"/>
      <c r="I43" s="31"/>
      <c r="J43" s="30"/>
      <c r="K43" s="30"/>
      <c r="L43" s="30"/>
      <c r="M43" s="31"/>
      <c r="N43" s="31"/>
      <c r="O43" s="30"/>
      <c r="P43" s="30"/>
      <c r="Q43" s="30"/>
      <c r="R43" s="31"/>
      <c r="S43" s="31"/>
      <c r="T43" s="30"/>
      <c r="U43" s="30"/>
      <c r="V43" s="30"/>
      <c r="W43" s="31"/>
      <c r="X43" s="31"/>
      <c r="Y43" s="30"/>
      <c r="Z43" s="30"/>
      <c r="AA43" s="30"/>
      <c r="AB43" s="31"/>
      <c r="AC43" s="31"/>
      <c r="AD43" s="30"/>
      <c r="AE43" s="36"/>
      <c r="AF43" s="30"/>
      <c r="AG43" s="31"/>
      <c r="AH43" s="31"/>
      <c r="AI43" s="30"/>
      <c r="AJ43" s="30"/>
      <c r="AK43" s="30"/>
      <c r="AL43" s="31"/>
      <c r="AM43" s="31"/>
      <c r="AN43" s="30"/>
      <c r="AO43" s="30"/>
      <c r="AP43" s="30"/>
      <c r="AQ43" s="31"/>
      <c r="AR43" s="31"/>
      <c r="AS43" s="30"/>
      <c r="AT43" s="30"/>
      <c r="AU43" s="30"/>
      <c r="AV43" s="31"/>
      <c r="AW43" s="31"/>
      <c r="AX43" s="30"/>
      <c r="AY43" s="30"/>
      <c r="AZ43" s="30"/>
      <c r="BA43" s="31"/>
      <c r="BB43" s="31"/>
      <c r="BC43" s="30"/>
      <c r="BD43" s="30"/>
      <c r="BE43" s="30"/>
      <c r="BF43" s="31"/>
      <c r="BG43" s="31"/>
      <c r="BH43" s="30"/>
    </row>
    <row r="44" spans="1:60" x14ac:dyDescent="0.3">
      <c r="A44" s="115"/>
      <c r="B44" s="115"/>
      <c r="C44" s="115">
        <v>1640</v>
      </c>
      <c r="D44" s="115">
        <v>1730</v>
      </c>
      <c r="E44" s="116" t="s">
        <v>50</v>
      </c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117"/>
      <c r="BB44" s="117"/>
      <c r="BC44" s="117"/>
      <c r="BD44" s="117"/>
      <c r="BE44" s="117"/>
      <c r="BF44" s="117"/>
      <c r="BG44" s="117"/>
      <c r="BH44" s="118"/>
    </row>
    <row r="46" spans="1:60" x14ac:dyDescent="0.3">
      <c r="AE46" s="5"/>
      <c r="AG46" s="6"/>
      <c r="AH46" s="6"/>
      <c r="AJ46" s="5"/>
      <c r="AL46" s="6"/>
      <c r="AM46" s="6"/>
      <c r="AO46" s="5"/>
      <c r="AQ46" s="6"/>
      <c r="AR46" s="6"/>
      <c r="AT46" s="5"/>
      <c r="AV46" s="6"/>
      <c r="AW46" s="6"/>
      <c r="AY46" s="5"/>
      <c r="BA46" s="6"/>
      <c r="BB46" s="6"/>
      <c r="BD46" s="5"/>
      <c r="BF46"/>
      <c r="BG46"/>
      <c r="BH46"/>
    </row>
    <row r="47" spans="1:60" hidden="1" x14ac:dyDescent="0.3">
      <c r="F47" s="2" t="str">
        <f>IFERROR(VLOOKUP(F12,[1]데이터시트!$B$3:$N$196,9,FALSE),"")</f>
        <v>정보ㆍ통신</v>
      </c>
      <c r="G47" s="2" t="str">
        <f>IFERROR(VLOOKUP(G12,[1]데이터시트!$B$3:$N$196,9,FALSE),"")</f>
        <v/>
      </c>
      <c r="H47" s="2" t="str">
        <f>IFERROR(VLOOKUP(H12,[1]데이터시트!$B$3:$N$196,9,FALSE),"")</f>
        <v/>
      </c>
      <c r="I47" s="2"/>
      <c r="J47" s="2" t="str">
        <f>IFERROR(VLOOKUP(J8,[1]데이터시트!$B$3:$N$196,9,FALSE),"")</f>
        <v/>
      </c>
      <c r="K47" s="2" t="str">
        <f>IFERROR(VLOOKUP(K19,[1]데이터시트!$B$3:$N$196,9,FALSE),"")</f>
        <v>정보ㆍ통신</v>
      </c>
      <c r="L47" s="2" t="str">
        <f>IFERROR(VLOOKUP(L19,[1]데이터시트!$B$3:$N$196,9,FALSE),"")</f>
        <v/>
      </c>
      <c r="M47" s="2" t="str">
        <f>IFERROR(VLOOKUP(M19,[1]데이터시트!$B$3:$N$196,9,FALSE),"")</f>
        <v/>
      </c>
      <c r="N47" s="2"/>
      <c r="O47" s="2" t="str">
        <f>IFERROR(VLOOKUP(O19,[1]데이터시트!$B$3:$N$196,9,FALSE),"")</f>
        <v/>
      </c>
      <c r="P47" s="2" t="str">
        <f>IFERROR(VLOOKUP(P15,[1]데이터시트!$B$3:$N$196,9,FALSE),"")</f>
        <v>정보ㆍ통신</v>
      </c>
      <c r="Q47" s="2" t="str">
        <f>IFERROR(VLOOKUP(Q15,[1]데이터시트!$B$3:$N$196,9,FALSE),"")</f>
        <v/>
      </c>
      <c r="R47" s="2" t="str">
        <f>IFERROR(VLOOKUP(R15,[1]데이터시트!$B$3:$N$196,9,FALSE),"")</f>
        <v/>
      </c>
      <c r="S47" s="2"/>
      <c r="T47" s="2" t="str">
        <f>IFERROR(VLOOKUP(T15,[1]데이터시트!$B$3:$N$196,9,FALSE),"")</f>
        <v/>
      </c>
      <c r="U47" s="2" t="str">
        <f>IFERROR(VLOOKUP(U8,[1]데이터시트!$B$3:$N$196,9,FALSE),"")</f>
        <v>정보ㆍ통신</v>
      </c>
      <c r="V47" s="2" t="str">
        <f>IFERROR(VLOOKUP(V8,[1]데이터시트!$B$3:$N$196,9,FALSE),"")</f>
        <v/>
      </c>
      <c r="W47" s="2" t="str">
        <f>IFERROR(VLOOKUP(W8,[1]데이터시트!$B$3:$N$196,9,FALSE),"")</f>
        <v/>
      </c>
      <c r="X47" s="2"/>
      <c r="Y47" s="2" t="str">
        <f>IFERROR(VLOOKUP(Y8,[1]데이터시트!$B$3:$N$196,9,FALSE),"")</f>
        <v/>
      </c>
      <c r="Z47" s="2" t="str">
        <f>IFERROR(VLOOKUP(AB8,[1]데이터시트!$B$3:$N$196,9,FALSE),"")</f>
        <v/>
      </c>
      <c r="AA47" s="2" t="str">
        <f>IFERROR(VLOOKUP(AD8,[1]데이터시트!$B$3:$N$196,9,FALSE),"")</f>
        <v/>
      </c>
      <c r="AB47" s="2" t="str">
        <f>IFERROR(VLOOKUP(AE8,[1]데이터시트!$B$3:$N$196,9,FALSE),"")</f>
        <v/>
      </c>
      <c r="AC47" s="2"/>
      <c r="AD47" s="2" t="str">
        <f>IFERROR(VLOOKUP(AF8,[1]데이터시트!$B$3:$N$196,9,FALSE),"")</f>
        <v/>
      </c>
      <c r="AE47" s="2" t="str">
        <f>IFERROR(VLOOKUP(AG8,[1]데이터시트!$B$3:$N$196,9,FALSE),"")</f>
        <v/>
      </c>
      <c r="AF47" s="2" t="str">
        <f>IFERROR(VLOOKUP(AI8,[1]데이터시트!$B$3:$N$196,9,FALSE),"")</f>
        <v/>
      </c>
      <c r="AG47" s="2" t="str">
        <f>IFERROR(VLOOKUP(AJ12,[1]데이터시트!$B$3:$N$196,9,FALSE),"")</f>
        <v>바이오ㆍ의료ㆍ생명</v>
      </c>
      <c r="AH47" s="2"/>
      <c r="AI47" s="2" t="str">
        <f>IFERROR(VLOOKUP(AK12,[1]데이터시트!$B$3:$N$196,9,FALSE),"")</f>
        <v/>
      </c>
      <c r="AJ47" s="2" t="str">
        <f>IFERROR(VLOOKUP(AL12,[1]데이터시트!$B$3:$N$196,9,FALSE),"")</f>
        <v/>
      </c>
      <c r="AK47" s="2" t="str">
        <f>IFERROR(VLOOKUP(AN12,[1]데이터시트!$B$3:$N$196,9,FALSE),"")</f>
        <v/>
      </c>
      <c r="AL47" s="2" t="str">
        <f>IFERROR(VLOOKUP(AO16,[1]데이터시트!$B$3:$N$196,9,FALSE),"")</f>
        <v>바이오ㆍ의료ㆍ생명</v>
      </c>
      <c r="AM47" s="2"/>
      <c r="AN47" s="2" t="str">
        <f>IFERROR(VLOOKUP(AP16,[1]데이터시트!$B$3:$N$196,9,FALSE),"")</f>
        <v/>
      </c>
      <c r="AO47" s="2" t="str">
        <f>IFERROR(VLOOKUP(AQ16,[1]데이터시트!$B$3:$N$196,9,FALSE),"")</f>
        <v/>
      </c>
      <c r="AP47" s="2" t="str">
        <f>IFERROR(VLOOKUP(AS16,[1]데이터시트!$B$3:$N$196,9,FALSE),"")</f>
        <v/>
      </c>
      <c r="AQ47" s="2" t="str">
        <f>IFERROR(VLOOKUP(AT8,[1]데이터시트!$B$3:$N$196,9,FALSE),"")</f>
        <v/>
      </c>
      <c r="AR47" s="2"/>
      <c r="AS47" s="2" t="str">
        <f>IFERROR(VLOOKUP(AU8,[1]데이터시트!$B$3:$N$196,9,FALSE),"")</f>
        <v/>
      </c>
      <c r="AT47" s="2" t="str">
        <f>IFERROR(VLOOKUP(AV8,[1]데이터시트!$B$3:$N$196,9,FALSE),"")</f>
        <v/>
      </c>
      <c r="AU47" s="2" t="str">
        <f>IFERROR(VLOOKUP(AX8,[1]데이터시트!$B$3:$N$196,9,FALSE),"")</f>
        <v/>
      </c>
      <c r="AV47" s="2" t="str">
        <f>IFERROR(VLOOKUP(AY8,[1]데이터시트!$B$3:$N$196,9,FALSE),"")</f>
        <v/>
      </c>
      <c r="AW47" s="2"/>
      <c r="AX47" s="2" t="str">
        <f>IFERROR(VLOOKUP(AZ8,[1]데이터시트!$B$3:$N$196,9,FALSE),"")</f>
        <v/>
      </c>
      <c r="AY47" s="2" t="str">
        <f>IFERROR(VLOOKUP(BA8,[1]데이터시트!$B$3:$N$196,9,FALSE),"")</f>
        <v/>
      </c>
      <c r="AZ47" s="2" t="str">
        <f>IFERROR(VLOOKUP(BC8,[1]데이터시트!$B$3:$N$196,9,FALSE),"")</f>
        <v/>
      </c>
      <c r="BA47" s="2" t="str">
        <f>IFERROR(VLOOKUP(BD8,[1]데이터시트!$B$3:$N$196,9,FALSE),"")</f>
        <v/>
      </c>
      <c r="BB47" s="2"/>
      <c r="BC47" s="2" t="str">
        <f>IFERROR(VLOOKUP(BE8,[1]데이터시트!$B$3:$N$196,9,FALSE),"")</f>
        <v/>
      </c>
      <c r="BD47" s="2" t="str">
        <f>IFERROR(VLOOKUP(BF8,[1]데이터시트!$B$3:$N$196,9,FALSE),"")</f>
        <v/>
      </c>
      <c r="BE47" s="2" t="str">
        <f>IFERROR(VLOOKUP(BH8,[1]데이터시트!$B$3:$N$196,9,FALSE),"")</f>
        <v/>
      </c>
      <c r="BF47"/>
      <c r="BG47"/>
      <c r="BH47"/>
    </row>
    <row r="48" spans="1:60" hidden="1" x14ac:dyDescent="0.3">
      <c r="F48" s="2" t="str">
        <f>IFERROR(VLOOKUP(F17,[1]데이터시트!$B$3:$N$196,9,FALSE),"")</f>
        <v>정보ㆍ통신</v>
      </c>
      <c r="G48" s="2" t="str">
        <f>IFERROR(VLOOKUP(G17,[1]데이터시트!$B$3:$N$196,9,FALSE),"")</f>
        <v/>
      </c>
      <c r="H48" s="2" t="str">
        <f>IFERROR(VLOOKUP(H17,[1]데이터시트!$B$3:$N$196,9,FALSE),"")</f>
        <v/>
      </c>
      <c r="I48" s="2"/>
      <c r="J48" s="2" t="str">
        <f>IFERROR(VLOOKUP(J9,[1]데이터시트!$B$3:$N$196,9,FALSE),"")</f>
        <v/>
      </c>
      <c r="K48" s="2" t="str">
        <f>IFERROR(VLOOKUP(K20,[1]데이터시트!$B$3:$N$196,9,FALSE),"")</f>
        <v>정보ㆍ통신</v>
      </c>
      <c r="L48" s="2" t="str">
        <f>IFERROR(VLOOKUP(L20,[1]데이터시트!$B$3:$N$196,9,FALSE),"")</f>
        <v/>
      </c>
      <c r="M48" s="2" t="str">
        <f>IFERROR(VLOOKUP(M20,[1]데이터시트!$B$3:$N$196,9,FALSE),"")</f>
        <v/>
      </c>
      <c r="N48" s="2"/>
      <c r="O48" s="2" t="str">
        <f>IFERROR(VLOOKUP(O20,[1]데이터시트!$B$3:$N$196,9,FALSE),"")</f>
        <v/>
      </c>
      <c r="P48" s="2" t="str">
        <f>IFERROR(VLOOKUP(P9,[1]데이터시트!$B$3:$N$196,9,FALSE),"")</f>
        <v>정보ㆍ통신</v>
      </c>
      <c r="Q48" s="2" t="str">
        <f>IFERROR(VLOOKUP(Q9,[1]데이터시트!$B$3:$N$196,9,FALSE),"")</f>
        <v/>
      </c>
      <c r="R48" s="2" t="str">
        <f>IFERROR(VLOOKUP(R9,[1]데이터시트!$B$3:$N$196,9,FALSE),"")</f>
        <v/>
      </c>
      <c r="S48" s="2"/>
      <c r="T48" s="2" t="str">
        <f>IFERROR(VLOOKUP(T9,[1]데이터시트!$B$3:$N$196,9,FALSE),"")</f>
        <v/>
      </c>
      <c r="U48" s="2" t="str">
        <f>IFERROR(VLOOKUP(U9,[1]데이터시트!$B$3:$N$196,9,FALSE),"")</f>
        <v>정보ㆍ통신</v>
      </c>
      <c r="V48" s="2" t="str">
        <f>IFERROR(VLOOKUP(V9,[1]데이터시트!$B$3:$N$196,9,FALSE),"")</f>
        <v/>
      </c>
      <c r="W48" s="2" t="str">
        <f>IFERROR(VLOOKUP(W9,[1]데이터시트!$B$3:$N$196,9,FALSE),"")</f>
        <v/>
      </c>
      <c r="X48" s="2"/>
      <c r="Y48" s="2" t="str">
        <f>IFERROR(VLOOKUP(Y9,[1]데이터시트!$B$3:$N$196,9,FALSE),"")</f>
        <v/>
      </c>
      <c r="Z48" s="2" t="str">
        <f>IFERROR(VLOOKUP(AB9,[1]데이터시트!$B$3:$N$196,9,FALSE),"")</f>
        <v/>
      </c>
      <c r="AA48" s="2" t="str">
        <f>IFERROR(VLOOKUP(AD9,[1]데이터시트!$B$3:$N$196,9,FALSE),"")</f>
        <v/>
      </c>
      <c r="AB48" s="2" t="str">
        <f>IFERROR(VLOOKUP(AE9,[1]데이터시트!$B$3:$N$196,9,FALSE),"")</f>
        <v/>
      </c>
      <c r="AC48" s="2"/>
      <c r="AD48" s="2" t="str">
        <f>IFERROR(VLOOKUP(AF9,[1]데이터시트!$B$3:$N$196,9,FALSE),"")</f>
        <v/>
      </c>
      <c r="AE48" s="2" t="str">
        <f>IFERROR(VLOOKUP(AG9,[1]데이터시트!$B$3:$N$196,9,FALSE),"")</f>
        <v/>
      </c>
      <c r="AF48" s="2" t="str">
        <f>IFERROR(VLOOKUP(AI9,[1]데이터시트!$B$3:$N$196,9,FALSE),"")</f>
        <v/>
      </c>
      <c r="AG48" s="2" t="str">
        <f>IFERROR(VLOOKUP(AJ18,[1]데이터시트!$B$3:$N$196,9,FALSE),"")</f>
        <v>바이오ㆍ의료ㆍ생명</v>
      </c>
      <c r="AH48" s="2"/>
      <c r="AI48" s="2" t="str">
        <f>IFERROR(VLOOKUP(AK18,[1]데이터시트!$B$3:$N$196,9,FALSE),"")</f>
        <v/>
      </c>
      <c r="AJ48" s="2" t="str">
        <f>IFERROR(VLOOKUP(AL18,[1]데이터시트!$B$3:$N$196,9,FALSE),"")</f>
        <v/>
      </c>
      <c r="AK48" s="2" t="str">
        <f>IFERROR(VLOOKUP(AN18,[1]데이터시트!$B$3:$N$196,9,FALSE),"")</f>
        <v/>
      </c>
      <c r="AL48" s="2" t="str">
        <f>IFERROR(VLOOKUP(AO17,[1]데이터시트!$B$3:$N$196,9,FALSE),"")</f>
        <v>바이오ㆍ의료ㆍ생명</v>
      </c>
      <c r="AM48" s="2"/>
      <c r="AN48" s="2" t="str">
        <f>IFERROR(VLOOKUP(AP17,[1]데이터시트!$B$3:$N$196,9,FALSE),"")</f>
        <v/>
      </c>
      <c r="AO48" s="2" t="str">
        <f>IFERROR(VLOOKUP(AQ17,[1]데이터시트!$B$3:$N$196,9,FALSE),"")</f>
        <v/>
      </c>
      <c r="AP48" s="2" t="str">
        <f>IFERROR(VLOOKUP(AS17,[1]데이터시트!$B$3:$N$196,9,FALSE),"")</f>
        <v/>
      </c>
      <c r="AQ48" s="2" t="str">
        <f>IFERROR(VLOOKUP(AT9,[1]데이터시트!$B$3:$N$196,9,FALSE),"")</f>
        <v/>
      </c>
      <c r="AR48" s="2"/>
      <c r="AS48" s="2" t="str">
        <f>IFERROR(VLOOKUP(AU9,[1]데이터시트!$B$3:$N$196,9,FALSE),"")</f>
        <v/>
      </c>
      <c r="AT48" s="2" t="str">
        <f>IFERROR(VLOOKUP(AV9,[1]데이터시트!$B$3:$N$196,9,FALSE),"")</f>
        <v/>
      </c>
      <c r="AU48" s="2" t="str">
        <f>IFERROR(VLOOKUP(AX9,[1]데이터시트!$B$3:$N$196,9,FALSE),"")</f>
        <v/>
      </c>
      <c r="AV48" s="2" t="str">
        <f>IFERROR(VLOOKUP(AY9,[1]데이터시트!$B$3:$N$196,9,FALSE),"")</f>
        <v/>
      </c>
      <c r="AW48" s="2"/>
      <c r="AX48" s="2" t="str">
        <f>IFERROR(VLOOKUP(AZ9,[1]데이터시트!$B$3:$N$196,9,FALSE),"")</f>
        <v/>
      </c>
      <c r="AY48" s="2" t="str">
        <f>IFERROR(VLOOKUP(BA9,[1]데이터시트!$B$3:$N$196,9,FALSE),"")</f>
        <v/>
      </c>
      <c r="AZ48" s="2" t="str">
        <f>IFERROR(VLOOKUP(BC9,[1]데이터시트!$B$3:$N$196,9,FALSE),"")</f>
        <v/>
      </c>
      <c r="BA48" s="2" t="str">
        <f>IFERROR(VLOOKUP(BD9,[1]데이터시트!$B$3:$N$196,9,FALSE),"")</f>
        <v/>
      </c>
      <c r="BB48" s="2"/>
      <c r="BC48" s="2" t="str">
        <f>IFERROR(VLOOKUP(BE9,[1]데이터시트!$B$3:$N$196,9,FALSE),"")</f>
        <v/>
      </c>
      <c r="BD48" s="2" t="str">
        <f>IFERROR(VLOOKUP(BF9,[1]데이터시트!$B$3:$N$196,9,FALSE),"")</f>
        <v/>
      </c>
      <c r="BE48" s="2" t="str">
        <f>IFERROR(VLOOKUP(BH9,[1]데이터시트!$B$3:$N$196,9,FALSE),"")</f>
        <v/>
      </c>
      <c r="BF48"/>
      <c r="BG48"/>
      <c r="BH48"/>
    </row>
    <row r="49" spans="6:60" hidden="1" x14ac:dyDescent="0.3">
      <c r="F49" s="2" t="str">
        <f>IFERROR(VLOOKUP(F10,[1]데이터시트!$B$3:$N$196,9,FALSE),"")</f>
        <v>정보ㆍ통신</v>
      </c>
      <c r="G49" s="2" t="str">
        <f>IFERROR(VLOOKUP(G10,[1]데이터시트!$B$3:$N$196,9,FALSE),"")</f>
        <v/>
      </c>
      <c r="H49" s="2" t="str">
        <f>IFERROR(VLOOKUP(H10,[1]데이터시트!$B$3:$N$196,9,FALSE),"")</f>
        <v/>
      </c>
      <c r="I49" s="2"/>
      <c r="J49" s="2" t="str">
        <f>IFERROR(VLOOKUP(J10,[1]데이터시트!$B$3:$N$196,9,FALSE),"")</f>
        <v/>
      </c>
      <c r="K49" s="2" t="str">
        <f>IFERROR(VLOOKUP(K18,[1]데이터시트!$B$3:$N$196,9,FALSE),"")</f>
        <v>정보ㆍ통신</v>
      </c>
      <c r="L49" s="2" t="str">
        <f>IFERROR(VLOOKUP(L18,[1]데이터시트!$B$3:$N$196,9,FALSE),"")</f>
        <v/>
      </c>
      <c r="M49" s="2" t="str">
        <f>IFERROR(VLOOKUP(M18,[1]데이터시트!$B$3:$N$196,9,FALSE),"")</f>
        <v/>
      </c>
      <c r="N49" s="2"/>
      <c r="O49" s="2" t="str">
        <f>IFERROR(VLOOKUP(O18,[1]데이터시트!$B$3:$N$196,9,FALSE),"")</f>
        <v/>
      </c>
      <c r="P49" s="2" t="str">
        <f>IFERROR(VLOOKUP(P12,[1]데이터시트!$B$3:$N$196,9,FALSE),"")</f>
        <v>정보ㆍ통신</v>
      </c>
      <c r="Q49" s="2" t="str">
        <f>IFERROR(VLOOKUP(Q12,[1]데이터시트!$B$3:$N$196,9,FALSE),"")</f>
        <v/>
      </c>
      <c r="R49" s="2" t="str">
        <f>IFERROR(VLOOKUP(R12,[1]데이터시트!$B$3:$N$196,9,FALSE),"")</f>
        <v/>
      </c>
      <c r="S49" s="2"/>
      <c r="T49" s="2" t="str">
        <f>IFERROR(VLOOKUP(T12,[1]데이터시트!$B$3:$N$196,9,FALSE),"")</f>
        <v/>
      </c>
      <c r="U49" s="2" t="str">
        <f>IFERROR(VLOOKUP(U10,[1]데이터시트!$B$3:$N$196,9,FALSE),"")</f>
        <v>정보ㆍ통신</v>
      </c>
      <c r="V49" s="2" t="str">
        <f>IFERROR(VLOOKUP(V10,[1]데이터시트!$B$3:$N$196,9,FALSE),"")</f>
        <v/>
      </c>
      <c r="W49" s="2" t="str">
        <f>IFERROR(VLOOKUP(W10,[1]데이터시트!$B$3:$N$196,9,FALSE),"")</f>
        <v/>
      </c>
      <c r="X49" s="2"/>
      <c r="Y49" s="2" t="str">
        <f>IFERROR(VLOOKUP(Y10,[1]데이터시트!$B$3:$N$196,9,FALSE),"")</f>
        <v/>
      </c>
      <c r="Z49" s="2" t="str">
        <f>IFERROR(VLOOKUP(AB10,[1]데이터시트!$B$3:$N$196,9,FALSE),"")</f>
        <v/>
      </c>
      <c r="AA49" s="2" t="str">
        <f>IFERROR(VLOOKUP(AD10,[1]데이터시트!$B$3:$N$196,9,FALSE),"")</f>
        <v/>
      </c>
      <c r="AB49" s="2" t="str">
        <f>IFERROR(VLOOKUP(AE10,[1]데이터시트!$B$3:$N$196,9,FALSE),"")</f>
        <v/>
      </c>
      <c r="AC49" s="2"/>
      <c r="AD49" s="2" t="str">
        <f>IFERROR(VLOOKUP(AF10,[1]데이터시트!$B$3:$N$196,9,FALSE),"")</f>
        <v/>
      </c>
      <c r="AE49" s="2" t="str">
        <f>IFERROR(VLOOKUP(AG10,[1]데이터시트!$B$3:$N$196,9,FALSE),"")</f>
        <v/>
      </c>
      <c r="AF49" s="2" t="str">
        <f>IFERROR(VLOOKUP(AI10,[1]데이터시트!$B$3:$N$196,9,FALSE),"")</f>
        <v/>
      </c>
      <c r="AG49" s="2" t="str">
        <f>IFERROR(VLOOKUP(AJ19,[1]데이터시트!$B$3:$N$196,9,FALSE),"")</f>
        <v>바이오ㆍ의료ㆍ생명</v>
      </c>
      <c r="AH49" s="2"/>
      <c r="AI49" s="2" t="str">
        <f>IFERROR(VLOOKUP(AK19,[1]데이터시트!$B$3:$N$196,9,FALSE),"")</f>
        <v/>
      </c>
      <c r="AJ49" s="2" t="str">
        <f>IFERROR(VLOOKUP(AL19,[1]데이터시트!$B$3:$N$196,9,FALSE),"")</f>
        <v/>
      </c>
      <c r="AK49" s="2" t="str">
        <f>IFERROR(VLOOKUP(AN19,[1]데이터시트!$B$3:$N$196,9,FALSE),"")</f>
        <v/>
      </c>
      <c r="AL49" s="2" t="str">
        <f>IFERROR(VLOOKUP(AO8,[1]데이터시트!$B$3:$N$196,9,FALSE),"")</f>
        <v>바이오ㆍ의료ㆍ생명</v>
      </c>
      <c r="AM49" s="2"/>
      <c r="AN49" s="2" t="str">
        <f>IFERROR(VLOOKUP(AP8,[1]데이터시트!$B$3:$N$196,9,FALSE),"")</f>
        <v/>
      </c>
      <c r="AO49" s="2" t="str">
        <f>IFERROR(VLOOKUP(AQ8,[1]데이터시트!$B$3:$N$196,9,FALSE),"")</f>
        <v/>
      </c>
      <c r="AP49" s="2" t="str">
        <f>IFERROR(VLOOKUP(AS8,[1]데이터시트!$B$3:$N$196,9,FALSE),"")</f>
        <v/>
      </c>
      <c r="AQ49" s="2" t="str">
        <f>IFERROR(VLOOKUP(AT10,[1]데이터시트!$B$3:$N$196,9,FALSE),"")</f>
        <v/>
      </c>
      <c r="AR49" s="2"/>
      <c r="AS49" s="2" t="str">
        <f>IFERROR(VLOOKUP(AU10,[1]데이터시트!$B$3:$N$196,9,FALSE),"")</f>
        <v/>
      </c>
      <c r="AT49" s="2" t="str">
        <f>IFERROR(VLOOKUP(AV10,[1]데이터시트!$B$3:$N$196,9,FALSE),"")</f>
        <v/>
      </c>
      <c r="AU49" s="2" t="str">
        <f>IFERROR(VLOOKUP(AX10,[1]데이터시트!$B$3:$N$196,9,FALSE),"")</f>
        <v/>
      </c>
      <c r="AV49" s="2" t="str">
        <f>IFERROR(VLOOKUP(AY10,[1]데이터시트!$B$3:$N$196,9,FALSE),"")</f>
        <v/>
      </c>
      <c r="AW49" s="2"/>
      <c r="AX49" s="2" t="str">
        <f>IFERROR(VLOOKUP(AZ10,[1]데이터시트!$B$3:$N$196,9,FALSE),"")</f>
        <v/>
      </c>
      <c r="AY49" s="2" t="str">
        <f>IFERROR(VLOOKUP(BA10,[1]데이터시트!$B$3:$N$196,9,FALSE),"")</f>
        <v/>
      </c>
      <c r="AZ49" s="2" t="str">
        <f>IFERROR(VLOOKUP(BC10,[1]데이터시트!$B$3:$N$196,9,FALSE),"")</f>
        <v/>
      </c>
      <c r="BA49" s="2" t="str">
        <f>IFERROR(VLOOKUP(BD10,[1]데이터시트!$B$3:$N$196,9,FALSE),"")</f>
        <v/>
      </c>
      <c r="BB49" s="2"/>
      <c r="BC49" s="2" t="str">
        <f>IFERROR(VLOOKUP(BE10,[1]데이터시트!$B$3:$N$196,9,FALSE),"")</f>
        <v/>
      </c>
      <c r="BD49" s="2" t="str">
        <f>IFERROR(VLOOKUP(BF10,[1]데이터시트!$B$3:$N$196,9,FALSE),"")</f>
        <v/>
      </c>
      <c r="BE49" s="2" t="str">
        <f>IFERROR(VLOOKUP(BH10,[1]데이터시트!$B$3:$N$196,9,FALSE),"")</f>
        <v/>
      </c>
      <c r="BF49"/>
      <c r="BG49"/>
      <c r="BH49"/>
    </row>
    <row r="50" spans="6:60" hidden="1" x14ac:dyDescent="0.3">
      <c r="F50" s="2" t="str">
        <f>IFERROR(VLOOKUP(F11,[1]데이터시트!$B$3:$N$196,9,FALSE),"")</f>
        <v>정보ㆍ통신</v>
      </c>
      <c r="G50" s="2" t="str">
        <f>IFERROR(VLOOKUP(G11,[1]데이터시트!$B$3:$N$196,9,FALSE),"")</f>
        <v/>
      </c>
      <c r="H50" s="2" t="str">
        <f>IFERROR(VLOOKUP(H11,[1]데이터시트!$B$3:$N$196,9,FALSE),"")</f>
        <v/>
      </c>
      <c r="I50" s="2"/>
      <c r="J50" s="2" t="str">
        <f>IFERROR(VLOOKUP(J11,[1]데이터시트!$B$3:$N$196,9,FALSE),"")</f>
        <v/>
      </c>
      <c r="K50" s="2" t="str">
        <f>IFERROR(VLOOKUP(K11,[1]데이터시트!$B$3:$N$196,9,FALSE),"")</f>
        <v>정보ㆍ통신</v>
      </c>
      <c r="L50" s="2" t="str">
        <f>IFERROR(VLOOKUP(L11,[1]데이터시트!$B$3:$N$196,9,FALSE),"")</f>
        <v/>
      </c>
      <c r="M50" s="2" t="str">
        <f>IFERROR(VLOOKUP(M11,[1]데이터시트!$B$3:$N$196,9,FALSE),"")</f>
        <v/>
      </c>
      <c r="N50" s="2"/>
      <c r="O50" s="2" t="str">
        <f>IFERROR(VLOOKUP(O11,[1]데이터시트!$B$3:$N$196,9,FALSE),"")</f>
        <v/>
      </c>
      <c r="P50" s="2" t="str">
        <f>IFERROR(VLOOKUP(P8,[1]데이터시트!$B$3:$N$196,9,FALSE),"")</f>
        <v>정보ㆍ통신</v>
      </c>
      <c r="Q50" s="2" t="str">
        <f>IFERROR(VLOOKUP(Q8,[1]데이터시트!$B$3:$N$196,9,FALSE),"")</f>
        <v/>
      </c>
      <c r="R50" s="2" t="str">
        <f>IFERROR(VLOOKUP(R8,[1]데이터시트!$B$3:$N$196,9,FALSE),"")</f>
        <v/>
      </c>
      <c r="S50" s="2"/>
      <c r="T50" s="2" t="str">
        <f>IFERROR(VLOOKUP(T8,[1]데이터시트!$B$3:$N$196,9,FALSE),"")</f>
        <v/>
      </c>
      <c r="U50" s="2" t="str">
        <f>IFERROR(VLOOKUP(U15,[1]데이터시트!$B$3:$N$196,9,FALSE),"")</f>
        <v>정보ㆍ통신</v>
      </c>
      <c r="V50" s="2" t="str">
        <f>IFERROR(VLOOKUP(V15,[1]데이터시트!$B$3:$N$196,9,FALSE),"")</f>
        <v/>
      </c>
      <c r="W50" s="2" t="str">
        <f>IFERROR(VLOOKUP(W15,[1]데이터시트!$B$3:$N$196,9,FALSE),"")</f>
        <v/>
      </c>
      <c r="X50" s="2"/>
      <c r="Y50" s="2" t="str">
        <f>IFERROR(VLOOKUP(Y15,[1]데이터시트!$B$3:$N$196,9,FALSE),"")</f>
        <v/>
      </c>
      <c r="Z50" s="2" t="str">
        <f>IFERROR(VLOOKUP(AB11,[1]데이터시트!$B$3:$N$196,9,FALSE),"")</f>
        <v/>
      </c>
      <c r="AA50" s="2" t="str">
        <f>IFERROR(VLOOKUP(AD11,[1]데이터시트!$B$3:$N$196,9,FALSE),"")</f>
        <v/>
      </c>
      <c r="AB50" s="2" t="str">
        <f>IFERROR(VLOOKUP(AE11,[1]데이터시트!$B$3:$N$196,9,FALSE),"")</f>
        <v/>
      </c>
      <c r="AC50" s="2"/>
      <c r="AD50" s="2" t="str">
        <f>IFERROR(VLOOKUP(AF11,[1]데이터시트!$B$3:$N$196,9,FALSE),"")</f>
        <v/>
      </c>
      <c r="AE50" s="2" t="str">
        <f>IFERROR(VLOOKUP(AG11,[1]데이터시트!$B$3:$N$196,9,FALSE),"")</f>
        <v/>
      </c>
      <c r="AF50" s="2" t="str">
        <f>IFERROR(VLOOKUP(AI11,[1]데이터시트!$B$3:$N$196,9,FALSE),"")</f>
        <v/>
      </c>
      <c r="AG50" s="2" t="str">
        <f>IFERROR(VLOOKUP(AJ11,[1]데이터시트!$B$3:$N$196,9,FALSE),"")</f>
        <v>바이오ㆍ의료ㆍ생명</v>
      </c>
      <c r="AH50" s="2"/>
      <c r="AI50" s="2" t="str">
        <f>IFERROR(VLOOKUP(AK11,[1]데이터시트!$B$3:$N$196,9,FALSE),"")</f>
        <v/>
      </c>
      <c r="AJ50" s="2" t="str">
        <f>IFERROR(VLOOKUP(AL11,[1]데이터시트!$B$3:$N$196,9,FALSE),"")</f>
        <v/>
      </c>
      <c r="AK50" s="2" t="str">
        <f>IFERROR(VLOOKUP(AN11,[1]데이터시트!$B$3:$N$196,9,FALSE),"")</f>
        <v/>
      </c>
      <c r="AL50" s="2" t="str">
        <f>IFERROR(VLOOKUP(AO19,[1]데이터시트!$B$3:$N$196,9,FALSE),"")</f>
        <v>바이오ㆍ의료ㆍ생명</v>
      </c>
      <c r="AM50" s="2"/>
      <c r="AN50" s="2" t="str">
        <f>IFERROR(VLOOKUP(AP19,[1]데이터시트!$B$3:$N$196,9,FALSE),"")</f>
        <v/>
      </c>
      <c r="AO50" s="2" t="str">
        <f>IFERROR(VLOOKUP(AQ19,[1]데이터시트!$B$3:$N$196,9,FALSE),"")</f>
        <v/>
      </c>
      <c r="AP50" s="2" t="str">
        <f>IFERROR(VLOOKUP(AS19,[1]데이터시트!$B$3:$N$196,9,FALSE),"")</f>
        <v/>
      </c>
      <c r="AQ50" s="2" t="str">
        <f>IFERROR(VLOOKUP(AT11,[1]데이터시트!$B$3:$N$196,9,FALSE),"")</f>
        <v/>
      </c>
      <c r="AR50" s="2"/>
      <c r="AS50" s="2" t="str">
        <f>IFERROR(VLOOKUP(AU11,[1]데이터시트!$B$3:$N$196,9,FALSE),"")</f>
        <v/>
      </c>
      <c r="AT50" s="2" t="str">
        <f>IFERROR(VLOOKUP(AV11,[1]데이터시트!$B$3:$N$196,9,FALSE),"")</f>
        <v/>
      </c>
      <c r="AU50" s="2" t="str">
        <f>IFERROR(VLOOKUP(AX11,[1]데이터시트!$B$3:$N$196,9,FALSE),"")</f>
        <v/>
      </c>
      <c r="AV50" s="2" t="str">
        <f>IFERROR(VLOOKUP(AY11,[1]데이터시트!$B$3:$N$196,9,FALSE),"")</f>
        <v/>
      </c>
      <c r="AW50" s="2"/>
      <c r="AX50" s="2" t="str">
        <f>IFERROR(VLOOKUP(AZ11,[1]데이터시트!$B$3:$N$196,9,FALSE),"")</f>
        <v/>
      </c>
      <c r="AY50" s="2" t="str">
        <f>IFERROR(VLOOKUP(BA11,[1]데이터시트!$B$3:$N$196,9,FALSE),"")</f>
        <v/>
      </c>
      <c r="AZ50" s="2" t="str">
        <f>IFERROR(VLOOKUP(BC11,[1]데이터시트!$B$3:$N$196,9,FALSE),"")</f>
        <v/>
      </c>
      <c r="BA50" s="2" t="str">
        <f>IFERROR(VLOOKUP(BD11,[1]데이터시트!$B$3:$N$196,9,FALSE),"")</f>
        <v/>
      </c>
      <c r="BB50" s="2"/>
      <c r="BC50" s="2" t="str">
        <f>IFERROR(VLOOKUP(BE11,[1]데이터시트!$B$3:$N$196,9,FALSE),"")</f>
        <v/>
      </c>
      <c r="BD50" s="2" t="str">
        <f>IFERROR(VLOOKUP(BF11,[1]데이터시트!$B$3:$N$196,9,FALSE),"")</f>
        <v/>
      </c>
      <c r="BE50" s="2" t="str">
        <f>IFERROR(VLOOKUP(BH11,[1]데이터시트!$B$3:$N$196,9,FALSE),"")</f>
        <v/>
      </c>
      <c r="BF50"/>
      <c r="BG50"/>
      <c r="BH50"/>
    </row>
    <row r="51" spans="6:60" hidden="1" x14ac:dyDescent="0.3">
      <c r="F51" s="2" t="str">
        <f>IFERROR(VLOOKUP(F9,[1]데이터시트!$B$3:$N$196,9,FALSE),"")</f>
        <v>정보ㆍ통신</v>
      </c>
      <c r="G51" s="2" t="str">
        <f>IFERROR(VLOOKUP(G9,[1]데이터시트!$B$3:$N$196,9,FALSE),"")</f>
        <v/>
      </c>
      <c r="H51" s="2" t="str">
        <f>IFERROR(VLOOKUP(H9,[1]데이터시트!$B$3:$N$196,9,FALSE),"")</f>
        <v/>
      </c>
      <c r="I51" s="2"/>
      <c r="J51" s="2" t="str">
        <f>IFERROR(VLOOKUP(J12,[1]데이터시트!$B$3:$N$196,9,FALSE),"")</f>
        <v/>
      </c>
      <c r="K51" s="2" t="str">
        <f>IFERROR(VLOOKUP(K12,[1]데이터시트!$B$3:$N$196,9,FALSE),"")</f>
        <v>정보ㆍ통신</v>
      </c>
      <c r="L51" s="2" t="str">
        <f>IFERROR(VLOOKUP(L12,[1]데이터시트!$B$3:$N$196,9,FALSE),"")</f>
        <v/>
      </c>
      <c r="M51" s="2" t="str">
        <f>IFERROR(VLOOKUP(M12,[1]데이터시트!$B$3:$N$196,9,FALSE),"")</f>
        <v/>
      </c>
      <c r="N51" s="2"/>
      <c r="O51" s="2" t="str">
        <f>IFERROR(VLOOKUP(O12,[1]데이터시트!$B$3:$N$196,9,FALSE),"")</f>
        <v/>
      </c>
      <c r="P51" s="2" t="str">
        <f>IFERROR(VLOOKUP(P16,[1]데이터시트!$B$3:$N$196,9,FALSE),"")</f>
        <v>정보ㆍ통신</v>
      </c>
      <c r="Q51" s="2" t="str">
        <f>IFERROR(VLOOKUP(Q16,[1]데이터시트!$B$3:$N$196,9,FALSE),"")</f>
        <v/>
      </c>
      <c r="R51" s="2" t="str">
        <f>IFERROR(VLOOKUP(R16,[1]데이터시트!$B$3:$N$196,9,FALSE),"")</f>
        <v/>
      </c>
      <c r="S51" s="2"/>
      <c r="T51" s="2" t="str">
        <f>IFERROR(VLOOKUP(T16,[1]데이터시트!$B$3:$N$196,9,FALSE),"")</f>
        <v/>
      </c>
      <c r="U51" s="2" t="str">
        <f>IFERROR(VLOOKUP(U12,[1]데이터시트!$B$3:$N$196,9,FALSE),"")</f>
        <v/>
      </c>
      <c r="V51" s="2" t="str">
        <f>IFERROR(VLOOKUP(V12,[1]데이터시트!$B$3:$N$196,9,FALSE),"")</f>
        <v/>
      </c>
      <c r="W51" s="2" t="str">
        <f>IFERROR(VLOOKUP(W12,[1]데이터시트!$B$3:$N$196,9,FALSE),"")</f>
        <v/>
      </c>
      <c r="X51" s="2"/>
      <c r="Y51" s="2" t="str">
        <f>IFERROR(VLOOKUP(Y12,[1]데이터시트!$B$3:$N$196,9,FALSE),"")</f>
        <v/>
      </c>
      <c r="Z51" s="2" t="str">
        <f>IFERROR(VLOOKUP(AB12,[1]데이터시트!$B$3:$N$196,9,FALSE),"")</f>
        <v/>
      </c>
      <c r="AA51" s="2" t="str">
        <f>IFERROR(VLOOKUP(AD12,[1]데이터시트!$B$3:$N$196,9,FALSE),"")</f>
        <v/>
      </c>
      <c r="AB51" s="2" t="str">
        <f>IFERROR(VLOOKUP(AE12,[1]데이터시트!$B$3:$N$196,9,FALSE),"")</f>
        <v/>
      </c>
      <c r="AC51" s="2"/>
      <c r="AD51" s="2" t="str">
        <f>IFERROR(VLOOKUP(AF12,[1]데이터시트!$B$3:$N$196,9,FALSE),"")</f>
        <v/>
      </c>
      <c r="AE51" s="2" t="str">
        <f>IFERROR(VLOOKUP(AG12,[1]데이터시트!$B$3:$N$196,9,FALSE),"")</f>
        <v/>
      </c>
      <c r="AF51" s="2" t="str">
        <f>IFERROR(VLOOKUP(AI12,[1]데이터시트!$B$3:$N$196,9,FALSE),"")</f>
        <v/>
      </c>
      <c r="AG51" s="2" t="str">
        <f>IFERROR(VLOOKUP(AJ20,[1]데이터시트!$B$3:$N$196,9,FALSE),"")</f>
        <v>바이오ㆍ의료ㆍ생명</v>
      </c>
      <c r="AH51" s="2"/>
      <c r="AI51" s="2" t="str">
        <f>IFERROR(VLOOKUP(AK20,[1]데이터시트!$B$3:$N$196,9,FALSE),"")</f>
        <v/>
      </c>
      <c r="AJ51" s="2" t="str">
        <f>IFERROR(VLOOKUP(AL20,[1]데이터시트!$B$3:$N$196,9,FALSE),"")</f>
        <v/>
      </c>
      <c r="AK51" s="2" t="str">
        <f>IFERROR(VLOOKUP(AN20,[1]데이터시트!$B$3:$N$196,9,FALSE),"")</f>
        <v/>
      </c>
      <c r="AL51" s="2" t="str">
        <f>IFERROR(VLOOKUP(AO10,[1]데이터시트!$B$3:$N$196,9,FALSE),"")</f>
        <v>바이오ㆍ의료ㆍ생명</v>
      </c>
      <c r="AM51" s="2"/>
      <c r="AN51" s="2" t="str">
        <f>IFERROR(VLOOKUP(AP10,[1]데이터시트!$B$3:$N$196,9,FALSE),"")</f>
        <v/>
      </c>
      <c r="AO51" s="2" t="str">
        <f>IFERROR(VLOOKUP(AQ10,[1]데이터시트!$B$3:$N$196,9,FALSE),"")</f>
        <v/>
      </c>
      <c r="AP51" s="2" t="str">
        <f>IFERROR(VLOOKUP(AS10,[1]데이터시트!$B$3:$N$196,9,FALSE),"")</f>
        <v/>
      </c>
      <c r="AQ51" s="2" t="str">
        <f>IFERROR(VLOOKUP(AT12,[1]데이터시트!$B$3:$N$196,9,FALSE),"")</f>
        <v/>
      </c>
      <c r="AR51" s="2"/>
      <c r="AS51" s="2" t="str">
        <f>IFERROR(VLOOKUP(AU12,[1]데이터시트!$B$3:$N$196,9,FALSE),"")</f>
        <v/>
      </c>
      <c r="AT51" s="2" t="str">
        <f>IFERROR(VLOOKUP(AV12,[1]데이터시트!$B$3:$N$196,9,FALSE),"")</f>
        <v/>
      </c>
      <c r="AU51" s="2" t="str">
        <f>IFERROR(VLOOKUP(AX12,[1]데이터시트!$B$3:$N$196,9,FALSE),"")</f>
        <v/>
      </c>
      <c r="AV51" s="2" t="str">
        <f>IFERROR(VLOOKUP(AY12,[1]데이터시트!$B$3:$N$196,9,FALSE),"")</f>
        <v/>
      </c>
      <c r="AW51" s="2"/>
      <c r="AX51" s="2" t="str">
        <f>IFERROR(VLOOKUP(AZ12,[1]데이터시트!$B$3:$N$196,9,FALSE),"")</f>
        <v/>
      </c>
      <c r="AY51" s="2" t="str">
        <f>IFERROR(VLOOKUP(BA12,[1]데이터시트!$B$3:$N$196,9,FALSE),"")</f>
        <v/>
      </c>
      <c r="AZ51" s="2" t="str">
        <f>IFERROR(VLOOKUP(BC12,[1]데이터시트!$B$3:$N$196,9,FALSE),"")</f>
        <v/>
      </c>
      <c r="BA51" s="2" t="str">
        <f>IFERROR(VLOOKUP(BD12,[1]데이터시트!$B$3:$N$196,9,FALSE),"")</f>
        <v/>
      </c>
      <c r="BB51" s="2"/>
      <c r="BC51" s="2" t="str">
        <f>IFERROR(VLOOKUP(BE12,[1]데이터시트!$B$3:$N$196,9,FALSE),"")</f>
        <v/>
      </c>
      <c r="BD51" s="2" t="str">
        <f>IFERROR(VLOOKUP(BF12,[1]데이터시트!$B$3:$N$196,9,FALSE),"")</f>
        <v/>
      </c>
      <c r="BE51" s="2" t="str">
        <f>IFERROR(VLOOKUP(BH12,[1]데이터시트!$B$3:$N$196,9,FALSE),"")</f>
        <v/>
      </c>
      <c r="BF51"/>
      <c r="BG51"/>
      <c r="BH51"/>
    </row>
    <row r="52" spans="6:60" hidden="1" x14ac:dyDescent="0.3">
      <c r="F52" s="2" t="str">
        <f>IFERROR(VLOOKUP(F13,[1]데이터시트!$B$3:$N$196,9,FALSE),"")</f>
        <v/>
      </c>
      <c r="G52" s="2" t="str">
        <f>IFERROR(VLOOKUP(G13,[1]데이터시트!$B$3:$N$196,9,FALSE),"")</f>
        <v/>
      </c>
      <c r="H52" s="2" t="str">
        <f>IFERROR(VLOOKUP(H13,[1]데이터시트!$B$3:$N$196,9,FALSE),"")</f>
        <v/>
      </c>
      <c r="I52" s="2"/>
      <c r="J52" s="2" t="str">
        <f>IFERROR(VLOOKUP(J13,[1]데이터시트!$B$3:$N$196,9,FALSE),"")</f>
        <v/>
      </c>
      <c r="K52" s="2" t="str">
        <f>IFERROR(VLOOKUP(K13,[1]데이터시트!$B$3:$N$196,9,FALSE),"")</f>
        <v/>
      </c>
      <c r="L52" s="2" t="str">
        <f>IFERROR(VLOOKUP(L13,[1]데이터시트!$B$3:$N$196,9,FALSE),"")</f>
        <v/>
      </c>
      <c r="M52" s="2" t="str">
        <f>IFERROR(VLOOKUP(M13,[1]데이터시트!$B$3:$N$196,9,FALSE),"")</f>
        <v/>
      </c>
      <c r="N52" s="2"/>
      <c r="O52" s="2" t="str">
        <f>IFERROR(VLOOKUP(O13,[1]데이터시트!$B$3:$N$196,9,FALSE),"")</f>
        <v/>
      </c>
      <c r="P52" s="2" t="str">
        <f>IFERROR(VLOOKUP(P13,[1]데이터시트!$B$3:$N$196,9,FALSE),"")</f>
        <v/>
      </c>
      <c r="Q52" s="2" t="str">
        <f>IFERROR(VLOOKUP(Q13,[1]데이터시트!$B$3:$N$196,9,FALSE),"")</f>
        <v/>
      </c>
      <c r="R52" s="2" t="str">
        <f>IFERROR(VLOOKUP(R13,[1]데이터시트!$B$3:$N$196,9,FALSE),"")</f>
        <v/>
      </c>
      <c r="S52" s="2"/>
      <c r="T52" s="2" t="str">
        <f>IFERROR(VLOOKUP(T13,[1]데이터시트!$B$3:$N$196,9,FALSE),"")</f>
        <v/>
      </c>
      <c r="U52" s="2" t="str">
        <f>IFERROR(VLOOKUP(U13,[1]데이터시트!$B$3:$N$196,9,FALSE),"")</f>
        <v/>
      </c>
      <c r="V52" s="2" t="str">
        <f>IFERROR(VLOOKUP(V13,[1]데이터시트!$B$3:$N$196,9,FALSE),"")</f>
        <v/>
      </c>
      <c r="W52" s="2" t="str">
        <f>IFERROR(VLOOKUP(W13,[1]데이터시트!$B$3:$N$196,9,FALSE),"")</f>
        <v/>
      </c>
      <c r="X52" s="2"/>
      <c r="Y52" s="2" t="str">
        <f>IFERROR(VLOOKUP(Y13,[1]데이터시트!$B$3:$N$196,9,FALSE),"")</f>
        <v/>
      </c>
      <c r="Z52" s="2" t="str">
        <f>IFERROR(VLOOKUP(AB13,[1]데이터시트!$B$3:$N$196,9,FALSE),"")</f>
        <v/>
      </c>
      <c r="AA52" s="2" t="str">
        <f>IFERROR(VLOOKUP(AD13,[1]데이터시트!$B$3:$N$196,9,FALSE),"")</f>
        <v/>
      </c>
      <c r="AB52" s="2" t="str">
        <f>IFERROR(VLOOKUP(AE13,[1]데이터시트!$B$3:$N$196,9,FALSE),"")</f>
        <v/>
      </c>
      <c r="AC52" s="2"/>
      <c r="AD52" s="2" t="str">
        <f>IFERROR(VLOOKUP(AF13,[1]데이터시트!$B$3:$N$196,9,FALSE),"")</f>
        <v/>
      </c>
      <c r="AE52" s="2" t="str">
        <f>IFERROR(VLOOKUP(AG13,[1]데이터시트!$B$3:$N$196,9,FALSE),"")</f>
        <v/>
      </c>
      <c r="AF52" s="2" t="str">
        <f>IFERROR(VLOOKUP(AI13,[1]데이터시트!$B$3:$N$196,9,FALSE),"")</f>
        <v/>
      </c>
      <c r="AG52" s="2" t="str">
        <f>IFERROR(VLOOKUP(AJ13,[1]데이터시트!$B$3:$N$196,9,FALSE),"")</f>
        <v/>
      </c>
      <c r="AH52" s="2"/>
      <c r="AI52" s="2" t="str">
        <f>IFERROR(VLOOKUP(AK13,[1]데이터시트!$B$3:$N$196,9,FALSE),"")</f>
        <v/>
      </c>
      <c r="AJ52" s="2" t="str">
        <f>IFERROR(VLOOKUP(AL13,[1]데이터시트!$B$3:$N$196,9,FALSE),"")</f>
        <v/>
      </c>
      <c r="AK52" s="2" t="str">
        <f>IFERROR(VLOOKUP(AN13,[1]데이터시트!$B$3:$N$196,9,FALSE),"")</f>
        <v/>
      </c>
      <c r="AL52" s="2" t="str">
        <f>IFERROR(VLOOKUP(AO13,[1]데이터시트!$B$3:$N$196,9,FALSE),"")</f>
        <v/>
      </c>
      <c r="AM52" s="2"/>
      <c r="AN52" s="2" t="str">
        <f>IFERROR(VLOOKUP(AP13,[1]데이터시트!$B$3:$N$196,9,FALSE),"")</f>
        <v/>
      </c>
      <c r="AO52" s="2" t="str">
        <f>IFERROR(VLOOKUP(AQ13,[1]데이터시트!$B$3:$N$196,9,FALSE),"")</f>
        <v/>
      </c>
      <c r="AP52" s="2" t="str">
        <f>IFERROR(VLOOKUP(AS13,[1]데이터시트!$B$3:$N$196,9,FALSE),"")</f>
        <v/>
      </c>
      <c r="AQ52" s="2" t="str">
        <f>IFERROR(VLOOKUP(AT13,[1]데이터시트!$B$3:$N$196,9,FALSE),"")</f>
        <v/>
      </c>
      <c r="AR52" s="2"/>
      <c r="AS52" s="2" t="str">
        <f>IFERROR(VLOOKUP(AU13,[1]데이터시트!$B$3:$N$196,9,FALSE),"")</f>
        <v/>
      </c>
      <c r="AT52" s="2" t="str">
        <f>IFERROR(VLOOKUP(AV13,[1]데이터시트!$B$3:$N$196,9,FALSE),"")</f>
        <v/>
      </c>
      <c r="AU52" s="2" t="str">
        <f>IFERROR(VLOOKUP(AX13,[1]데이터시트!$B$3:$N$196,9,FALSE),"")</f>
        <v/>
      </c>
      <c r="AV52" s="2" t="str">
        <f>IFERROR(VLOOKUP(AY13,[1]데이터시트!$B$3:$N$196,9,FALSE),"")</f>
        <v/>
      </c>
      <c r="AW52" s="2"/>
      <c r="AX52" s="2" t="str">
        <f>IFERROR(VLOOKUP(AZ13,[1]데이터시트!$B$3:$N$196,9,FALSE),"")</f>
        <v/>
      </c>
      <c r="AY52" s="2" t="str">
        <f>IFERROR(VLOOKUP(BA13,[1]데이터시트!$B$3:$N$196,9,FALSE),"")</f>
        <v/>
      </c>
      <c r="AZ52" s="2" t="str">
        <f>IFERROR(VLOOKUP(BC13,[1]데이터시트!$B$3:$N$196,9,FALSE),"")</f>
        <v/>
      </c>
      <c r="BA52" s="2" t="str">
        <f>IFERROR(VLOOKUP(BD13,[1]데이터시트!$B$3:$N$196,9,FALSE),"")</f>
        <v/>
      </c>
      <c r="BB52" s="2"/>
      <c r="BC52" s="2" t="str">
        <f>IFERROR(VLOOKUP(BE13,[1]데이터시트!$B$3:$N$196,9,FALSE),"")</f>
        <v/>
      </c>
      <c r="BD52" s="2" t="str">
        <f>IFERROR(VLOOKUP(BF13,[1]데이터시트!$B$3:$N$196,9,FALSE),"")</f>
        <v/>
      </c>
      <c r="BE52" s="2" t="str">
        <f>IFERROR(VLOOKUP(BH13,[1]데이터시트!$B$3:$N$196,9,FALSE),"")</f>
        <v/>
      </c>
      <c r="BF52"/>
      <c r="BG52"/>
      <c r="BH52"/>
    </row>
    <row r="53" spans="6:60" hidden="1" x14ac:dyDescent="0.3">
      <c r="F53" s="2" t="str">
        <f>IFERROR(VLOOKUP(F8,[1]데이터시트!$B$3:$N$196,9,FALSE),"")</f>
        <v>정보ㆍ통신</v>
      </c>
      <c r="G53" s="2" t="str">
        <f>IFERROR(VLOOKUP(G8,[1]데이터시트!$B$3:$N$196,9,FALSE),"")</f>
        <v/>
      </c>
      <c r="H53" s="2" t="str">
        <f>IFERROR(VLOOKUP(H8,[1]데이터시트!$B$3:$N$196,9,FALSE),"")</f>
        <v/>
      </c>
      <c r="I53" s="2"/>
      <c r="J53" s="2" t="str">
        <f>IFERROR(VLOOKUP(J14,[1]데이터시트!$B$3:$N$196,9,FALSE),"")</f>
        <v/>
      </c>
      <c r="K53" s="2" t="str">
        <f>IFERROR(VLOOKUP(K15,[1]데이터시트!$B$3:$N$196,9,FALSE),"")</f>
        <v>정보ㆍ통신</v>
      </c>
      <c r="L53" s="2" t="str">
        <f>IFERROR(VLOOKUP(L15,[1]데이터시트!$B$3:$N$196,9,FALSE),"")</f>
        <v/>
      </c>
      <c r="M53" s="2" t="str">
        <f>IFERROR(VLOOKUP(M15,[1]데이터시트!$B$3:$N$196,9,FALSE),"")</f>
        <v/>
      </c>
      <c r="N53" s="2"/>
      <c r="O53" s="2" t="str">
        <f>IFERROR(VLOOKUP(O15,[1]데이터시트!$B$3:$N$196,9,FALSE),"")</f>
        <v/>
      </c>
      <c r="P53" s="2" t="str">
        <f>IFERROR(VLOOKUP(P14,[1]데이터시트!$B$3:$N$196,9,FALSE),"")</f>
        <v>정보ㆍ통신</v>
      </c>
      <c r="Q53" s="2" t="str">
        <f>IFERROR(VLOOKUP(Q14,[1]데이터시트!$B$3:$N$196,9,FALSE),"")</f>
        <v/>
      </c>
      <c r="R53" s="2" t="str">
        <f>IFERROR(VLOOKUP(R14,[1]데이터시트!$B$3:$N$196,9,FALSE),"")</f>
        <v/>
      </c>
      <c r="S53" s="2"/>
      <c r="T53" s="2" t="str">
        <f>IFERROR(VLOOKUP(T14,[1]데이터시트!$B$3:$N$196,9,FALSE),"")</f>
        <v/>
      </c>
      <c r="U53" s="2" t="str">
        <f>IFERROR(VLOOKUP(#REF!,[1]데이터시트!$B$3:$N$196,9,FALSE),"")</f>
        <v/>
      </c>
      <c r="V53" s="2" t="str">
        <f>IFERROR(VLOOKUP(#REF!,[1]데이터시트!$B$3:$N$196,9,FALSE),"")</f>
        <v/>
      </c>
      <c r="W53" s="2" t="str">
        <f>IFERROR(VLOOKUP(#REF!,[1]데이터시트!$B$3:$N$196,9,FALSE),"")</f>
        <v/>
      </c>
      <c r="X53" s="2"/>
      <c r="Y53" s="2" t="str">
        <f>IFERROR(VLOOKUP(#REF!,[1]데이터시트!$B$3:$N$196,9,FALSE),"")</f>
        <v/>
      </c>
      <c r="Z53" s="2" t="str">
        <f>IFERROR(VLOOKUP(AB14,[1]데이터시트!$B$3:$N$196,9,FALSE),"")</f>
        <v/>
      </c>
      <c r="AA53" s="2" t="str">
        <f>IFERROR(VLOOKUP(AD14,[1]데이터시트!$B$3:$N$196,9,FALSE),"")</f>
        <v/>
      </c>
      <c r="AB53" s="2" t="str">
        <f>IFERROR(VLOOKUP(AE14,[1]데이터시트!$B$3:$N$196,9,FALSE),"")</f>
        <v/>
      </c>
      <c r="AC53" s="2"/>
      <c r="AD53" s="2" t="str">
        <f>IFERROR(VLOOKUP(AF14,[1]데이터시트!$B$3:$N$196,9,FALSE),"")</f>
        <v/>
      </c>
      <c r="AE53" s="2" t="str">
        <f>IFERROR(VLOOKUP(AG14,[1]데이터시트!$B$3:$N$196,9,FALSE),"")</f>
        <v/>
      </c>
      <c r="AF53" s="2" t="str">
        <f>IFERROR(VLOOKUP(AI14,[1]데이터시트!$B$3:$N$196,9,FALSE),"")</f>
        <v/>
      </c>
      <c r="AG53" s="2" t="str">
        <f>IFERROR(VLOOKUP(AJ14,[1]데이터시트!$B$3:$N$196,9,FALSE),"")</f>
        <v>바이오ㆍ의료ㆍ생명</v>
      </c>
      <c r="AH53" s="2"/>
      <c r="AI53" s="2" t="str">
        <f>IFERROR(VLOOKUP(AK14,[1]데이터시트!$B$3:$N$196,9,FALSE),"")</f>
        <v/>
      </c>
      <c r="AJ53" s="2" t="str">
        <f>IFERROR(VLOOKUP(AL14,[1]데이터시트!$B$3:$N$196,9,FALSE),"")</f>
        <v/>
      </c>
      <c r="AK53" s="2" t="str">
        <f>IFERROR(VLOOKUP(AN14,[1]데이터시트!$B$3:$N$196,9,FALSE),"")</f>
        <v/>
      </c>
      <c r="AL53" s="2" t="str">
        <f>IFERROR(VLOOKUP(#REF!,[1]데이터시트!$B$3:$N$196,9,FALSE),"")</f>
        <v/>
      </c>
      <c r="AM53" s="2"/>
      <c r="AN53" s="2" t="str">
        <f>IFERROR(VLOOKUP(#REF!,[1]데이터시트!$B$3:$N$196,9,FALSE),"")</f>
        <v/>
      </c>
      <c r="AO53" s="2" t="str">
        <f>IFERROR(VLOOKUP(#REF!,[1]데이터시트!$B$3:$N$196,9,FALSE),"")</f>
        <v/>
      </c>
      <c r="AP53" s="2" t="str">
        <f>IFERROR(VLOOKUP(#REF!,[1]데이터시트!$B$3:$N$196,9,FALSE),"")</f>
        <v/>
      </c>
      <c r="AQ53" s="2" t="str">
        <f>IFERROR(VLOOKUP(AT14,[1]데이터시트!$B$3:$N$196,9,FALSE),"")</f>
        <v/>
      </c>
      <c r="AR53" s="2"/>
      <c r="AS53" s="2" t="str">
        <f>IFERROR(VLOOKUP(AU14,[1]데이터시트!$B$3:$N$196,9,FALSE),"")</f>
        <v/>
      </c>
      <c r="AT53" s="2" t="str">
        <f>IFERROR(VLOOKUP(AV14,[1]데이터시트!$B$3:$N$196,9,FALSE),"")</f>
        <v/>
      </c>
      <c r="AU53" s="2" t="str">
        <f>IFERROR(VLOOKUP(AX14,[1]데이터시트!$B$3:$N$196,9,FALSE),"")</f>
        <v/>
      </c>
      <c r="AV53" s="2" t="str">
        <f>IFERROR(VLOOKUP(AY14,[1]데이터시트!$B$3:$N$196,9,FALSE),"")</f>
        <v/>
      </c>
      <c r="AW53" s="2"/>
      <c r="AX53" s="2" t="str">
        <f>IFERROR(VLOOKUP(AZ14,[1]데이터시트!$B$3:$N$196,9,FALSE),"")</f>
        <v/>
      </c>
      <c r="AY53" s="2" t="str">
        <f>IFERROR(VLOOKUP(BA14,[1]데이터시트!$B$3:$N$196,9,FALSE),"")</f>
        <v/>
      </c>
      <c r="AZ53" s="2" t="str">
        <f>IFERROR(VLOOKUP(BC14,[1]데이터시트!$B$3:$N$196,9,FALSE),"")</f>
        <v/>
      </c>
      <c r="BA53" s="2" t="str">
        <f>IFERROR(VLOOKUP(BD14,[1]데이터시트!$B$3:$N$196,9,FALSE),"")</f>
        <v/>
      </c>
      <c r="BB53" s="2"/>
      <c r="BC53" s="2" t="str">
        <f>IFERROR(VLOOKUP(BE14,[1]데이터시트!$B$3:$N$196,9,FALSE),"")</f>
        <v/>
      </c>
      <c r="BD53" s="2" t="str">
        <f>IFERROR(VLOOKUP(BF14,[1]데이터시트!$B$3:$N$196,9,FALSE),"")</f>
        <v/>
      </c>
      <c r="BE53" s="2" t="str">
        <f>IFERROR(VLOOKUP(BH14,[1]데이터시트!$B$3:$N$196,9,FALSE),"")</f>
        <v/>
      </c>
      <c r="BF53"/>
      <c r="BG53"/>
      <c r="BH53"/>
    </row>
    <row r="54" spans="6:60" hidden="1" x14ac:dyDescent="0.3">
      <c r="F54" s="2" t="str">
        <f>IFERROR(VLOOKUP(F18,[1]데이터시트!$B$3:$N$196,9,FALSE),"")</f>
        <v>정보ㆍ통신</v>
      </c>
      <c r="G54" s="2" t="str">
        <f>IFERROR(VLOOKUP(G18,[1]데이터시트!$B$3:$N$196,9,FALSE),"")</f>
        <v/>
      </c>
      <c r="H54" s="2" t="str">
        <f>IFERROR(VLOOKUP(H18,[1]데이터시트!$B$3:$N$196,9,FALSE),"")</f>
        <v/>
      </c>
      <c r="I54" s="2"/>
      <c r="J54" s="2" t="str">
        <f>IFERROR(VLOOKUP(J15,[1]데이터시트!$B$3:$N$196,9,FALSE),"")</f>
        <v/>
      </c>
      <c r="K54" s="2" t="str">
        <f>IFERROR(VLOOKUP(K10,[1]데이터시트!$B$3:$N$196,9,FALSE),"")</f>
        <v>정보ㆍ통신</v>
      </c>
      <c r="L54" s="2" t="str">
        <f>IFERROR(VLOOKUP(L10,[1]데이터시트!$B$3:$N$196,9,FALSE),"")</f>
        <v/>
      </c>
      <c r="M54" s="2" t="str">
        <f>IFERROR(VLOOKUP(M10,[1]데이터시트!$B$3:$N$196,9,FALSE),"")</f>
        <v/>
      </c>
      <c r="N54" s="2"/>
      <c r="O54" s="2" t="str">
        <f>IFERROR(VLOOKUP(O10,[1]데이터시트!$B$3:$N$196,9,FALSE),"")</f>
        <v/>
      </c>
      <c r="P54" s="2" t="str">
        <f>IFERROR(VLOOKUP(P10,[1]데이터시트!$B$3:$N$196,9,FALSE),"")</f>
        <v>정보ㆍ통신</v>
      </c>
      <c r="Q54" s="2" t="str">
        <f>IFERROR(VLOOKUP(Q10,[1]데이터시트!$B$3:$N$196,9,FALSE),"")</f>
        <v/>
      </c>
      <c r="R54" s="2" t="str">
        <f>IFERROR(VLOOKUP(R10,[1]데이터시트!$B$3:$N$196,9,FALSE),"")</f>
        <v/>
      </c>
      <c r="S54" s="2"/>
      <c r="T54" s="2" t="str">
        <f>IFERROR(VLOOKUP(T10,[1]데이터시트!$B$3:$N$196,9,FALSE),"")</f>
        <v/>
      </c>
      <c r="U54" s="2" t="str">
        <f>IFERROR(VLOOKUP(U30,[1]데이터시트!$B$3:$N$196,9,FALSE),"")</f>
        <v>정보ㆍ통신</v>
      </c>
      <c r="V54" s="2" t="str">
        <f>IFERROR(VLOOKUP(V30,[1]데이터시트!$B$3:$N$196,9,FALSE),"")</f>
        <v/>
      </c>
      <c r="W54" s="2" t="str">
        <f>IFERROR(VLOOKUP(W30,[1]데이터시트!$B$3:$N$196,9,FALSE),"")</f>
        <v/>
      </c>
      <c r="X54" s="2"/>
      <c r="Y54" s="2" t="str">
        <f>IFERROR(VLOOKUP(Y30,[1]데이터시트!$B$3:$N$196,9,FALSE),"")</f>
        <v/>
      </c>
      <c r="Z54" s="2" t="str">
        <f>IFERROR(VLOOKUP(AB15,[1]데이터시트!$B$3:$N$196,9,FALSE),"")</f>
        <v/>
      </c>
      <c r="AA54" s="2" t="str">
        <f>IFERROR(VLOOKUP(AD15,[1]데이터시트!$B$3:$N$196,9,FALSE),"")</f>
        <v/>
      </c>
      <c r="AB54" s="2" t="str">
        <f>IFERROR(VLOOKUP(AE15,[1]데이터시트!$B$3:$N$196,9,FALSE),"")</f>
        <v/>
      </c>
      <c r="AC54" s="2"/>
      <c r="AD54" s="2" t="str">
        <f>IFERROR(VLOOKUP(AF15,[1]데이터시트!$B$3:$N$196,9,FALSE),"")</f>
        <v/>
      </c>
      <c r="AE54" s="2" t="str">
        <f>IFERROR(VLOOKUP(AG15,[1]데이터시트!$B$3:$N$196,9,FALSE),"")</f>
        <v/>
      </c>
      <c r="AF54" s="2" t="str">
        <f>IFERROR(VLOOKUP(AI15,[1]데이터시트!$B$3:$N$196,9,FALSE),"")</f>
        <v/>
      </c>
      <c r="AG54" s="2" t="str">
        <f>IFERROR(VLOOKUP(AJ15,[1]데이터시트!$B$3:$N$196,9,FALSE),"")</f>
        <v>바이오ㆍ의료ㆍ생명</v>
      </c>
      <c r="AH54" s="2"/>
      <c r="AI54" s="2" t="str">
        <f>IFERROR(VLOOKUP(AK15,[1]데이터시트!$B$3:$N$196,9,FALSE),"")</f>
        <v/>
      </c>
      <c r="AJ54" s="2" t="str">
        <f>IFERROR(VLOOKUP(AL15,[1]데이터시트!$B$3:$N$196,9,FALSE),"")</f>
        <v/>
      </c>
      <c r="AK54" s="2" t="str">
        <f>IFERROR(VLOOKUP(AN15,[1]데이터시트!$B$3:$N$196,9,FALSE),"")</f>
        <v/>
      </c>
      <c r="AL54" s="2" t="str">
        <f>IFERROR(VLOOKUP(AO14,[1]데이터시트!$B$3:$N$196,9,FALSE),"")</f>
        <v>바이오ㆍ의료ㆍ생명</v>
      </c>
      <c r="AM54" s="2"/>
      <c r="AN54" s="2" t="str">
        <f>IFERROR(VLOOKUP(AP14,[1]데이터시트!$B$3:$N$196,9,FALSE),"")</f>
        <v/>
      </c>
      <c r="AO54" s="2" t="str">
        <f>IFERROR(VLOOKUP(AQ14,[1]데이터시트!$B$3:$N$196,9,FALSE),"")</f>
        <v/>
      </c>
      <c r="AP54" s="2" t="str">
        <f>IFERROR(VLOOKUP(AS14,[1]데이터시트!$B$3:$N$196,9,FALSE),"")</f>
        <v/>
      </c>
      <c r="AQ54" s="2" t="str">
        <f>IFERROR(VLOOKUP(AT15,[1]데이터시트!$B$3:$N$196,9,FALSE),"")</f>
        <v/>
      </c>
      <c r="AR54" s="2"/>
      <c r="AS54" s="2" t="str">
        <f>IFERROR(VLOOKUP(AU15,[1]데이터시트!$B$3:$N$196,9,FALSE),"")</f>
        <v/>
      </c>
      <c r="AT54" s="2" t="str">
        <f>IFERROR(VLOOKUP(AV15,[1]데이터시트!$B$3:$N$196,9,FALSE),"")</f>
        <v/>
      </c>
      <c r="AU54" s="2" t="str">
        <f>IFERROR(VLOOKUP(AX15,[1]데이터시트!$B$3:$N$196,9,FALSE),"")</f>
        <v/>
      </c>
      <c r="AV54" s="2" t="str">
        <f>IFERROR(VLOOKUP(AY15,[1]데이터시트!$B$3:$N$196,9,FALSE),"")</f>
        <v/>
      </c>
      <c r="AW54" s="2"/>
      <c r="AX54" s="2" t="str">
        <f>IFERROR(VLOOKUP(AZ15,[1]데이터시트!$B$3:$N$196,9,FALSE),"")</f>
        <v/>
      </c>
      <c r="AY54" s="2" t="str">
        <f>IFERROR(VLOOKUP(BA15,[1]데이터시트!$B$3:$N$196,9,FALSE),"")</f>
        <v/>
      </c>
      <c r="AZ54" s="2" t="str">
        <f>IFERROR(VLOOKUP(BC15,[1]데이터시트!$B$3:$N$196,9,FALSE),"")</f>
        <v/>
      </c>
      <c r="BA54" s="2" t="str">
        <f>IFERROR(VLOOKUP(BD15,[1]데이터시트!$B$3:$N$196,9,FALSE),"")</f>
        <v/>
      </c>
      <c r="BB54" s="2"/>
      <c r="BC54" s="2" t="str">
        <f>IFERROR(VLOOKUP(BE15,[1]데이터시트!$B$3:$N$196,9,FALSE),"")</f>
        <v/>
      </c>
      <c r="BD54" s="2" t="str">
        <f>IFERROR(VLOOKUP(BF15,[1]데이터시트!$B$3:$N$196,9,FALSE),"")</f>
        <v/>
      </c>
      <c r="BE54" s="2" t="str">
        <f>IFERROR(VLOOKUP(BH15,[1]데이터시트!$B$3:$N$196,9,FALSE),"")</f>
        <v/>
      </c>
      <c r="BF54"/>
      <c r="BG54"/>
      <c r="BH54"/>
    </row>
    <row r="55" spans="6:60" hidden="1" x14ac:dyDescent="0.3">
      <c r="F55" s="2" t="str">
        <f>IFERROR(VLOOKUP(F19,[1]데이터시트!$B$3:$N$196,9,FALSE),"")</f>
        <v>정보ㆍ통신</v>
      </c>
      <c r="G55" s="2" t="str">
        <f>IFERROR(VLOOKUP(G19,[1]데이터시트!$B$3:$N$196,9,FALSE),"")</f>
        <v/>
      </c>
      <c r="H55" s="2" t="str">
        <f>IFERROR(VLOOKUP(H19,[1]데이터시트!$B$3:$N$196,9,FALSE),"")</f>
        <v/>
      </c>
      <c r="I55" s="2"/>
      <c r="J55" s="2" t="str">
        <f>IFERROR(VLOOKUP(J16,[1]데이터시트!$B$3:$N$196,9,FALSE),"")</f>
        <v/>
      </c>
      <c r="K55" s="2" t="str">
        <f>IFERROR(VLOOKUP(K8,[1]데이터시트!$B$3:$N$196,9,FALSE),"")</f>
        <v>정보ㆍ통신</v>
      </c>
      <c r="L55" s="2" t="str">
        <f>IFERROR(VLOOKUP(L8,[1]데이터시트!$B$3:$N$196,9,FALSE),"")</f>
        <v/>
      </c>
      <c r="M55" s="2" t="str">
        <f>IFERROR(VLOOKUP(M8,[1]데이터시트!$B$3:$N$196,9,FALSE),"")</f>
        <v/>
      </c>
      <c r="N55" s="2"/>
      <c r="O55" s="2" t="str">
        <f>IFERROR(VLOOKUP(O8,[1]데이터시트!$B$3:$N$196,9,FALSE),"")</f>
        <v/>
      </c>
      <c r="P55" s="2" t="str">
        <f>IFERROR(VLOOKUP(P11,[1]데이터시트!$B$3:$N$196,9,FALSE),"")</f>
        <v>정보ㆍ통신</v>
      </c>
      <c r="Q55" s="2" t="str">
        <f>IFERROR(VLOOKUP(Q11,[1]데이터시트!$B$3:$N$196,9,FALSE),"")</f>
        <v/>
      </c>
      <c r="R55" s="2" t="str">
        <f>IFERROR(VLOOKUP(R11,[1]데이터시트!$B$3:$N$196,9,FALSE),"")</f>
        <v/>
      </c>
      <c r="S55" s="2"/>
      <c r="T55" s="2" t="str">
        <f>IFERROR(VLOOKUP(T11,[1]데이터시트!$B$3:$N$196,9,FALSE),"")</f>
        <v/>
      </c>
      <c r="U55" s="2" t="str">
        <f>IFERROR(VLOOKUP(U17,[1]데이터시트!$B$3:$N$196,9,FALSE),"")</f>
        <v>정보ㆍ통신</v>
      </c>
      <c r="V55" s="2" t="str">
        <f>IFERROR(VLOOKUP(V17,[1]데이터시트!$B$3:$N$196,9,FALSE),"")</f>
        <v/>
      </c>
      <c r="W55" s="2" t="str">
        <f>IFERROR(VLOOKUP(W17,[1]데이터시트!$B$3:$N$196,9,FALSE),"")</f>
        <v/>
      </c>
      <c r="X55" s="2"/>
      <c r="Y55" s="2" t="str">
        <f>IFERROR(VLOOKUP(Y17,[1]데이터시트!$B$3:$N$196,9,FALSE),"")</f>
        <v/>
      </c>
      <c r="Z55" s="2" t="str">
        <f>IFERROR(VLOOKUP(AB16,[1]데이터시트!$B$3:$N$196,9,FALSE),"")</f>
        <v/>
      </c>
      <c r="AA55" s="2" t="str">
        <f>IFERROR(VLOOKUP(AD16,[1]데이터시트!$B$3:$N$196,9,FALSE),"")</f>
        <v/>
      </c>
      <c r="AB55" s="2" t="str">
        <f>IFERROR(VLOOKUP(AE16,[1]데이터시트!$B$3:$N$196,9,FALSE),"")</f>
        <v/>
      </c>
      <c r="AC55" s="2"/>
      <c r="AD55" s="2" t="str">
        <f>IFERROR(VLOOKUP(AF16,[1]데이터시트!$B$3:$N$196,9,FALSE),"")</f>
        <v/>
      </c>
      <c r="AE55" s="2" t="str">
        <f>IFERROR(VLOOKUP(AG16,[1]데이터시트!$B$3:$N$196,9,FALSE),"")</f>
        <v/>
      </c>
      <c r="AF55" s="2" t="str">
        <f>IFERROR(VLOOKUP(AI16,[1]데이터시트!$B$3:$N$196,9,FALSE),"")</f>
        <v/>
      </c>
      <c r="AG55" s="2" t="str">
        <f>IFERROR(VLOOKUP(AJ16,[1]데이터시트!$B$3:$N$196,9,FALSE),"")</f>
        <v>바이오ㆍ의료ㆍ생명</v>
      </c>
      <c r="AH55" s="2"/>
      <c r="AI55" s="2" t="str">
        <f>IFERROR(VLOOKUP(AK16,[1]데이터시트!$B$3:$N$196,9,FALSE),"")</f>
        <v/>
      </c>
      <c r="AJ55" s="2" t="str">
        <f>IFERROR(VLOOKUP(AL16,[1]데이터시트!$B$3:$N$196,9,FALSE),"")</f>
        <v/>
      </c>
      <c r="AK55" s="2" t="str">
        <f>IFERROR(VLOOKUP(AN16,[1]데이터시트!$B$3:$N$196,9,FALSE),"")</f>
        <v/>
      </c>
      <c r="AL55" s="2" t="str">
        <f>IFERROR(VLOOKUP(AO15,[1]데이터시트!$B$3:$N$196,9,FALSE),"")</f>
        <v>바이오ㆍ의료ㆍ생명</v>
      </c>
      <c r="AM55" s="2"/>
      <c r="AN55" s="2" t="str">
        <f>IFERROR(VLOOKUP(AP15,[1]데이터시트!$B$3:$N$196,9,FALSE),"")</f>
        <v/>
      </c>
      <c r="AO55" s="2" t="str">
        <f>IFERROR(VLOOKUP(AQ15,[1]데이터시트!$B$3:$N$196,9,FALSE),"")</f>
        <v/>
      </c>
      <c r="AP55" s="2" t="str">
        <f>IFERROR(VLOOKUP(AS15,[1]데이터시트!$B$3:$N$196,9,FALSE),"")</f>
        <v/>
      </c>
      <c r="AQ55" s="2" t="str">
        <f>IFERROR(VLOOKUP(AT16,[1]데이터시트!$B$3:$N$196,9,FALSE),"")</f>
        <v/>
      </c>
      <c r="AR55" s="2"/>
      <c r="AS55" s="2" t="str">
        <f>IFERROR(VLOOKUP(AU16,[1]데이터시트!$B$3:$N$196,9,FALSE),"")</f>
        <v/>
      </c>
      <c r="AT55" s="2" t="str">
        <f>IFERROR(VLOOKUP(AV16,[1]데이터시트!$B$3:$N$196,9,FALSE),"")</f>
        <v/>
      </c>
      <c r="AU55" s="2" t="str">
        <f>IFERROR(VLOOKUP(AX16,[1]데이터시트!$B$3:$N$196,9,FALSE),"")</f>
        <v/>
      </c>
      <c r="AV55" s="2" t="str">
        <f>IFERROR(VLOOKUP(AY16,[1]데이터시트!$B$3:$N$196,9,FALSE),"")</f>
        <v/>
      </c>
      <c r="AW55" s="2"/>
      <c r="AX55" s="2" t="str">
        <f>IFERROR(VLOOKUP(AZ16,[1]데이터시트!$B$3:$N$196,9,FALSE),"")</f>
        <v/>
      </c>
      <c r="AY55" s="2" t="str">
        <f>IFERROR(VLOOKUP(BA16,[1]데이터시트!$B$3:$N$196,9,FALSE),"")</f>
        <v/>
      </c>
      <c r="AZ55" s="2" t="str">
        <f>IFERROR(VLOOKUP(BC16,[1]데이터시트!$B$3:$N$196,9,FALSE),"")</f>
        <v/>
      </c>
      <c r="BA55" s="2" t="str">
        <f>IFERROR(VLOOKUP(BD16,[1]데이터시트!$B$3:$N$196,9,FALSE),"")</f>
        <v/>
      </c>
      <c r="BB55" s="2"/>
      <c r="BC55" s="2" t="str">
        <f>IFERROR(VLOOKUP(BE16,[1]데이터시트!$B$3:$N$196,9,FALSE),"")</f>
        <v/>
      </c>
      <c r="BD55" s="2" t="str">
        <f>IFERROR(VLOOKUP(BF16,[1]데이터시트!$B$3:$N$196,9,FALSE),"")</f>
        <v/>
      </c>
      <c r="BE55" s="2" t="str">
        <f>IFERROR(VLOOKUP(BH16,[1]데이터시트!$B$3:$N$196,9,FALSE),"")</f>
        <v/>
      </c>
      <c r="BF55"/>
      <c r="BG55"/>
      <c r="BH55"/>
    </row>
    <row r="56" spans="6:60" hidden="1" x14ac:dyDescent="0.3">
      <c r="F56" s="2" t="str">
        <f>IFERROR(VLOOKUP(F20,[1]데이터시트!$B$3:$N$196,9,FALSE),"")</f>
        <v>정보ㆍ통신</v>
      </c>
      <c r="G56" s="2" t="str">
        <f>IFERROR(VLOOKUP(G20,[1]데이터시트!$B$3:$N$196,9,FALSE),"")</f>
        <v/>
      </c>
      <c r="H56" s="2" t="str">
        <f>IFERROR(VLOOKUP(H20,[1]데이터시트!$B$3:$N$196,9,FALSE),"")</f>
        <v/>
      </c>
      <c r="I56" s="2"/>
      <c r="J56" s="2" t="str">
        <f>IFERROR(VLOOKUP(J17,[1]데이터시트!$B$3:$N$196,9,FALSE),"")</f>
        <v/>
      </c>
      <c r="K56" s="2" t="str">
        <f>IFERROR(VLOOKUP(K16,[1]데이터시트!$B$3:$N$196,9,FALSE),"")</f>
        <v>정보ㆍ통신</v>
      </c>
      <c r="L56" s="2" t="str">
        <f>IFERROR(VLOOKUP(L16,[1]데이터시트!$B$3:$N$196,9,FALSE),"")</f>
        <v/>
      </c>
      <c r="M56" s="2" t="str">
        <f>IFERROR(VLOOKUP(M16,[1]데이터시트!$B$3:$N$196,9,FALSE),"")</f>
        <v/>
      </c>
      <c r="N56" s="2"/>
      <c r="O56" s="2" t="str">
        <f>IFERROR(VLOOKUP(O16,[1]데이터시트!$B$3:$N$196,9,FALSE),"")</f>
        <v/>
      </c>
      <c r="P56" s="2" t="str">
        <f>IFERROR(VLOOKUP(P17,[1]데이터시트!$B$3:$N$196,9,FALSE),"")</f>
        <v>정보ㆍ통신</v>
      </c>
      <c r="Q56" s="2" t="str">
        <f>IFERROR(VLOOKUP(Q17,[1]데이터시트!$B$3:$N$196,9,FALSE),"")</f>
        <v/>
      </c>
      <c r="R56" s="2" t="str">
        <f>IFERROR(VLOOKUP(R17,[1]데이터시트!$B$3:$N$196,9,FALSE),"")</f>
        <v/>
      </c>
      <c r="S56" s="2"/>
      <c r="T56" s="2" t="str">
        <f>IFERROR(VLOOKUP(T17,[1]데이터시트!$B$3:$N$196,9,FALSE),"")</f>
        <v/>
      </c>
      <c r="U56" s="2" t="str">
        <f>IFERROR(VLOOKUP(U29,[1]데이터시트!$B$3:$N$196,9,FALSE),"")</f>
        <v>정보ㆍ통신</v>
      </c>
      <c r="V56" s="2" t="str">
        <f>IFERROR(VLOOKUP(V29,[1]데이터시트!$B$3:$N$196,9,FALSE),"")</f>
        <v/>
      </c>
      <c r="W56" s="2" t="str">
        <f>IFERROR(VLOOKUP(W29,[1]데이터시트!$B$3:$N$196,9,FALSE),"")</f>
        <v/>
      </c>
      <c r="X56" s="2"/>
      <c r="Y56" s="2" t="str">
        <f>IFERROR(VLOOKUP(Y29,[1]데이터시트!$B$3:$N$196,9,FALSE),"")</f>
        <v/>
      </c>
      <c r="Z56" s="2" t="str">
        <f>IFERROR(VLOOKUP(AB17,[1]데이터시트!$B$3:$N$196,9,FALSE),"")</f>
        <v/>
      </c>
      <c r="AA56" s="2" t="str">
        <f>IFERROR(VLOOKUP(AD17,[1]데이터시트!$B$3:$N$196,9,FALSE),"")</f>
        <v/>
      </c>
      <c r="AB56" s="2" t="str">
        <f>IFERROR(VLOOKUP(AE17,[1]데이터시트!$B$3:$N$196,9,FALSE),"")</f>
        <v/>
      </c>
      <c r="AC56" s="2"/>
      <c r="AD56" s="2" t="str">
        <f>IFERROR(VLOOKUP(AF17,[1]데이터시트!$B$3:$N$196,9,FALSE),"")</f>
        <v/>
      </c>
      <c r="AE56" s="2" t="str">
        <f>IFERROR(VLOOKUP(AG17,[1]데이터시트!$B$3:$N$196,9,FALSE),"")</f>
        <v/>
      </c>
      <c r="AF56" s="2" t="str">
        <f>IFERROR(VLOOKUP(AI17,[1]데이터시트!$B$3:$N$196,9,FALSE),"")</f>
        <v/>
      </c>
      <c r="AG56" s="2" t="str">
        <f>IFERROR(VLOOKUP(AJ17,[1]데이터시트!$B$3:$N$196,9,FALSE),"")</f>
        <v>바이오ㆍ의료ㆍ생명</v>
      </c>
      <c r="AH56" s="2"/>
      <c r="AI56" s="2" t="str">
        <f>IFERROR(VLOOKUP(AK17,[1]데이터시트!$B$3:$N$196,9,FALSE),"")</f>
        <v/>
      </c>
      <c r="AJ56" s="2" t="str">
        <f>IFERROR(VLOOKUP(AL17,[1]데이터시트!$B$3:$N$196,9,FALSE),"")</f>
        <v/>
      </c>
      <c r="AK56" s="2" t="str">
        <f>IFERROR(VLOOKUP(AN17,[1]데이터시트!$B$3:$N$196,9,FALSE),"")</f>
        <v/>
      </c>
      <c r="AL56" s="2" t="str">
        <f>IFERROR(VLOOKUP(AO11,[1]데이터시트!$B$3:$N$196,9,FALSE),"")</f>
        <v>바이오ㆍ의료ㆍ생명</v>
      </c>
      <c r="AM56" s="2"/>
      <c r="AN56" s="2" t="str">
        <f>IFERROR(VLOOKUP(AP11,[1]데이터시트!$B$3:$N$196,9,FALSE),"")</f>
        <v/>
      </c>
      <c r="AO56" s="2" t="str">
        <f>IFERROR(VLOOKUP(AQ11,[1]데이터시트!$B$3:$N$196,9,FALSE),"")</f>
        <v/>
      </c>
      <c r="AP56" s="2" t="str">
        <f>IFERROR(VLOOKUP(AS11,[1]데이터시트!$B$3:$N$196,9,FALSE),"")</f>
        <v/>
      </c>
      <c r="AQ56" s="2" t="str">
        <f>IFERROR(VLOOKUP(AT17,[1]데이터시트!$B$3:$N$196,9,FALSE),"")</f>
        <v/>
      </c>
      <c r="AR56" s="2"/>
      <c r="AS56" s="2" t="str">
        <f>IFERROR(VLOOKUP(AU17,[1]데이터시트!$B$3:$N$196,9,FALSE),"")</f>
        <v/>
      </c>
      <c r="AT56" s="2" t="str">
        <f>IFERROR(VLOOKUP(AV17,[1]데이터시트!$B$3:$N$196,9,FALSE),"")</f>
        <v/>
      </c>
      <c r="AU56" s="2" t="str">
        <f>IFERROR(VLOOKUP(AX17,[1]데이터시트!$B$3:$N$196,9,FALSE),"")</f>
        <v/>
      </c>
      <c r="AV56" s="2" t="str">
        <f>IFERROR(VLOOKUP(AY17,[1]데이터시트!$B$3:$N$196,9,FALSE),"")</f>
        <v/>
      </c>
      <c r="AW56" s="2"/>
      <c r="AX56" s="2" t="str">
        <f>IFERROR(VLOOKUP(AZ17,[1]데이터시트!$B$3:$N$196,9,FALSE),"")</f>
        <v/>
      </c>
      <c r="AY56" s="2" t="str">
        <f>IFERROR(VLOOKUP(BA17,[1]데이터시트!$B$3:$N$196,9,FALSE),"")</f>
        <v/>
      </c>
      <c r="AZ56" s="2" t="str">
        <f>IFERROR(VLOOKUP(BC17,[1]데이터시트!$B$3:$N$196,9,FALSE),"")</f>
        <v/>
      </c>
      <c r="BA56" s="2" t="str">
        <f>IFERROR(VLOOKUP(BD17,[1]데이터시트!$B$3:$N$196,9,FALSE),"")</f>
        <v/>
      </c>
      <c r="BB56" s="2"/>
      <c r="BC56" s="2" t="str">
        <f>IFERROR(VLOOKUP(BE17,[1]데이터시트!$B$3:$N$196,9,FALSE),"")</f>
        <v/>
      </c>
      <c r="BD56" s="2" t="str">
        <f>IFERROR(VLOOKUP(BF17,[1]데이터시트!$B$3:$N$196,9,FALSE),"")</f>
        <v/>
      </c>
      <c r="BE56" s="2" t="str">
        <f>IFERROR(VLOOKUP(BH17,[1]데이터시트!$B$3:$N$196,9,FALSE),"")</f>
        <v/>
      </c>
      <c r="BF56"/>
      <c r="BG56"/>
      <c r="BH56"/>
    </row>
    <row r="57" spans="6:60" hidden="1" x14ac:dyDescent="0.3">
      <c r="F57" s="2" t="str">
        <f>IFERROR(VLOOKUP(F16,[1]데이터시트!$B$3:$N$196,9,FALSE),"")</f>
        <v>정보ㆍ통신</v>
      </c>
      <c r="G57" s="2" t="str">
        <f>IFERROR(VLOOKUP(G16,[1]데이터시트!$B$3:$N$196,9,FALSE),"")</f>
        <v/>
      </c>
      <c r="H57" s="2" t="str">
        <f>IFERROR(VLOOKUP(H16,[1]데이터시트!$B$3:$N$196,9,FALSE),"")</f>
        <v/>
      </c>
      <c r="I57" s="2"/>
      <c r="J57" s="2" t="str">
        <f>IFERROR(VLOOKUP(J18,[1]데이터시트!$B$3:$N$196,9,FALSE),"")</f>
        <v/>
      </c>
      <c r="K57" s="2" t="str">
        <f>IFERROR(VLOOKUP(K17,[1]데이터시트!$B$3:$N$196,9,FALSE),"")</f>
        <v>정보ㆍ통신</v>
      </c>
      <c r="L57" s="2" t="str">
        <f>IFERROR(VLOOKUP(L17,[1]데이터시트!$B$3:$N$196,9,FALSE),"")</f>
        <v/>
      </c>
      <c r="M57" s="2" t="str">
        <f>IFERROR(VLOOKUP(M17,[1]데이터시트!$B$3:$N$196,9,FALSE),"")</f>
        <v/>
      </c>
      <c r="N57" s="2"/>
      <c r="O57" s="2" t="str">
        <f>IFERROR(VLOOKUP(O17,[1]데이터시트!$B$3:$N$196,9,FALSE),"")</f>
        <v/>
      </c>
      <c r="P57" s="2" t="str">
        <f>IFERROR(VLOOKUP(P18,[1]데이터시트!$B$3:$N$196,9,FALSE),"")</f>
        <v>정보ㆍ통신</v>
      </c>
      <c r="Q57" s="2" t="str">
        <f>IFERROR(VLOOKUP(Q18,[1]데이터시트!$B$3:$N$196,9,FALSE),"")</f>
        <v/>
      </c>
      <c r="R57" s="2" t="str">
        <f>IFERROR(VLOOKUP(R18,[1]데이터시트!$B$3:$N$196,9,FALSE),"")</f>
        <v/>
      </c>
      <c r="S57" s="2"/>
      <c r="T57" s="2" t="str">
        <f>IFERROR(VLOOKUP(T18,[1]데이터시트!$B$3:$N$196,9,FALSE),"")</f>
        <v/>
      </c>
      <c r="U57" s="2" t="str">
        <f>IFERROR(VLOOKUP(U11,[1]데이터시트!$B$3:$N$196,9,FALSE),"")</f>
        <v>정보ㆍ통신</v>
      </c>
      <c r="V57" s="2" t="str">
        <f>IFERROR(VLOOKUP(V11,[1]데이터시트!$B$3:$N$196,9,FALSE),"")</f>
        <v/>
      </c>
      <c r="W57" s="2" t="str">
        <f>IFERROR(VLOOKUP(W11,[1]데이터시트!$B$3:$N$196,9,FALSE),"")</f>
        <v/>
      </c>
      <c r="X57" s="2"/>
      <c r="Y57" s="2" t="str">
        <f>IFERROR(VLOOKUP(Y11,[1]데이터시트!$B$3:$N$196,9,FALSE),"")</f>
        <v/>
      </c>
      <c r="Z57" s="2" t="str">
        <f>IFERROR(VLOOKUP(AB18,[1]데이터시트!$B$3:$N$196,9,FALSE),"")</f>
        <v/>
      </c>
      <c r="AA57" s="2" t="str">
        <f>IFERROR(VLOOKUP(AD18,[1]데이터시트!$B$3:$N$196,9,FALSE),"")</f>
        <v/>
      </c>
      <c r="AB57" s="2" t="str">
        <f>IFERROR(VLOOKUP(AE18,[1]데이터시트!$B$3:$N$196,9,FALSE),"")</f>
        <v/>
      </c>
      <c r="AC57" s="2"/>
      <c r="AD57" s="2" t="str">
        <f>IFERROR(VLOOKUP(AF18,[1]데이터시트!$B$3:$N$196,9,FALSE),"")</f>
        <v/>
      </c>
      <c r="AE57" s="2" t="str">
        <f>IFERROR(VLOOKUP(AG18,[1]데이터시트!$B$3:$N$196,9,FALSE),"")</f>
        <v/>
      </c>
      <c r="AF57" s="2" t="str">
        <f>IFERROR(VLOOKUP(AI18,[1]데이터시트!$B$3:$N$196,9,FALSE),"")</f>
        <v/>
      </c>
      <c r="AG57" s="2" t="str">
        <f>IFERROR(VLOOKUP(AJ8,[1]데이터시트!$B$3:$N$196,9,FALSE),"")</f>
        <v>바이오ㆍ의료ㆍ생명</v>
      </c>
      <c r="AH57" s="2"/>
      <c r="AI57" s="2" t="str">
        <f>IFERROR(VLOOKUP(AK8,[1]데이터시트!$B$3:$N$196,9,FALSE),"")</f>
        <v/>
      </c>
      <c r="AJ57" s="2" t="str">
        <f>IFERROR(VLOOKUP(AL8,[1]데이터시트!$B$3:$N$196,9,FALSE),"")</f>
        <v/>
      </c>
      <c r="AK57" s="2" t="str">
        <f>IFERROR(VLOOKUP(AN8,[1]데이터시트!$B$3:$N$196,9,FALSE),"")</f>
        <v/>
      </c>
      <c r="AL57" s="2" t="str">
        <f>IFERROR(VLOOKUP(AO18,[1]데이터시트!$B$3:$N$196,9,FALSE),"")</f>
        <v>바이오ㆍ의료ㆍ생명</v>
      </c>
      <c r="AM57" s="2"/>
      <c r="AN57" s="2" t="str">
        <f>IFERROR(VLOOKUP(AP18,[1]데이터시트!$B$3:$N$196,9,FALSE),"")</f>
        <v/>
      </c>
      <c r="AO57" s="2" t="str">
        <f>IFERROR(VLOOKUP(AQ18,[1]데이터시트!$B$3:$N$196,9,FALSE),"")</f>
        <v/>
      </c>
      <c r="AP57" s="2" t="str">
        <f>IFERROR(VLOOKUP(AS18,[1]데이터시트!$B$3:$N$196,9,FALSE),"")</f>
        <v/>
      </c>
      <c r="AQ57" s="2" t="str">
        <f>IFERROR(VLOOKUP(AT18,[1]데이터시트!$B$3:$N$196,9,FALSE),"")</f>
        <v/>
      </c>
      <c r="AR57" s="2"/>
      <c r="AS57" s="2" t="str">
        <f>IFERROR(VLOOKUP(AU18,[1]데이터시트!$B$3:$N$196,9,FALSE),"")</f>
        <v/>
      </c>
      <c r="AT57" s="2" t="str">
        <f>IFERROR(VLOOKUP(AV18,[1]데이터시트!$B$3:$N$196,9,FALSE),"")</f>
        <v/>
      </c>
      <c r="AU57" s="2" t="str">
        <f>IFERROR(VLOOKUP(AX18,[1]데이터시트!$B$3:$N$196,9,FALSE),"")</f>
        <v/>
      </c>
      <c r="AV57" s="2" t="str">
        <f>IFERROR(VLOOKUP(AY18,[1]데이터시트!$B$3:$N$196,9,FALSE),"")</f>
        <v/>
      </c>
      <c r="AW57" s="2"/>
      <c r="AX57" s="2" t="str">
        <f>IFERROR(VLOOKUP(AZ18,[1]데이터시트!$B$3:$N$196,9,FALSE),"")</f>
        <v/>
      </c>
      <c r="AY57" s="2" t="str">
        <f>IFERROR(VLOOKUP(BA18,[1]데이터시트!$B$3:$N$196,9,FALSE),"")</f>
        <v/>
      </c>
      <c r="AZ57" s="2" t="str">
        <f>IFERROR(VLOOKUP(BC18,[1]데이터시트!$B$3:$N$196,9,FALSE),"")</f>
        <v/>
      </c>
      <c r="BA57" s="2" t="str">
        <f>IFERROR(VLOOKUP(BD18,[1]데이터시트!$B$3:$N$196,9,FALSE),"")</f>
        <v/>
      </c>
      <c r="BB57" s="2"/>
      <c r="BC57" s="2" t="str">
        <f>IFERROR(VLOOKUP(BE18,[1]데이터시트!$B$3:$N$196,9,FALSE),"")</f>
        <v/>
      </c>
      <c r="BD57" s="2" t="str">
        <f>IFERROR(VLOOKUP(BF18,[1]데이터시트!$B$3:$N$196,9,FALSE),"")</f>
        <v/>
      </c>
      <c r="BE57" s="2" t="str">
        <f>IFERROR(VLOOKUP(BH18,[1]데이터시트!$B$3:$N$196,9,FALSE),"")</f>
        <v/>
      </c>
      <c r="BF57"/>
      <c r="BG57"/>
      <c r="BH57"/>
    </row>
    <row r="58" spans="6:60" hidden="1" x14ac:dyDescent="0.3">
      <c r="F58" s="2" t="str">
        <f>IFERROR(VLOOKUP(F14,[1]데이터시트!$B$3:$N$196,9,FALSE),"")</f>
        <v>정보ㆍ통신</v>
      </c>
      <c r="G58" s="2" t="str">
        <f>IFERROR(VLOOKUP(G14,[1]데이터시트!$B$3:$N$196,9,FALSE),"")</f>
        <v/>
      </c>
      <c r="H58" s="2" t="str">
        <f>IFERROR(VLOOKUP(H14,[1]데이터시트!$B$3:$N$196,9,FALSE),"")</f>
        <v/>
      </c>
      <c r="I58" s="2"/>
      <c r="J58" s="2" t="str">
        <f>IFERROR(VLOOKUP(J19,[1]데이터시트!$B$3:$N$196,9,FALSE),"")</f>
        <v/>
      </c>
      <c r="K58" s="2" t="str">
        <f>IFERROR(VLOOKUP(K9,[1]데이터시트!$B$3:$N$196,9,FALSE),"")</f>
        <v>정보ㆍ통신</v>
      </c>
      <c r="L58" s="2" t="str">
        <f>IFERROR(VLOOKUP(L9,[1]데이터시트!$B$3:$N$196,9,FALSE),"")</f>
        <v/>
      </c>
      <c r="M58" s="2" t="str">
        <f>IFERROR(VLOOKUP(M9,[1]데이터시트!$B$3:$N$196,9,FALSE),"")</f>
        <v/>
      </c>
      <c r="N58" s="2"/>
      <c r="O58" s="2" t="str">
        <f>IFERROR(VLOOKUP(O9,[1]데이터시트!$B$3:$N$196,9,FALSE),"")</f>
        <v/>
      </c>
      <c r="P58" s="2" t="str">
        <f>IFERROR(VLOOKUP(P19,[1]데이터시트!$B$3:$N$196,9,FALSE),"")</f>
        <v>정보ㆍ통신</v>
      </c>
      <c r="Q58" s="2" t="str">
        <f>IFERROR(VLOOKUP(Q19,[1]데이터시트!$B$3:$N$196,9,FALSE),"")</f>
        <v/>
      </c>
      <c r="R58" s="2" t="str">
        <f>IFERROR(VLOOKUP(R19,[1]데이터시트!$B$3:$N$196,9,FALSE),"")</f>
        <v/>
      </c>
      <c r="S58" s="2"/>
      <c r="T58" s="2" t="str">
        <f>IFERROR(VLOOKUP(T19,[1]데이터시트!$B$3:$N$196,9,FALSE),"")</f>
        <v/>
      </c>
      <c r="U58" s="2" t="str">
        <f>IFERROR(VLOOKUP(U19,[1]데이터시트!$B$3:$N$196,9,FALSE),"")</f>
        <v/>
      </c>
      <c r="V58" s="2" t="str">
        <f>IFERROR(VLOOKUP(V19,[1]데이터시트!$B$3:$N$196,9,FALSE),"")</f>
        <v/>
      </c>
      <c r="W58" s="2" t="str">
        <f>IFERROR(VLOOKUP(W19,[1]데이터시트!$B$3:$N$196,9,FALSE),"")</f>
        <v/>
      </c>
      <c r="X58" s="2"/>
      <c r="Y58" s="2" t="str">
        <f>IFERROR(VLOOKUP(Y19,[1]데이터시트!$B$3:$N$196,9,FALSE),"")</f>
        <v/>
      </c>
      <c r="Z58" s="2" t="str">
        <f>IFERROR(VLOOKUP(AB19,[1]데이터시트!$B$3:$N$196,9,FALSE),"")</f>
        <v/>
      </c>
      <c r="AA58" s="2" t="str">
        <f>IFERROR(VLOOKUP(AD19,[1]데이터시트!$B$3:$N$196,9,FALSE),"")</f>
        <v/>
      </c>
      <c r="AB58" s="2" t="str">
        <f>IFERROR(VLOOKUP(AE19,[1]데이터시트!$B$3:$N$196,9,FALSE),"")</f>
        <v/>
      </c>
      <c r="AC58" s="2"/>
      <c r="AD58" s="2" t="str">
        <f>IFERROR(VLOOKUP(AF19,[1]데이터시트!$B$3:$N$196,9,FALSE),"")</f>
        <v/>
      </c>
      <c r="AE58" s="2" t="str">
        <f>IFERROR(VLOOKUP(AG19,[1]데이터시트!$B$3:$N$196,9,FALSE),"")</f>
        <v/>
      </c>
      <c r="AF58" s="2" t="str">
        <f>IFERROR(VLOOKUP(AI19,[1]데이터시트!$B$3:$N$196,9,FALSE),"")</f>
        <v/>
      </c>
      <c r="AG58" s="2" t="str">
        <f>IFERROR(VLOOKUP(AJ9,[1]데이터시트!$B$3:$N$196,9,FALSE),"")</f>
        <v>바이오ㆍ의료ㆍ생명</v>
      </c>
      <c r="AH58" s="2"/>
      <c r="AI58" s="2" t="str">
        <f>IFERROR(VLOOKUP(AK9,[1]데이터시트!$B$3:$N$196,9,FALSE),"")</f>
        <v/>
      </c>
      <c r="AJ58" s="2" t="str">
        <f>IFERROR(VLOOKUP(AL9,[1]데이터시트!$B$3:$N$196,9,FALSE),"")</f>
        <v/>
      </c>
      <c r="AK58" s="2" t="str">
        <f>IFERROR(VLOOKUP(AN9,[1]데이터시트!$B$3:$N$196,9,FALSE),"")</f>
        <v/>
      </c>
      <c r="AL58" s="2" t="str">
        <f>IFERROR(VLOOKUP(#REF!,[1]데이터시트!$B$3:$N$196,9,FALSE),"")</f>
        <v/>
      </c>
      <c r="AM58" s="2"/>
      <c r="AN58" s="2" t="str">
        <f>IFERROR(VLOOKUP(#REF!,[1]데이터시트!$B$3:$N$196,9,FALSE),"")</f>
        <v/>
      </c>
      <c r="AO58" s="2" t="str">
        <f>IFERROR(VLOOKUP(#REF!,[1]데이터시트!$B$3:$N$196,9,FALSE),"")</f>
        <v/>
      </c>
      <c r="AP58" s="2" t="str">
        <f>IFERROR(VLOOKUP(#REF!,[1]데이터시트!$B$3:$N$196,9,FALSE),"")</f>
        <v/>
      </c>
      <c r="AQ58" s="2" t="str">
        <f>IFERROR(VLOOKUP(AT19,[1]데이터시트!$B$3:$N$196,9,FALSE),"")</f>
        <v/>
      </c>
      <c r="AR58" s="2"/>
      <c r="AS58" s="2" t="str">
        <f>IFERROR(VLOOKUP(AU19,[1]데이터시트!$B$3:$N$196,9,FALSE),"")</f>
        <v/>
      </c>
      <c r="AT58" s="2" t="str">
        <f>IFERROR(VLOOKUP(AV19,[1]데이터시트!$B$3:$N$196,9,FALSE),"")</f>
        <v/>
      </c>
      <c r="AU58" s="2" t="str">
        <f>IFERROR(VLOOKUP(AX19,[1]데이터시트!$B$3:$N$196,9,FALSE),"")</f>
        <v/>
      </c>
      <c r="AV58" s="2" t="str">
        <f>IFERROR(VLOOKUP(AY19,[1]데이터시트!$B$3:$N$196,9,FALSE),"")</f>
        <v/>
      </c>
      <c r="AW58" s="2"/>
      <c r="AX58" s="2" t="str">
        <f>IFERROR(VLOOKUP(AZ19,[1]데이터시트!$B$3:$N$196,9,FALSE),"")</f>
        <v/>
      </c>
      <c r="AY58" s="2" t="str">
        <f>IFERROR(VLOOKUP(BA19,[1]데이터시트!$B$3:$N$196,9,FALSE),"")</f>
        <v/>
      </c>
      <c r="AZ58" s="2" t="str">
        <f>IFERROR(VLOOKUP(BC19,[1]데이터시트!$B$3:$N$196,9,FALSE),"")</f>
        <v/>
      </c>
      <c r="BA58" s="2" t="str">
        <f>IFERROR(VLOOKUP(BD19,[1]데이터시트!$B$3:$N$196,9,FALSE),"")</f>
        <v/>
      </c>
      <c r="BB58" s="2"/>
      <c r="BC58" s="2" t="str">
        <f>IFERROR(VLOOKUP(BE19,[1]데이터시트!$B$3:$N$196,9,FALSE),"")</f>
        <v/>
      </c>
      <c r="BD58" s="2" t="str">
        <f>IFERROR(VLOOKUP(BF19,[1]데이터시트!$B$3:$N$196,9,FALSE),"")</f>
        <v/>
      </c>
      <c r="BE58" s="2" t="str">
        <f>IFERROR(VLOOKUP(BH19,[1]데이터시트!$B$3:$N$196,9,FALSE),"")</f>
        <v/>
      </c>
      <c r="BF58"/>
      <c r="BG58"/>
      <c r="BH58"/>
    </row>
    <row r="59" spans="6:60" hidden="1" x14ac:dyDescent="0.3">
      <c r="F59" s="2" t="str">
        <f>IFERROR(VLOOKUP(F15,[1]데이터시트!$B$3:$N$196,9,FALSE),"")</f>
        <v>정보ㆍ통신</v>
      </c>
      <c r="G59" s="2" t="str">
        <f>IFERROR(VLOOKUP(G15,[1]데이터시트!$B$3:$N$196,9,FALSE),"")</f>
        <v/>
      </c>
      <c r="H59" s="2" t="str">
        <f>IFERROR(VLOOKUP(H15,[1]데이터시트!$B$3:$N$196,9,FALSE),"")</f>
        <v/>
      </c>
      <c r="I59" s="2"/>
      <c r="J59" s="2" t="str">
        <f>IFERROR(VLOOKUP(J20,[1]데이터시트!$B$3:$N$196,9,FALSE),"")</f>
        <v/>
      </c>
      <c r="K59" s="2" t="str">
        <f>IFERROR(VLOOKUP(P36,[1]데이터시트!$B$3:$N$196,9,FALSE),"")</f>
        <v>정보ㆍ통신</v>
      </c>
      <c r="L59" s="2" t="str">
        <f>IFERROR(VLOOKUP(Q36,[1]데이터시트!$B$3:$N$196,9,FALSE),"")</f>
        <v/>
      </c>
      <c r="M59" s="2" t="str">
        <f>IFERROR(VLOOKUP(R36,[1]데이터시트!$B$3:$N$196,9,FALSE),"")</f>
        <v/>
      </c>
      <c r="N59" s="2"/>
      <c r="O59" s="2" t="str">
        <f>IFERROR(VLOOKUP(T36,[1]데이터시트!$B$3:$N$196,9,FALSE),"")</f>
        <v/>
      </c>
      <c r="P59" s="2" t="str">
        <f>IFERROR(VLOOKUP(P20,[1]데이터시트!$B$3:$N$196,9,FALSE),"")</f>
        <v>정보ㆍ통신</v>
      </c>
      <c r="Q59" s="2" t="str">
        <f>IFERROR(VLOOKUP(Q20,[1]데이터시트!$B$3:$N$196,9,FALSE),"")</f>
        <v/>
      </c>
      <c r="R59" s="2" t="str">
        <f>IFERROR(VLOOKUP(R20,[1]데이터시트!$B$3:$N$196,9,FALSE),"")</f>
        <v/>
      </c>
      <c r="S59" s="2"/>
      <c r="T59" s="2" t="str">
        <f>IFERROR(VLOOKUP(T20,[1]데이터시트!$B$3:$N$196,9,FALSE),"")</f>
        <v/>
      </c>
      <c r="U59" s="2" t="str">
        <f>IFERROR(VLOOKUP(U20,[1]데이터시트!$B$3:$N$196,9,FALSE),"")</f>
        <v/>
      </c>
      <c r="V59" s="2" t="str">
        <f>IFERROR(VLOOKUP(V20,[1]데이터시트!$B$3:$N$196,9,FALSE),"")</f>
        <v/>
      </c>
      <c r="W59" s="2" t="str">
        <f>IFERROR(VLOOKUP(W20,[1]데이터시트!$B$3:$N$196,9,FALSE),"")</f>
        <v/>
      </c>
      <c r="X59" s="2"/>
      <c r="Y59" s="2" t="str">
        <f>IFERROR(VLOOKUP(Y20,[1]데이터시트!$B$3:$N$196,9,FALSE),"")</f>
        <v/>
      </c>
      <c r="Z59" s="2" t="str">
        <f>IFERROR(VLOOKUP(AB20,[1]데이터시트!$B$3:$N$196,9,FALSE),"")</f>
        <v/>
      </c>
      <c r="AA59" s="2" t="str">
        <f>IFERROR(VLOOKUP(AD20,[1]데이터시트!$B$3:$N$196,9,FALSE),"")</f>
        <v/>
      </c>
      <c r="AB59" s="2" t="str">
        <f>IFERROR(VLOOKUP(AE20,[1]데이터시트!$B$3:$N$196,9,FALSE),"")</f>
        <v/>
      </c>
      <c r="AC59" s="2"/>
      <c r="AD59" s="2" t="str">
        <f>IFERROR(VLOOKUP(AF20,[1]데이터시트!$B$3:$N$196,9,FALSE),"")</f>
        <v/>
      </c>
      <c r="AE59" s="2" t="str">
        <f>IFERROR(VLOOKUP(AG20,[1]데이터시트!$B$3:$N$196,9,FALSE),"")</f>
        <v/>
      </c>
      <c r="AF59" s="2" t="str">
        <f>IFERROR(VLOOKUP(AI20,[1]데이터시트!$B$3:$N$196,9,FALSE),"")</f>
        <v/>
      </c>
      <c r="AG59" s="2" t="str">
        <f>IFERROR(VLOOKUP(AJ10,[1]데이터시트!$B$3:$N$196,9,FALSE),"")</f>
        <v>바이오ㆍ의료ㆍ생명</v>
      </c>
      <c r="AH59" s="2"/>
      <c r="AI59" s="2" t="str">
        <f>IFERROR(VLOOKUP(AK10,[1]데이터시트!$B$3:$N$196,9,FALSE),"")</f>
        <v/>
      </c>
      <c r="AJ59" s="2" t="str">
        <f>IFERROR(VLOOKUP(AL10,[1]데이터시트!$B$3:$N$196,9,FALSE),"")</f>
        <v/>
      </c>
      <c r="AK59" s="2" t="str">
        <f>IFERROR(VLOOKUP(AN10,[1]데이터시트!$B$3:$N$196,9,FALSE),"")</f>
        <v/>
      </c>
      <c r="AL59" s="2" t="str">
        <f>IFERROR(VLOOKUP(#REF!,[1]데이터시트!$B$3:$N$196,9,FALSE),"")</f>
        <v/>
      </c>
      <c r="AM59" s="2"/>
      <c r="AN59" s="2" t="str">
        <f>IFERROR(VLOOKUP(#REF!,[1]데이터시트!$B$3:$N$196,9,FALSE),"")</f>
        <v/>
      </c>
      <c r="AO59" s="2" t="str">
        <f>IFERROR(VLOOKUP(#REF!,[1]데이터시트!$B$3:$N$196,9,FALSE),"")</f>
        <v/>
      </c>
      <c r="AP59" s="2" t="str">
        <f>IFERROR(VLOOKUP(#REF!,[1]데이터시트!$B$3:$N$196,9,FALSE),"")</f>
        <v/>
      </c>
      <c r="AQ59" s="2" t="str">
        <f>IFERROR(VLOOKUP(AT20,[1]데이터시트!$B$3:$N$196,9,FALSE),"")</f>
        <v/>
      </c>
      <c r="AR59" s="2"/>
      <c r="AS59" s="2" t="str">
        <f>IFERROR(VLOOKUP(AU20,[1]데이터시트!$B$3:$N$196,9,FALSE),"")</f>
        <v/>
      </c>
      <c r="AT59" s="2" t="str">
        <f>IFERROR(VLOOKUP(AV20,[1]데이터시트!$B$3:$N$196,9,FALSE),"")</f>
        <v/>
      </c>
      <c r="AU59" s="2" t="str">
        <f>IFERROR(VLOOKUP(AX20,[1]데이터시트!$B$3:$N$196,9,FALSE),"")</f>
        <v/>
      </c>
      <c r="AV59" s="2" t="str">
        <f>IFERROR(VLOOKUP(AY20,[1]데이터시트!$B$3:$N$196,9,FALSE),"")</f>
        <v/>
      </c>
      <c r="AW59" s="2"/>
      <c r="AX59" s="2" t="str">
        <f>IFERROR(VLOOKUP(AZ20,[1]데이터시트!$B$3:$N$196,9,FALSE),"")</f>
        <v/>
      </c>
      <c r="AY59" s="2" t="str">
        <f>IFERROR(VLOOKUP(BA20,[1]데이터시트!$B$3:$N$196,9,FALSE),"")</f>
        <v/>
      </c>
      <c r="AZ59" s="2" t="str">
        <f>IFERROR(VLOOKUP(BC20,[1]데이터시트!$B$3:$N$196,9,FALSE),"")</f>
        <v/>
      </c>
      <c r="BA59" s="2" t="str">
        <f>IFERROR(VLOOKUP(BD20,[1]데이터시트!$B$3:$N$196,9,FALSE),"")</f>
        <v/>
      </c>
      <c r="BB59" s="2"/>
      <c r="BC59" s="2" t="str">
        <f>IFERROR(VLOOKUP(BE20,[1]데이터시트!$B$3:$N$196,9,FALSE),"")</f>
        <v/>
      </c>
      <c r="BD59" s="2" t="str">
        <f>IFERROR(VLOOKUP(BF20,[1]데이터시트!$B$3:$N$196,9,FALSE),"")</f>
        <v/>
      </c>
      <c r="BE59" s="2" t="str">
        <f>IFERROR(VLOOKUP(BH20,[1]데이터시트!$B$3:$N$196,9,FALSE),"")</f>
        <v/>
      </c>
      <c r="BF59"/>
      <c r="BG59"/>
      <c r="BH59"/>
    </row>
    <row r="60" spans="6:60" hidden="1" x14ac:dyDescent="0.3">
      <c r="F60" s="2" t="str">
        <f>IFERROR(VLOOKUP(F21,[1]데이터시트!$B$3:$N$196,9,FALSE),"")</f>
        <v/>
      </c>
      <c r="G60" s="2" t="str">
        <f>IFERROR(VLOOKUP(G21,[1]데이터시트!$B$3:$N$196,9,FALSE),"")</f>
        <v/>
      </c>
      <c r="H60" s="2" t="str">
        <f>IFERROR(VLOOKUP(H21,[1]데이터시트!$B$3:$N$196,9,FALSE),"")</f>
        <v/>
      </c>
      <c r="I60" s="2"/>
      <c r="J60" s="2" t="str">
        <f>IFERROR(VLOOKUP(J21,[1]데이터시트!$B$3:$N$196,9,FALSE),"")</f>
        <v/>
      </c>
      <c r="K60" s="2" t="str">
        <f>IFERROR(VLOOKUP(#REF!,[1]데이터시트!$B$3:$N$196,9,FALSE),"")</f>
        <v/>
      </c>
      <c r="L60" s="2" t="str">
        <f>IFERROR(VLOOKUP(#REF!,[1]데이터시트!$B$3:$N$196,9,FALSE),"")</f>
        <v/>
      </c>
      <c r="M60" s="2" t="str">
        <f>IFERROR(VLOOKUP(#REF!,[1]데이터시트!$B$3:$N$196,9,FALSE),"")</f>
        <v/>
      </c>
      <c r="N60" s="2"/>
      <c r="O60" s="2" t="str">
        <f>IFERROR(VLOOKUP(#REF!,[1]데이터시트!$B$3:$N$196,9,FALSE),"")</f>
        <v/>
      </c>
      <c r="P60" s="2" t="str">
        <f>IFERROR(VLOOKUP(P21,[1]데이터시트!$B$3:$N$196,9,FALSE),"")</f>
        <v/>
      </c>
      <c r="Q60" s="2" t="str">
        <f>IFERROR(VLOOKUP(Q21,[1]데이터시트!$B$3:$N$196,9,FALSE),"")</f>
        <v/>
      </c>
      <c r="R60" s="2" t="str">
        <f>IFERROR(VLOOKUP(R21,[1]데이터시트!$B$3:$N$196,9,FALSE),"")</f>
        <v/>
      </c>
      <c r="S60" s="2"/>
      <c r="T60" s="2" t="str">
        <f>IFERROR(VLOOKUP(T21,[1]데이터시트!$B$3:$N$196,9,FALSE),"")</f>
        <v/>
      </c>
      <c r="U60" s="2" t="str">
        <f>IFERROR(VLOOKUP(U21,[1]데이터시트!$B$3:$N$196,9,FALSE),"")</f>
        <v/>
      </c>
      <c r="V60" s="2" t="str">
        <f>IFERROR(VLOOKUP(V21,[1]데이터시트!$B$3:$N$196,9,FALSE),"")</f>
        <v/>
      </c>
      <c r="W60" s="2" t="str">
        <f>IFERROR(VLOOKUP(W21,[1]데이터시트!$B$3:$N$196,9,FALSE),"")</f>
        <v/>
      </c>
      <c r="X60" s="2"/>
      <c r="Y60" s="2" t="str">
        <f>IFERROR(VLOOKUP(Y21,[1]데이터시트!$B$3:$N$196,9,FALSE),"")</f>
        <v/>
      </c>
      <c r="Z60" s="2" t="str">
        <f>IFERROR(VLOOKUP(AB21,[1]데이터시트!$B$3:$N$196,9,FALSE),"")</f>
        <v/>
      </c>
      <c r="AA60" s="2" t="str">
        <f>IFERROR(VLOOKUP(AD21,[1]데이터시트!$B$3:$N$196,9,FALSE),"")</f>
        <v/>
      </c>
      <c r="AB60" s="2" t="str">
        <f>IFERROR(VLOOKUP(AE21,[1]데이터시트!$B$3:$N$196,9,FALSE),"")</f>
        <v/>
      </c>
      <c r="AC60" s="2"/>
      <c r="AD60" s="2" t="str">
        <f>IFERROR(VLOOKUP(AF21,[1]데이터시트!$B$3:$N$196,9,FALSE),"")</f>
        <v/>
      </c>
      <c r="AE60" s="2" t="str">
        <f>IFERROR(VLOOKUP(AG21,[1]데이터시트!$B$3:$N$196,9,FALSE),"")</f>
        <v/>
      </c>
      <c r="AF60" s="2" t="str">
        <f>IFERROR(VLOOKUP(AI21,[1]데이터시트!$B$3:$N$196,9,FALSE),"")</f>
        <v/>
      </c>
      <c r="AG60" s="2" t="str">
        <f>IFERROR(VLOOKUP(AJ21,[1]데이터시트!$B$3:$N$196,9,FALSE),"")</f>
        <v/>
      </c>
      <c r="AH60" s="2"/>
      <c r="AI60" s="2" t="str">
        <f>IFERROR(VLOOKUP(AK21,[1]데이터시트!$B$3:$N$196,9,FALSE),"")</f>
        <v/>
      </c>
      <c r="AJ60" s="2" t="str">
        <f>IFERROR(VLOOKUP(AL21,[1]데이터시트!$B$3:$N$196,9,FALSE),"")</f>
        <v/>
      </c>
      <c r="AK60" s="2" t="str">
        <f>IFERROR(VLOOKUP(AN21,[1]데이터시트!$B$3:$N$196,9,FALSE),"")</f>
        <v/>
      </c>
      <c r="AL60" s="2" t="str">
        <f>IFERROR(VLOOKUP(AO21,[1]데이터시트!$B$3:$N$196,9,FALSE),"")</f>
        <v/>
      </c>
      <c r="AM60" s="2"/>
      <c r="AN60" s="2" t="str">
        <f>IFERROR(VLOOKUP(AP21,[1]데이터시트!$B$3:$N$196,9,FALSE),"")</f>
        <v/>
      </c>
      <c r="AO60" s="2" t="str">
        <f>IFERROR(VLOOKUP(AQ21,[1]데이터시트!$B$3:$N$196,9,FALSE),"")</f>
        <v/>
      </c>
      <c r="AP60" s="2" t="str">
        <f>IFERROR(VLOOKUP(AS21,[1]데이터시트!$B$3:$N$196,9,FALSE),"")</f>
        <v/>
      </c>
      <c r="AQ60" s="2" t="str">
        <f>IFERROR(VLOOKUP(AT21,[1]데이터시트!$B$3:$N$196,9,FALSE),"")</f>
        <v/>
      </c>
      <c r="AR60" s="2"/>
      <c r="AS60" s="2" t="str">
        <f>IFERROR(VLOOKUP(AU21,[1]데이터시트!$B$3:$N$196,9,FALSE),"")</f>
        <v/>
      </c>
      <c r="AT60" s="2" t="str">
        <f>IFERROR(VLOOKUP(AV21,[1]데이터시트!$B$3:$N$196,9,FALSE),"")</f>
        <v/>
      </c>
      <c r="AU60" s="2" t="str">
        <f>IFERROR(VLOOKUP(AX21,[1]데이터시트!$B$3:$N$196,9,FALSE),"")</f>
        <v/>
      </c>
      <c r="AV60" s="2" t="str">
        <f>IFERROR(VLOOKUP(AY21,[1]데이터시트!$B$3:$N$196,9,FALSE),"")</f>
        <v/>
      </c>
      <c r="AW60" s="2"/>
      <c r="AX60" s="2" t="str">
        <f>IFERROR(VLOOKUP(AZ21,[1]데이터시트!$B$3:$N$196,9,FALSE),"")</f>
        <v/>
      </c>
      <c r="AY60" s="2" t="str">
        <f>IFERROR(VLOOKUP(BA21,[1]데이터시트!$B$3:$N$196,9,FALSE),"")</f>
        <v/>
      </c>
      <c r="AZ60" s="2" t="str">
        <f>IFERROR(VLOOKUP(BC21,[1]데이터시트!$B$3:$N$196,9,FALSE),"")</f>
        <v/>
      </c>
      <c r="BA60" s="2" t="str">
        <f>IFERROR(VLOOKUP(BD21,[1]데이터시트!$B$3:$N$196,9,FALSE),"")</f>
        <v/>
      </c>
      <c r="BB60" s="2"/>
      <c r="BC60" s="2" t="str">
        <f>IFERROR(VLOOKUP(BE21,[1]데이터시트!$B$3:$N$196,9,FALSE),"")</f>
        <v/>
      </c>
      <c r="BD60" s="2" t="str">
        <f>IFERROR(VLOOKUP(BF21,[1]데이터시트!$B$3:$N$196,9,FALSE),"")</f>
        <v/>
      </c>
      <c r="BE60" s="2" t="str">
        <f>IFERROR(VLOOKUP(BH21,[1]데이터시트!$B$3:$N$196,9,FALSE),"")</f>
        <v/>
      </c>
      <c r="BF60"/>
      <c r="BG60"/>
      <c r="BH60"/>
    </row>
    <row r="61" spans="6:60" hidden="1" x14ac:dyDescent="0.3">
      <c r="F61" s="2" t="str">
        <f>IFERROR(VLOOKUP(F22,[1]데이터시트!$B$3:$N$196,9,FALSE),"")</f>
        <v/>
      </c>
      <c r="G61" s="2" t="str">
        <f>IFERROR(VLOOKUP(G22,[1]데이터시트!$B$3:$N$196,9,FALSE),"")</f>
        <v/>
      </c>
      <c r="H61" s="2" t="str">
        <f>IFERROR(VLOOKUP(H22,[1]데이터시트!$B$3:$N$196,9,FALSE),"")</f>
        <v/>
      </c>
      <c r="I61" s="2"/>
      <c r="J61" s="2" t="str">
        <f>IFERROR(VLOOKUP(J22,[1]데이터시트!$B$3:$N$196,9,FALSE),"")</f>
        <v/>
      </c>
      <c r="K61" s="2" t="str">
        <f>IFERROR(VLOOKUP(#REF!,[1]데이터시트!$B$3:$N$196,9,FALSE),"")</f>
        <v/>
      </c>
      <c r="L61" s="2" t="str">
        <f>IFERROR(VLOOKUP(#REF!,[1]데이터시트!$B$3:$N$196,9,FALSE),"")</f>
        <v/>
      </c>
      <c r="M61" s="2" t="str">
        <f>IFERROR(VLOOKUP(#REF!,[1]데이터시트!$B$3:$N$196,9,FALSE),"")</f>
        <v/>
      </c>
      <c r="N61" s="2"/>
      <c r="O61" s="2" t="str">
        <f>IFERROR(VLOOKUP(#REF!,[1]데이터시트!$B$3:$N$196,9,FALSE),"")</f>
        <v/>
      </c>
      <c r="P61" s="2" t="str">
        <f>IFERROR(VLOOKUP(P22,[1]데이터시트!$B$3:$N$196,9,FALSE),"")</f>
        <v/>
      </c>
      <c r="Q61" s="2" t="str">
        <f>IFERROR(VLOOKUP(Q22,[1]데이터시트!$B$3:$N$196,9,FALSE),"")</f>
        <v/>
      </c>
      <c r="R61" s="2" t="str">
        <f>IFERROR(VLOOKUP(R22,[1]데이터시트!$B$3:$N$196,9,FALSE),"")</f>
        <v/>
      </c>
      <c r="S61" s="2"/>
      <c r="T61" s="2" t="str">
        <f>IFERROR(VLOOKUP(T22,[1]데이터시트!$B$3:$N$196,9,FALSE),"")</f>
        <v/>
      </c>
      <c r="U61" s="2" t="str">
        <f>IFERROR(VLOOKUP(U22,[1]데이터시트!$B$3:$N$196,9,FALSE),"")</f>
        <v/>
      </c>
      <c r="V61" s="2" t="str">
        <f>IFERROR(VLOOKUP(V22,[1]데이터시트!$B$3:$N$196,9,FALSE),"")</f>
        <v/>
      </c>
      <c r="W61" s="2" t="str">
        <f>IFERROR(VLOOKUP(W22,[1]데이터시트!$B$3:$N$196,9,FALSE),"")</f>
        <v/>
      </c>
      <c r="X61" s="2"/>
      <c r="Y61" s="2" t="str">
        <f>IFERROR(VLOOKUP(Y22,[1]데이터시트!$B$3:$N$196,9,FALSE),"")</f>
        <v/>
      </c>
      <c r="Z61" s="2" t="str">
        <f>IFERROR(VLOOKUP(AB22,[1]데이터시트!$B$3:$N$196,9,FALSE),"")</f>
        <v/>
      </c>
      <c r="AA61" s="2" t="str">
        <f>IFERROR(VLOOKUP(AD22,[1]데이터시트!$B$3:$N$196,9,FALSE),"")</f>
        <v/>
      </c>
      <c r="AB61" s="2" t="str">
        <f>IFERROR(VLOOKUP(AE22,[1]데이터시트!$B$3:$N$196,9,FALSE),"")</f>
        <v/>
      </c>
      <c r="AC61" s="2"/>
      <c r="AD61" s="2" t="str">
        <f>IFERROR(VLOOKUP(AF22,[1]데이터시트!$B$3:$N$196,9,FALSE),"")</f>
        <v/>
      </c>
      <c r="AE61" s="2" t="str">
        <f>IFERROR(VLOOKUP(AG22,[1]데이터시트!$B$3:$N$196,9,FALSE),"")</f>
        <v/>
      </c>
      <c r="AF61" s="2" t="str">
        <f>IFERROR(VLOOKUP(AI22,[1]데이터시트!$B$3:$N$196,9,FALSE),"")</f>
        <v/>
      </c>
      <c r="AG61" s="2" t="str">
        <f>IFERROR(VLOOKUP(AJ22,[1]데이터시트!$B$3:$N$196,9,FALSE),"")</f>
        <v/>
      </c>
      <c r="AH61" s="2"/>
      <c r="AI61" s="2" t="str">
        <f>IFERROR(VLOOKUP(AK22,[1]데이터시트!$B$3:$N$196,9,FALSE),"")</f>
        <v/>
      </c>
      <c r="AJ61" s="2" t="str">
        <f>IFERROR(VLOOKUP(AL22,[1]데이터시트!$B$3:$N$196,9,FALSE),"")</f>
        <v/>
      </c>
      <c r="AK61" s="2" t="str">
        <f>IFERROR(VLOOKUP(AN22,[1]데이터시트!$B$3:$N$196,9,FALSE),"")</f>
        <v/>
      </c>
      <c r="AL61" s="2" t="str">
        <f>IFERROR(VLOOKUP(AO22,[1]데이터시트!$B$3:$N$196,9,FALSE),"")</f>
        <v/>
      </c>
      <c r="AM61" s="2"/>
      <c r="AN61" s="2" t="str">
        <f>IFERROR(VLOOKUP(AP22,[1]데이터시트!$B$3:$N$196,9,FALSE),"")</f>
        <v/>
      </c>
      <c r="AO61" s="2" t="str">
        <f>IFERROR(VLOOKUP(AQ22,[1]데이터시트!$B$3:$N$196,9,FALSE),"")</f>
        <v/>
      </c>
      <c r="AP61" s="2" t="str">
        <f>IFERROR(VLOOKUP(AS22,[1]데이터시트!$B$3:$N$196,9,FALSE),"")</f>
        <v/>
      </c>
      <c r="AQ61" s="2" t="str">
        <f>IFERROR(VLOOKUP(AT22,[1]데이터시트!$B$3:$N$196,9,FALSE),"")</f>
        <v/>
      </c>
      <c r="AR61" s="2"/>
      <c r="AS61" s="2" t="str">
        <f>IFERROR(VLOOKUP(AU22,[1]데이터시트!$B$3:$N$196,9,FALSE),"")</f>
        <v/>
      </c>
      <c r="AT61" s="2" t="str">
        <f>IFERROR(VLOOKUP(AV22,[1]데이터시트!$B$3:$N$196,9,FALSE),"")</f>
        <v/>
      </c>
      <c r="AU61" s="2" t="str">
        <f>IFERROR(VLOOKUP(AX22,[1]데이터시트!$B$3:$N$196,9,FALSE),"")</f>
        <v/>
      </c>
      <c r="AV61" s="2" t="str">
        <f>IFERROR(VLOOKUP(AY22,[1]데이터시트!$B$3:$N$196,9,FALSE),"")</f>
        <v/>
      </c>
      <c r="AW61" s="2"/>
      <c r="AX61" s="2" t="str">
        <f>IFERROR(VLOOKUP(AZ22,[1]데이터시트!$B$3:$N$196,9,FALSE),"")</f>
        <v/>
      </c>
      <c r="AY61" s="2" t="str">
        <f>IFERROR(VLOOKUP(BA22,[1]데이터시트!$B$3:$N$196,9,FALSE),"")</f>
        <v/>
      </c>
      <c r="AZ61" s="2" t="str">
        <f>IFERROR(VLOOKUP(BC22,[1]데이터시트!$B$3:$N$196,9,FALSE),"")</f>
        <v/>
      </c>
      <c r="BA61" s="2" t="str">
        <f>IFERROR(VLOOKUP(BD22,[1]데이터시트!$B$3:$N$196,9,FALSE),"")</f>
        <v/>
      </c>
      <c r="BB61" s="2"/>
      <c r="BC61" s="2" t="str">
        <f>IFERROR(VLOOKUP(BE22,[1]데이터시트!$B$3:$N$196,9,FALSE),"")</f>
        <v/>
      </c>
      <c r="BD61" s="2" t="str">
        <f>IFERROR(VLOOKUP(BF22,[1]데이터시트!$B$3:$N$196,9,FALSE),"")</f>
        <v/>
      </c>
      <c r="BE61" s="2" t="str">
        <f>IFERROR(VLOOKUP(BH22,[1]데이터시트!$B$3:$N$196,9,FALSE),"")</f>
        <v/>
      </c>
      <c r="BF61"/>
      <c r="BG61"/>
      <c r="BH61"/>
    </row>
    <row r="62" spans="6:60" hidden="1" x14ac:dyDescent="0.3">
      <c r="F62" s="2" t="str">
        <f>IFERROR(VLOOKUP(F23,[1]데이터시트!$B$3:$N$196,9,FALSE),"")</f>
        <v/>
      </c>
      <c r="G62" s="2" t="str">
        <f>IFERROR(VLOOKUP(G23,[1]데이터시트!$B$3:$N$196,9,FALSE),"")</f>
        <v/>
      </c>
      <c r="H62" s="2" t="str">
        <f>IFERROR(VLOOKUP(H23,[1]데이터시트!$B$3:$N$196,9,FALSE),"")</f>
        <v/>
      </c>
      <c r="I62" s="2"/>
      <c r="J62" s="2" t="str">
        <f>IFERROR(VLOOKUP(J23,[1]데이터시트!$B$3:$N$196,9,FALSE),"")</f>
        <v/>
      </c>
      <c r="K62" s="2" t="str">
        <f>IFERROR(VLOOKUP(#REF!,[1]데이터시트!$B$3:$N$196,9,FALSE),"")</f>
        <v/>
      </c>
      <c r="L62" s="2" t="str">
        <f>IFERROR(VLOOKUP(#REF!,[1]데이터시트!$B$3:$N$196,9,FALSE),"")</f>
        <v/>
      </c>
      <c r="M62" s="2" t="str">
        <f>IFERROR(VLOOKUP(#REF!,[1]데이터시트!$B$3:$N$196,9,FALSE),"")</f>
        <v/>
      </c>
      <c r="N62" s="2"/>
      <c r="O62" s="2" t="str">
        <f>IFERROR(VLOOKUP(#REF!,[1]데이터시트!$B$3:$N$196,9,FALSE),"")</f>
        <v/>
      </c>
      <c r="P62" s="2" t="str">
        <f>IFERROR(VLOOKUP(#REF!,[1]데이터시트!$B$3:$N$196,9,FALSE),"")</f>
        <v/>
      </c>
      <c r="Q62" s="2" t="str">
        <f>IFERROR(VLOOKUP(#REF!,[1]데이터시트!$B$3:$N$196,9,FALSE),"")</f>
        <v/>
      </c>
      <c r="R62" s="2" t="str">
        <f>IFERROR(VLOOKUP(#REF!,[1]데이터시트!$B$3:$N$196,9,FALSE),"")</f>
        <v/>
      </c>
      <c r="S62" s="2"/>
      <c r="T62" s="2" t="str">
        <f>IFERROR(VLOOKUP(#REF!,[1]데이터시트!$B$3:$N$196,9,FALSE),"")</f>
        <v/>
      </c>
      <c r="U62" s="2" t="str">
        <f>IFERROR(VLOOKUP(#REF!,[1]데이터시트!$B$3:$N$196,9,FALSE),"")</f>
        <v/>
      </c>
      <c r="V62" s="2" t="str">
        <f>IFERROR(VLOOKUP(#REF!,[1]데이터시트!$B$3:$N$196,9,FALSE),"")</f>
        <v/>
      </c>
      <c r="W62" s="2" t="str">
        <f>IFERROR(VLOOKUP(#REF!,[1]데이터시트!$B$3:$N$196,9,FALSE),"")</f>
        <v/>
      </c>
      <c r="X62" s="2"/>
      <c r="Y62" s="2" t="str">
        <f>IFERROR(VLOOKUP(#REF!,[1]데이터시트!$B$3:$N$196,9,FALSE),"")</f>
        <v/>
      </c>
      <c r="Z62" s="2" t="str">
        <f>IFERROR(VLOOKUP(AB23,[1]데이터시트!$B$3:$N$196,9,FALSE),"")</f>
        <v/>
      </c>
      <c r="AA62" s="2" t="str">
        <f>IFERROR(VLOOKUP(AD23,[1]데이터시트!$B$3:$N$196,9,FALSE),"")</f>
        <v/>
      </c>
      <c r="AB62" s="2" t="str">
        <f>IFERROR(VLOOKUP(AE23,[1]데이터시트!$B$3:$N$196,9,FALSE),"")</f>
        <v/>
      </c>
      <c r="AC62" s="2"/>
      <c r="AD62" s="2" t="str">
        <f>IFERROR(VLOOKUP(AF23,[1]데이터시트!$B$3:$N$196,9,FALSE),"")</f>
        <v/>
      </c>
      <c r="AE62" s="2" t="str">
        <f>IFERROR(VLOOKUP(AG23,[1]데이터시트!$B$3:$N$196,9,FALSE),"")</f>
        <v/>
      </c>
      <c r="AF62" s="2" t="str">
        <f>IFERROR(VLOOKUP(AI23,[1]데이터시트!$B$3:$N$196,9,FALSE),"")</f>
        <v/>
      </c>
      <c r="AG62" s="2" t="str">
        <f>IFERROR(VLOOKUP(#REF!,[1]데이터시트!$B$3:$N$196,9,FALSE),"")</f>
        <v/>
      </c>
      <c r="AH62" s="2"/>
      <c r="AI62" s="2" t="str">
        <f>IFERROR(VLOOKUP(#REF!,[1]데이터시트!$B$3:$N$196,9,FALSE),"")</f>
        <v/>
      </c>
      <c r="AJ62" s="2" t="str">
        <f>IFERROR(VLOOKUP(#REF!,[1]데이터시트!$B$3:$N$196,9,FALSE),"")</f>
        <v/>
      </c>
      <c r="AK62" s="2" t="str">
        <f>IFERROR(VLOOKUP(#REF!,[1]데이터시트!$B$3:$N$196,9,FALSE),"")</f>
        <v/>
      </c>
      <c r="AL62" s="2" t="str">
        <f>IFERROR(VLOOKUP(#REF!,[1]데이터시트!$B$3:$N$196,9,FALSE),"")</f>
        <v/>
      </c>
      <c r="AM62" s="2"/>
      <c r="AN62" s="2" t="str">
        <f>IFERROR(VLOOKUP(#REF!,[1]데이터시트!$B$3:$N$196,9,FALSE),"")</f>
        <v/>
      </c>
      <c r="AO62" s="2" t="str">
        <f>IFERROR(VLOOKUP(#REF!,[1]데이터시트!$B$3:$N$196,9,FALSE),"")</f>
        <v/>
      </c>
      <c r="AP62" s="2" t="str">
        <f>IFERROR(VLOOKUP(#REF!,[1]데이터시트!$B$3:$N$196,9,FALSE),"")</f>
        <v/>
      </c>
      <c r="AQ62" s="2" t="str">
        <f>IFERROR(VLOOKUP(AT23,[1]데이터시트!$B$3:$N$196,9,FALSE),"")</f>
        <v/>
      </c>
      <c r="AR62" s="2"/>
      <c r="AS62" s="2" t="str">
        <f>IFERROR(VLOOKUP(AU23,[1]데이터시트!$B$3:$N$196,9,FALSE),"")</f>
        <v/>
      </c>
      <c r="AT62" s="2" t="str">
        <f>IFERROR(VLOOKUP(AV23,[1]데이터시트!$B$3:$N$196,9,FALSE),"")</f>
        <v/>
      </c>
      <c r="AU62" s="2" t="str">
        <f>IFERROR(VLOOKUP(AX23,[1]데이터시트!$B$3:$N$196,9,FALSE),"")</f>
        <v/>
      </c>
      <c r="AV62" s="2" t="str">
        <f>IFERROR(VLOOKUP(AY23,[1]데이터시트!$B$3:$N$196,9,FALSE),"")</f>
        <v/>
      </c>
      <c r="AW62" s="2"/>
      <c r="AX62" s="2" t="str">
        <f>IFERROR(VLOOKUP(AZ23,[1]데이터시트!$B$3:$N$196,9,FALSE),"")</f>
        <v/>
      </c>
      <c r="AY62" s="2" t="str">
        <f>IFERROR(VLOOKUP(BA23,[1]데이터시트!$B$3:$N$196,9,FALSE),"")</f>
        <v/>
      </c>
      <c r="AZ62" s="2" t="str">
        <f>IFERROR(VLOOKUP(BC23,[1]데이터시트!$B$3:$N$196,9,FALSE),"")</f>
        <v/>
      </c>
      <c r="BA62" s="2" t="str">
        <f>IFERROR(VLOOKUP(BD23,[1]데이터시트!$B$3:$N$196,9,FALSE),"")</f>
        <v/>
      </c>
      <c r="BB62" s="2"/>
      <c r="BC62" s="2" t="str">
        <f>IFERROR(VLOOKUP(BE23,[1]데이터시트!$B$3:$N$196,9,FALSE),"")</f>
        <v/>
      </c>
      <c r="BD62" s="2" t="str">
        <f>IFERROR(VLOOKUP(BF23,[1]데이터시트!$B$3:$N$196,9,FALSE),"")</f>
        <v/>
      </c>
      <c r="BE62" s="2" t="str">
        <f>IFERROR(VLOOKUP(BH23,[1]데이터시트!$B$3:$N$196,9,FALSE),"")</f>
        <v/>
      </c>
      <c r="BF62"/>
      <c r="BG62"/>
      <c r="BH62"/>
    </row>
    <row r="63" spans="6:60" hidden="1" x14ac:dyDescent="0.3">
      <c r="F63" s="2" t="str">
        <f>IFERROR(VLOOKUP(F24,[1]데이터시트!$B$3:$N$196,9,FALSE),"")</f>
        <v/>
      </c>
      <c r="G63" s="2" t="str">
        <f>IFERROR(VLOOKUP(G24,[1]데이터시트!$B$3:$N$196,9,FALSE),"")</f>
        <v/>
      </c>
      <c r="H63" s="2" t="str">
        <f>IFERROR(VLOOKUP(H24,[1]데이터시트!$B$3:$N$196,9,FALSE),"")</f>
        <v/>
      </c>
      <c r="I63" s="2"/>
      <c r="J63" s="2" t="str">
        <f>IFERROR(VLOOKUP(J24,[1]데이터시트!$B$3:$N$196,9,FALSE),"")</f>
        <v/>
      </c>
      <c r="K63" s="2" t="str">
        <f>IFERROR(VLOOKUP(#REF!,[1]데이터시트!$B$3:$N$196,9,FALSE),"")</f>
        <v/>
      </c>
      <c r="L63" s="2" t="str">
        <f>IFERROR(VLOOKUP(#REF!,[1]데이터시트!$B$3:$N$196,9,FALSE),"")</f>
        <v/>
      </c>
      <c r="M63" s="2" t="str">
        <f>IFERROR(VLOOKUP(#REF!,[1]데이터시트!$B$3:$N$196,9,FALSE),"")</f>
        <v/>
      </c>
      <c r="N63" s="2"/>
      <c r="O63" s="2" t="str">
        <f>IFERROR(VLOOKUP(#REF!,[1]데이터시트!$B$3:$N$196,9,FALSE),"")</f>
        <v/>
      </c>
      <c r="P63" s="2" t="str">
        <f>IFERROR(VLOOKUP(#REF!,[1]데이터시트!$B$3:$N$196,9,FALSE),"")</f>
        <v/>
      </c>
      <c r="Q63" s="2" t="str">
        <f>IFERROR(VLOOKUP(#REF!,[1]데이터시트!$B$3:$N$196,9,FALSE),"")</f>
        <v/>
      </c>
      <c r="R63" s="2" t="str">
        <f>IFERROR(VLOOKUP(#REF!,[1]데이터시트!$B$3:$N$196,9,FALSE),"")</f>
        <v/>
      </c>
      <c r="S63" s="2"/>
      <c r="T63" s="2" t="str">
        <f>IFERROR(VLOOKUP(#REF!,[1]데이터시트!$B$3:$N$196,9,FALSE),"")</f>
        <v/>
      </c>
      <c r="U63" s="2" t="str">
        <f>IFERROR(VLOOKUP(U24,[1]데이터시트!$B$3:$N$196,9,FALSE),"")</f>
        <v/>
      </c>
      <c r="V63" s="2" t="str">
        <f>IFERROR(VLOOKUP(V24,[1]데이터시트!$B$3:$N$196,9,FALSE),"")</f>
        <v/>
      </c>
      <c r="W63" s="2" t="str">
        <f>IFERROR(VLOOKUP(W24,[1]데이터시트!$B$3:$N$196,9,FALSE),"")</f>
        <v/>
      </c>
      <c r="X63" s="2"/>
      <c r="Y63" s="2" t="str">
        <f>IFERROR(VLOOKUP(Y24,[1]데이터시트!$B$3:$N$196,9,FALSE),"")</f>
        <v/>
      </c>
      <c r="Z63" s="2" t="str">
        <f>IFERROR(VLOOKUP(AB24,[1]데이터시트!$B$3:$N$196,9,FALSE),"")</f>
        <v/>
      </c>
      <c r="AA63" s="2" t="str">
        <f>IFERROR(VLOOKUP(AD24,[1]데이터시트!$B$3:$N$196,9,FALSE),"")</f>
        <v/>
      </c>
      <c r="AB63" s="2" t="str">
        <f>IFERROR(VLOOKUP(AE24,[1]데이터시트!$B$3:$N$196,9,FALSE),"")</f>
        <v/>
      </c>
      <c r="AC63" s="2"/>
      <c r="AD63" s="2" t="str">
        <f>IFERROR(VLOOKUP(AF24,[1]데이터시트!$B$3:$N$196,9,FALSE),"")</f>
        <v/>
      </c>
      <c r="AE63" s="2" t="str">
        <f>IFERROR(VLOOKUP(AG24,[1]데이터시트!$B$3:$N$196,9,FALSE),"")</f>
        <v/>
      </c>
      <c r="AF63" s="2" t="str">
        <f>IFERROR(VLOOKUP(AI24,[1]데이터시트!$B$3:$N$196,9,FALSE),"")</f>
        <v/>
      </c>
      <c r="AG63" s="2" t="str">
        <f>IFERROR(VLOOKUP(#REF!,[1]데이터시트!$B$3:$N$196,9,FALSE),"")</f>
        <v/>
      </c>
      <c r="AH63" s="2"/>
      <c r="AI63" s="2" t="str">
        <f>IFERROR(VLOOKUP(#REF!,[1]데이터시트!$B$3:$N$196,9,FALSE),"")</f>
        <v/>
      </c>
      <c r="AJ63" s="2" t="str">
        <f>IFERROR(VLOOKUP(#REF!,[1]데이터시트!$B$3:$N$196,9,FALSE),"")</f>
        <v/>
      </c>
      <c r="AK63" s="2" t="str">
        <f>IFERROR(VLOOKUP(#REF!,[1]데이터시트!$B$3:$N$196,9,FALSE),"")</f>
        <v/>
      </c>
      <c r="AL63" s="2" t="str">
        <f>IFERROR(VLOOKUP(#REF!,[1]데이터시트!$B$3:$N$196,9,FALSE),"")</f>
        <v/>
      </c>
      <c r="AM63" s="2"/>
      <c r="AN63" s="2" t="str">
        <f>IFERROR(VLOOKUP(#REF!,[1]데이터시트!$B$3:$N$196,9,FALSE),"")</f>
        <v/>
      </c>
      <c r="AO63" s="2" t="str">
        <f>IFERROR(VLOOKUP(#REF!,[1]데이터시트!$B$3:$N$196,9,FALSE),"")</f>
        <v/>
      </c>
      <c r="AP63" s="2" t="str">
        <f>IFERROR(VLOOKUP(#REF!,[1]데이터시트!$B$3:$N$196,9,FALSE),"")</f>
        <v/>
      </c>
      <c r="AQ63" s="2" t="str">
        <f>IFERROR(VLOOKUP(AT24,[1]데이터시트!$B$3:$N$196,9,FALSE),"")</f>
        <v/>
      </c>
      <c r="AR63" s="2"/>
      <c r="AS63" s="2" t="str">
        <f>IFERROR(VLOOKUP(AU24,[1]데이터시트!$B$3:$N$196,9,FALSE),"")</f>
        <v/>
      </c>
      <c r="AT63" s="2" t="str">
        <f>IFERROR(VLOOKUP(AV24,[1]데이터시트!$B$3:$N$196,9,FALSE),"")</f>
        <v/>
      </c>
      <c r="AU63" s="2" t="str">
        <f>IFERROR(VLOOKUP(AX24,[1]데이터시트!$B$3:$N$196,9,FALSE),"")</f>
        <v/>
      </c>
      <c r="AV63" s="2" t="str">
        <f>IFERROR(VLOOKUP(AY24,[1]데이터시트!$B$3:$N$196,9,FALSE),"")</f>
        <v/>
      </c>
      <c r="AW63" s="2"/>
      <c r="AX63" s="2" t="str">
        <f>IFERROR(VLOOKUP(AZ24,[1]데이터시트!$B$3:$N$196,9,FALSE),"")</f>
        <v/>
      </c>
      <c r="AY63" s="2" t="str">
        <f>IFERROR(VLOOKUP(BA24,[1]데이터시트!$B$3:$N$196,9,FALSE),"")</f>
        <v/>
      </c>
      <c r="AZ63" s="2" t="str">
        <f>IFERROR(VLOOKUP(BC24,[1]데이터시트!$B$3:$N$196,9,FALSE),"")</f>
        <v/>
      </c>
      <c r="BA63" s="2" t="str">
        <f>IFERROR(VLOOKUP(BD24,[1]데이터시트!$B$3:$N$196,9,FALSE),"")</f>
        <v/>
      </c>
      <c r="BB63" s="2"/>
      <c r="BC63" s="2" t="str">
        <f>IFERROR(VLOOKUP(BE24,[1]데이터시트!$B$3:$N$196,9,FALSE),"")</f>
        <v/>
      </c>
      <c r="BD63" s="2" t="str">
        <f>IFERROR(VLOOKUP(BF24,[1]데이터시트!$B$3:$N$196,9,FALSE),"")</f>
        <v/>
      </c>
      <c r="BE63" s="2" t="str">
        <f>IFERROR(VLOOKUP(BH24,[1]데이터시트!$B$3:$N$196,9,FALSE),"")</f>
        <v/>
      </c>
      <c r="BF63"/>
      <c r="BG63"/>
      <c r="BH63"/>
    </row>
    <row r="64" spans="6:60" hidden="1" x14ac:dyDescent="0.3">
      <c r="F64" s="2" t="str">
        <f>IFERROR(VLOOKUP(F25,[1]데이터시트!$B$3:$N$196,9,FALSE),"")</f>
        <v/>
      </c>
      <c r="G64" s="2" t="str">
        <f>IFERROR(VLOOKUP(G25,[1]데이터시트!$B$3:$N$196,9,FALSE),"")</f>
        <v/>
      </c>
      <c r="H64" s="2" t="str">
        <f>IFERROR(VLOOKUP(H25,[1]데이터시트!$B$3:$N$196,9,FALSE),"")</f>
        <v/>
      </c>
      <c r="I64" s="2"/>
      <c r="J64" s="2" t="str">
        <f>IFERROR(VLOOKUP(J25,[1]데이터시트!$B$3:$N$196,9,FALSE),"")</f>
        <v/>
      </c>
      <c r="K64" s="2" t="str">
        <f>IFERROR(VLOOKUP(K25,[1]데이터시트!$B$3:$N$196,9,FALSE),"")</f>
        <v/>
      </c>
      <c r="L64" s="2" t="str">
        <f>IFERROR(VLOOKUP(L25,[1]데이터시트!$B$3:$N$196,9,FALSE),"")</f>
        <v/>
      </c>
      <c r="M64" s="2" t="str">
        <f>IFERROR(VLOOKUP(M25,[1]데이터시트!$B$3:$N$196,9,FALSE),"")</f>
        <v/>
      </c>
      <c r="N64" s="2"/>
      <c r="O64" s="2" t="str">
        <f>IFERROR(VLOOKUP(O25,[1]데이터시트!$B$3:$N$196,9,FALSE),"")</f>
        <v/>
      </c>
      <c r="P64" s="2" t="str">
        <f>IFERROR(VLOOKUP(P25,[1]데이터시트!$B$3:$N$196,9,FALSE),"")</f>
        <v/>
      </c>
      <c r="Q64" s="2" t="str">
        <f>IFERROR(VLOOKUP(Q25,[1]데이터시트!$B$3:$N$196,9,FALSE),"")</f>
        <v/>
      </c>
      <c r="R64" s="2" t="str">
        <f>IFERROR(VLOOKUP(R25,[1]데이터시트!$B$3:$N$196,9,FALSE),"")</f>
        <v/>
      </c>
      <c r="S64" s="2"/>
      <c r="T64" s="2" t="str">
        <f>IFERROR(VLOOKUP(T25,[1]데이터시트!$B$3:$N$196,9,FALSE),"")</f>
        <v/>
      </c>
      <c r="U64" s="2" t="str">
        <f>IFERROR(VLOOKUP(U25,[1]데이터시트!$B$3:$N$196,9,FALSE),"")</f>
        <v/>
      </c>
      <c r="V64" s="2" t="str">
        <f>IFERROR(VLOOKUP(V25,[1]데이터시트!$B$3:$N$196,9,FALSE),"")</f>
        <v/>
      </c>
      <c r="W64" s="2" t="str">
        <f>IFERROR(VLOOKUP(W25,[1]데이터시트!$B$3:$N$196,9,FALSE),"")</f>
        <v/>
      </c>
      <c r="X64" s="2"/>
      <c r="Y64" s="2" t="str">
        <f>IFERROR(VLOOKUP(Y25,[1]데이터시트!$B$3:$N$196,9,FALSE),"")</f>
        <v/>
      </c>
      <c r="Z64" s="2" t="str">
        <f>IFERROR(VLOOKUP(AB25,[1]데이터시트!$B$3:$N$196,9,FALSE),"")</f>
        <v/>
      </c>
      <c r="AA64" s="2" t="str">
        <f>IFERROR(VLOOKUP(AD25,[1]데이터시트!$B$3:$N$196,9,FALSE),"")</f>
        <v/>
      </c>
      <c r="AB64" s="2" t="str">
        <f>IFERROR(VLOOKUP(AE25,[1]데이터시트!$B$3:$N$196,9,FALSE),"")</f>
        <v/>
      </c>
      <c r="AC64" s="2"/>
      <c r="AD64" s="2" t="str">
        <f>IFERROR(VLOOKUP(AF25,[1]데이터시트!$B$3:$N$196,9,FALSE),"")</f>
        <v/>
      </c>
      <c r="AE64" s="2" t="str">
        <f>IFERROR(VLOOKUP(AG25,[1]데이터시트!$B$3:$N$196,9,FALSE),"")</f>
        <v/>
      </c>
      <c r="AF64" s="2" t="str">
        <f>IFERROR(VLOOKUP(AI25,[1]데이터시트!$B$3:$N$196,9,FALSE),"")</f>
        <v/>
      </c>
      <c r="AG64" s="2" t="str">
        <f>IFERROR(VLOOKUP(#REF!,[1]데이터시트!$B$3:$N$196,9,FALSE),"")</f>
        <v/>
      </c>
      <c r="AH64" s="2"/>
      <c r="AI64" s="2" t="str">
        <f>IFERROR(VLOOKUP(#REF!,[1]데이터시트!$B$3:$N$196,9,FALSE),"")</f>
        <v/>
      </c>
      <c r="AJ64" s="2" t="str">
        <f>IFERROR(VLOOKUP(#REF!,[1]데이터시트!$B$3:$N$196,9,FALSE),"")</f>
        <v/>
      </c>
      <c r="AK64" s="2" t="str">
        <f>IFERROR(VLOOKUP(#REF!,[1]데이터시트!$B$3:$N$196,9,FALSE),"")</f>
        <v/>
      </c>
      <c r="AL64" s="2" t="str">
        <f>IFERROR(VLOOKUP(#REF!,[1]데이터시트!$B$3:$N$196,9,FALSE),"")</f>
        <v/>
      </c>
      <c r="AM64" s="2"/>
      <c r="AN64" s="2" t="str">
        <f>IFERROR(VLOOKUP(#REF!,[1]데이터시트!$B$3:$N$196,9,FALSE),"")</f>
        <v/>
      </c>
      <c r="AO64" s="2" t="str">
        <f>IFERROR(VLOOKUP(#REF!,[1]데이터시트!$B$3:$N$196,9,FALSE),"")</f>
        <v/>
      </c>
      <c r="AP64" s="2" t="str">
        <f>IFERROR(VLOOKUP(#REF!,[1]데이터시트!$B$3:$N$196,9,FALSE),"")</f>
        <v/>
      </c>
      <c r="AQ64" s="2" t="str">
        <f>IFERROR(VLOOKUP(AT25,[1]데이터시트!$B$3:$N$196,9,FALSE),"")</f>
        <v/>
      </c>
      <c r="AR64" s="2"/>
      <c r="AS64" s="2" t="str">
        <f>IFERROR(VLOOKUP(AU25,[1]데이터시트!$B$3:$N$196,9,FALSE),"")</f>
        <v/>
      </c>
      <c r="AT64" s="2" t="str">
        <f>IFERROR(VLOOKUP(AV25,[1]데이터시트!$B$3:$N$196,9,FALSE),"")</f>
        <v/>
      </c>
      <c r="AU64" s="2" t="str">
        <f>IFERROR(VLOOKUP(AX25,[1]데이터시트!$B$3:$N$196,9,FALSE),"")</f>
        <v/>
      </c>
      <c r="AV64" s="2" t="str">
        <f>IFERROR(VLOOKUP(AY25,[1]데이터시트!$B$3:$N$196,9,FALSE),"")</f>
        <v/>
      </c>
      <c r="AW64" s="2"/>
      <c r="AX64" s="2" t="str">
        <f>IFERROR(VLOOKUP(AZ25,[1]데이터시트!$B$3:$N$196,9,FALSE),"")</f>
        <v/>
      </c>
      <c r="AY64" s="2" t="str">
        <f>IFERROR(VLOOKUP(BA25,[1]데이터시트!$B$3:$N$196,9,FALSE),"")</f>
        <v/>
      </c>
      <c r="AZ64" s="2" t="str">
        <f>IFERROR(VLOOKUP(BC25,[1]데이터시트!$B$3:$N$196,9,FALSE),"")</f>
        <v/>
      </c>
      <c r="BA64" s="2" t="str">
        <f>IFERROR(VLOOKUP(BD25,[1]데이터시트!$B$3:$N$196,9,FALSE),"")</f>
        <v/>
      </c>
      <c r="BB64" s="2"/>
      <c r="BC64" s="2" t="str">
        <f>IFERROR(VLOOKUP(BE25,[1]데이터시트!$B$3:$N$196,9,FALSE),"")</f>
        <v/>
      </c>
      <c r="BD64" s="2" t="str">
        <f>IFERROR(VLOOKUP(BF25,[1]데이터시트!$B$3:$N$196,9,FALSE),"")</f>
        <v/>
      </c>
      <c r="BE64" s="2" t="str">
        <f>IFERROR(VLOOKUP(BH25,[1]데이터시트!$B$3:$N$196,9,FALSE),"")</f>
        <v/>
      </c>
      <c r="BF64"/>
      <c r="BG64"/>
      <c r="BH64"/>
    </row>
    <row r="65" spans="6:60" hidden="1" x14ac:dyDescent="0.3">
      <c r="F65" s="2" t="str">
        <f>IFERROR(VLOOKUP(F26,[1]데이터시트!$B$3:$N$196,9,FALSE),"")</f>
        <v/>
      </c>
      <c r="G65" s="2" t="str">
        <f>IFERROR(VLOOKUP(G26,[1]데이터시트!$B$3:$N$196,9,FALSE),"")</f>
        <v/>
      </c>
      <c r="H65" s="2" t="str">
        <f>IFERROR(VLOOKUP(H26,[1]데이터시트!$B$3:$N$196,9,FALSE),"")</f>
        <v/>
      </c>
      <c r="I65" s="2"/>
      <c r="J65" s="2" t="str">
        <f>IFERROR(VLOOKUP(J26,[1]데이터시트!$B$3:$N$196,9,FALSE),"")</f>
        <v/>
      </c>
      <c r="K65" s="2" t="str">
        <f>IFERROR(VLOOKUP(K26,[1]데이터시트!$B$3:$N$196,9,FALSE),"")</f>
        <v/>
      </c>
      <c r="L65" s="2" t="str">
        <f>IFERROR(VLOOKUP(L26,[1]데이터시트!$B$3:$N$196,9,FALSE),"")</f>
        <v/>
      </c>
      <c r="M65" s="2" t="str">
        <f>IFERROR(VLOOKUP(M26,[1]데이터시트!$B$3:$N$196,9,FALSE),"")</f>
        <v/>
      </c>
      <c r="N65" s="2"/>
      <c r="O65" s="2" t="str">
        <f>IFERROR(VLOOKUP(O26,[1]데이터시트!$B$3:$N$196,9,FALSE),"")</f>
        <v/>
      </c>
      <c r="P65" s="2" t="str">
        <f>IFERROR(VLOOKUP(P26,[1]데이터시트!$B$3:$N$196,9,FALSE),"")</f>
        <v/>
      </c>
      <c r="Q65" s="2" t="str">
        <f>IFERROR(VLOOKUP(Q26,[1]데이터시트!$B$3:$N$196,9,FALSE),"")</f>
        <v/>
      </c>
      <c r="R65" s="2" t="str">
        <f>IFERROR(VLOOKUP(R26,[1]데이터시트!$B$3:$N$196,9,FALSE),"")</f>
        <v/>
      </c>
      <c r="S65" s="2"/>
      <c r="T65" s="2" t="str">
        <f>IFERROR(VLOOKUP(T26,[1]데이터시트!$B$3:$N$196,9,FALSE),"")</f>
        <v/>
      </c>
      <c r="U65" s="2" t="str">
        <f>IFERROR(VLOOKUP(U26,[1]데이터시트!$B$3:$N$196,9,FALSE),"")</f>
        <v/>
      </c>
      <c r="V65" s="2" t="str">
        <f>IFERROR(VLOOKUP(V26,[1]데이터시트!$B$3:$N$196,9,FALSE),"")</f>
        <v/>
      </c>
      <c r="W65" s="2" t="str">
        <f>IFERROR(VLOOKUP(W26,[1]데이터시트!$B$3:$N$196,9,FALSE),"")</f>
        <v/>
      </c>
      <c r="X65" s="2"/>
      <c r="Y65" s="2" t="str">
        <f>IFERROR(VLOOKUP(Y26,[1]데이터시트!$B$3:$N$196,9,FALSE),"")</f>
        <v/>
      </c>
      <c r="Z65" s="2" t="str">
        <f>IFERROR(VLOOKUP(AB26,[1]데이터시트!$B$3:$N$196,9,FALSE),"")</f>
        <v/>
      </c>
      <c r="AA65" s="2" t="str">
        <f>IFERROR(VLOOKUP(AD26,[1]데이터시트!$B$3:$N$196,9,FALSE),"")</f>
        <v/>
      </c>
      <c r="AB65" s="2" t="str">
        <f>IFERROR(VLOOKUP(AE26,[1]데이터시트!$B$3:$N$196,9,FALSE),"")</f>
        <v/>
      </c>
      <c r="AC65" s="2"/>
      <c r="AD65" s="2" t="str">
        <f>IFERROR(VLOOKUP(AF26,[1]데이터시트!$B$3:$N$196,9,FALSE),"")</f>
        <v/>
      </c>
      <c r="AE65" s="2" t="str">
        <f>IFERROR(VLOOKUP(AG26,[1]데이터시트!$B$3:$N$196,9,FALSE),"")</f>
        <v/>
      </c>
      <c r="AF65" s="2" t="str">
        <f>IFERROR(VLOOKUP(AI26,[1]데이터시트!$B$3:$N$196,9,FALSE),"")</f>
        <v/>
      </c>
      <c r="AG65" s="2" t="str">
        <f>IFERROR(VLOOKUP(AJ26,[1]데이터시트!$B$3:$N$196,9,FALSE),"")</f>
        <v/>
      </c>
      <c r="AH65" s="2"/>
      <c r="AI65" s="2" t="str">
        <f>IFERROR(VLOOKUP(AK26,[1]데이터시트!$B$3:$N$196,9,FALSE),"")</f>
        <v/>
      </c>
      <c r="AJ65" s="2" t="str">
        <f>IFERROR(VLOOKUP(AL26,[1]데이터시트!$B$3:$N$196,9,FALSE),"")</f>
        <v/>
      </c>
      <c r="AK65" s="2" t="str">
        <f>IFERROR(VLOOKUP(AN26,[1]데이터시트!$B$3:$N$196,9,FALSE),"")</f>
        <v/>
      </c>
      <c r="AL65" s="2" t="str">
        <f>IFERROR(VLOOKUP(AO26,[1]데이터시트!$B$3:$N$196,9,FALSE),"")</f>
        <v/>
      </c>
      <c r="AM65" s="2"/>
      <c r="AN65" s="2" t="str">
        <f>IFERROR(VLOOKUP(AP26,[1]데이터시트!$B$3:$N$196,9,FALSE),"")</f>
        <v/>
      </c>
      <c r="AO65" s="2" t="str">
        <f>IFERROR(VLOOKUP(AQ26,[1]데이터시트!$B$3:$N$196,9,FALSE),"")</f>
        <v/>
      </c>
      <c r="AP65" s="2" t="str">
        <f>IFERROR(VLOOKUP(AS26,[1]데이터시트!$B$3:$N$196,9,FALSE),"")</f>
        <v/>
      </c>
      <c r="AQ65" s="2" t="str">
        <f>IFERROR(VLOOKUP(AT26,[1]데이터시트!$B$3:$N$196,9,FALSE),"")</f>
        <v/>
      </c>
      <c r="AR65" s="2"/>
      <c r="AS65" s="2" t="str">
        <f>IFERROR(VLOOKUP(AU26,[1]데이터시트!$B$3:$N$196,9,FALSE),"")</f>
        <v/>
      </c>
      <c r="AT65" s="2" t="str">
        <f>IFERROR(VLOOKUP(AV26,[1]데이터시트!$B$3:$N$196,9,FALSE),"")</f>
        <v/>
      </c>
      <c r="AU65" s="2" t="str">
        <f>IFERROR(VLOOKUP(AX26,[1]데이터시트!$B$3:$N$196,9,FALSE),"")</f>
        <v/>
      </c>
      <c r="AV65" s="2" t="str">
        <f>IFERROR(VLOOKUP(AY26,[1]데이터시트!$B$3:$N$196,9,FALSE),"")</f>
        <v/>
      </c>
      <c r="AW65" s="2"/>
      <c r="AX65" s="2" t="str">
        <f>IFERROR(VLOOKUP(AZ26,[1]데이터시트!$B$3:$N$196,9,FALSE),"")</f>
        <v/>
      </c>
      <c r="AY65" s="2" t="str">
        <f>IFERROR(VLOOKUP(BA26,[1]데이터시트!$B$3:$N$196,9,FALSE),"")</f>
        <v/>
      </c>
      <c r="AZ65" s="2" t="str">
        <f>IFERROR(VLOOKUP(BC26,[1]데이터시트!$B$3:$N$196,9,FALSE),"")</f>
        <v/>
      </c>
      <c r="BA65" s="2" t="str">
        <f>IFERROR(VLOOKUP(BD26,[1]데이터시트!$B$3:$N$196,9,FALSE),"")</f>
        <v/>
      </c>
      <c r="BB65" s="2"/>
      <c r="BC65" s="2" t="str">
        <f>IFERROR(VLOOKUP(BE26,[1]데이터시트!$B$3:$N$196,9,FALSE),"")</f>
        <v/>
      </c>
      <c r="BD65" s="2" t="str">
        <f>IFERROR(VLOOKUP(BF26,[1]데이터시트!$B$3:$N$196,9,FALSE),"")</f>
        <v/>
      </c>
      <c r="BE65" s="2" t="str">
        <f>IFERROR(VLOOKUP(BH26,[1]데이터시트!$B$3:$N$196,9,FALSE),"")</f>
        <v/>
      </c>
      <c r="BF65"/>
      <c r="BG65"/>
      <c r="BH65"/>
    </row>
    <row r="66" spans="6:60" hidden="1" x14ac:dyDescent="0.3">
      <c r="F66" s="2" t="str">
        <f>IFERROR(VLOOKUP(F27,[1]데이터시트!$B$3:$N$196,9,FALSE),"")</f>
        <v/>
      </c>
      <c r="G66" s="2" t="str">
        <f>IFERROR(VLOOKUP(G27,[1]데이터시트!$B$3:$N$196,9,FALSE),"")</f>
        <v/>
      </c>
      <c r="H66" s="2" t="str">
        <f>IFERROR(VLOOKUP(H27,[1]데이터시트!$B$3:$N$196,9,FALSE),"")</f>
        <v/>
      </c>
      <c r="I66" s="2"/>
      <c r="J66" s="2" t="str">
        <f>IFERROR(VLOOKUP(J27,[1]데이터시트!$B$3:$N$196,9,FALSE),"")</f>
        <v/>
      </c>
      <c r="K66" s="2" t="str">
        <f>IFERROR(VLOOKUP(K27,[1]데이터시트!$B$3:$N$196,9,FALSE),"")</f>
        <v/>
      </c>
      <c r="L66" s="2" t="str">
        <f>IFERROR(VLOOKUP(L27,[1]데이터시트!$B$3:$N$196,9,FALSE),"")</f>
        <v/>
      </c>
      <c r="M66" s="2" t="str">
        <f>IFERROR(VLOOKUP(M27,[1]데이터시트!$B$3:$N$196,9,FALSE),"")</f>
        <v/>
      </c>
      <c r="N66" s="2"/>
      <c r="O66" s="2" t="str">
        <f>IFERROR(VLOOKUP(O27,[1]데이터시트!$B$3:$N$196,9,FALSE),"")</f>
        <v/>
      </c>
      <c r="P66" s="2" t="str">
        <f>IFERROR(VLOOKUP(P27,[1]데이터시트!$B$3:$N$196,9,FALSE),"")</f>
        <v/>
      </c>
      <c r="Q66" s="2" t="str">
        <f>IFERROR(VLOOKUP(Q27,[1]데이터시트!$B$3:$N$196,9,FALSE),"")</f>
        <v/>
      </c>
      <c r="R66" s="2" t="str">
        <f>IFERROR(VLOOKUP(R27,[1]데이터시트!$B$3:$N$196,9,FALSE),"")</f>
        <v/>
      </c>
      <c r="S66" s="2"/>
      <c r="T66" s="2" t="str">
        <f>IFERROR(VLOOKUP(T27,[1]데이터시트!$B$3:$N$196,9,FALSE),"")</f>
        <v/>
      </c>
      <c r="U66" s="2" t="str">
        <f>IFERROR(VLOOKUP(U27,[1]데이터시트!$B$3:$N$196,9,FALSE),"")</f>
        <v/>
      </c>
      <c r="V66" s="2" t="str">
        <f>IFERROR(VLOOKUP(V27,[1]데이터시트!$B$3:$N$196,9,FALSE),"")</f>
        <v/>
      </c>
      <c r="W66" s="2" t="str">
        <f>IFERROR(VLOOKUP(W27,[1]데이터시트!$B$3:$N$196,9,FALSE),"")</f>
        <v/>
      </c>
      <c r="X66" s="2"/>
      <c r="Y66" s="2" t="str">
        <f>IFERROR(VLOOKUP(Y27,[1]데이터시트!$B$3:$N$196,9,FALSE),"")</f>
        <v/>
      </c>
      <c r="Z66" s="2" t="str">
        <f>IFERROR(VLOOKUP(AB27,[1]데이터시트!$B$3:$N$196,9,FALSE),"")</f>
        <v/>
      </c>
      <c r="AA66" s="2" t="str">
        <f>IFERROR(VLOOKUP(AD27,[1]데이터시트!$B$3:$N$196,9,FALSE),"")</f>
        <v/>
      </c>
      <c r="AB66" s="2" t="str">
        <f>IFERROR(VLOOKUP(AE27,[1]데이터시트!$B$3:$N$196,9,FALSE),"")</f>
        <v/>
      </c>
      <c r="AC66" s="2"/>
      <c r="AD66" s="2" t="str">
        <f>IFERROR(VLOOKUP(AF27,[1]데이터시트!$B$3:$N$196,9,FALSE),"")</f>
        <v/>
      </c>
      <c r="AE66" s="2" t="str">
        <f>IFERROR(VLOOKUP(AG27,[1]데이터시트!$B$3:$N$196,9,FALSE),"")</f>
        <v/>
      </c>
      <c r="AF66" s="2" t="str">
        <f>IFERROR(VLOOKUP(AI27,[1]데이터시트!$B$3:$N$196,9,FALSE),"")</f>
        <v/>
      </c>
      <c r="AG66" s="2" t="str">
        <f>IFERROR(VLOOKUP(AJ27,[1]데이터시트!$B$3:$N$196,9,FALSE),"")</f>
        <v/>
      </c>
      <c r="AH66" s="2"/>
      <c r="AI66" s="2" t="str">
        <f>IFERROR(VLOOKUP(AK27,[1]데이터시트!$B$3:$N$196,9,FALSE),"")</f>
        <v/>
      </c>
      <c r="AJ66" s="2" t="str">
        <f>IFERROR(VLOOKUP(AL27,[1]데이터시트!$B$3:$N$196,9,FALSE),"")</f>
        <v/>
      </c>
      <c r="AK66" s="2" t="str">
        <f>IFERROR(VLOOKUP(AN27,[1]데이터시트!$B$3:$N$196,9,FALSE),"")</f>
        <v/>
      </c>
      <c r="AL66" s="2" t="str">
        <f>IFERROR(VLOOKUP(AO27,[1]데이터시트!$B$3:$N$196,9,FALSE),"")</f>
        <v/>
      </c>
      <c r="AM66" s="2"/>
      <c r="AN66" s="2" t="str">
        <f>IFERROR(VLOOKUP(AP27,[1]데이터시트!$B$3:$N$196,9,FALSE),"")</f>
        <v/>
      </c>
      <c r="AO66" s="2" t="str">
        <f>IFERROR(VLOOKUP(AQ27,[1]데이터시트!$B$3:$N$196,9,FALSE),"")</f>
        <v/>
      </c>
      <c r="AP66" s="2" t="str">
        <f>IFERROR(VLOOKUP(AS27,[1]데이터시트!$B$3:$N$196,9,FALSE),"")</f>
        <v/>
      </c>
      <c r="AQ66" s="2" t="str">
        <f>IFERROR(VLOOKUP(AT27,[1]데이터시트!$B$3:$N$196,9,FALSE),"")</f>
        <v/>
      </c>
      <c r="AR66" s="2"/>
      <c r="AS66" s="2" t="str">
        <f>IFERROR(VLOOKUP(AU27,[1]데이터시트!$B$3:$N$196,9,FALSE),"")</f>
        <v/>
      </c>
      <c r="AT66" s="2" t="str">
        <f>IFERROR(VLOOKUP(AV27,[1]데이터시트!$B$3:$N$196,9,FALSE),"")</f>
        <v/>
      </c>
      <c r="AU66" s="2" t="str">
        <f>IFERROR(VLOOKUP(AX27,[1]데이터시트!$B$3:$N$196,9,FALSE),"")</f>
        <v/>
      </c>
      <c r="AV66" s="2" t="str">
        <f>IFERROR(VLOOKUP(AY27,[1]데이터시트!$B$3:$N$196,9,FALSE),"")</f>
        <v/>
      </c>
      <c r="AW66" s="2"/>
      <c r="AX66" s="2" t="str">
        <f>IFERROR(VLOOKUP(AZ27,[1]데이터시트!$B$3:$N$196,9,FALSE),"")</f>
        <v/>
      </c>
      <c r="AY66" s="2" t="str">
        <f>IFERROR(VLOOKUP(BA27,[1]데이터시트!$B$3:$N$196,9,FALSE),"")</f>
        <v/>
      </c>
      <c r="AZ66" s="2" t="str">
        <f>IFERROR(VLOOKUP(BC27,[1]데이터시트!$B$3:$N$196,9,FALSE),"")</f>
        <v/>
      </c>
      <c r="BA66" s="2" t="str">
        <f>IFERROR(VLOOKUP(BD27,[1]데이터시트!$B$3:$N$196,9,FALSE),"")</f>
        <v/>
      </c>
      <c r="BB66" s="2"/>
      <c r="BC66" s="2" t="str">
        <f>IFERROR(VLOOKUP(BE27,[1]데이터시트!$B$3:$N$196,9,FALSE),"")</f>
        <v>기계ㆍ소재</v>
      </c>
      <c r="BD66" s="2" t="str">
        <f>IFERROR(VLOOKUP(BF27,[1]데이터시트!$B$3:$N$196,9,FALSE),"")</f>
        <v/>
      </c>
      <c r="BE66" s="2" t="str">
        <f>IFERROR(VLOOKUP(BH27,[1]데이터시트!$B$3:$N$196,9,FALSE),"")</f>
        <v/>
      </c>
      <c r="BF66"/>
      <c r="BG66"/>
      <c r="BH66"/>
    </row>
    <row r="67" spans="6:60" hidden="1" x14ac:dyDescent="0.3">
      <c r="F67" s="2" t="str">
        <f>IFERROR(VLOOKUP(F28,[1]데이터시트!$B$3:$N$196,9,FALSE),"")</f>
        <v/>
      </c>
      <c r="G67" s="2" t="str">
        <f>IFERROR(VLOOKUP(G28,[1]데이터시트!$B$3:$N$196,9,FALSE),"")</f>
        <v/>
      </c>
      <c r="H67" s="2" t="str">
        <f>IFERROR(VLOOKUP(H28,[1]데이터시트!$B$3:$N$196,9,FALSE),"")</f>
        <v/>
      </c>
      <c r="I67" s="2"/>
      <c r="J67" s="2" t="str">
        <f>IFERROR(VLOOKUP(J28,[1]데이터시트!$B$3:$N$196,9,FALSE),"")</f>
        <v/>
      </c>
      <c r="K67" s="2" t="str">
        <f>IFERROR(VLOOKUP(K28,[1]데이터시트!$B$3:$N$196,9,FALSE),"")</f>
        <v/>
      </c>
      <c r="L67" s="2" t="str">
        <f>IFERROR(VLOOKUP(L28,[1]데이터시트!$B$3:$N$196,9,FALSE),"")</f>
        <v/>
      </c>
      <c r="M67" s="2" t="str">
        <f>IFERROR(VLOOKUP(M28,[1]데이터시트!$B$3:$N$196,9,FALSE),"")</f>
        <v/>
      </c>
      <c r="N67" s="2"/>
      <c r="O67" s="2" t="str">
        <f>IFERROR(VLOOKUP(O28,[1]데이터시트!$B$3:$N$196,9,FALSE),"")</f>
        <v/>
      </c>
      <c r="P67" s="2" t="str">
        <f>IFERROR(VLOOKUP(P28,[1]데이터시트!$B$3:$N$196,9,FALSE),"")</f>
        <v/>
      </c>
      <c r="Q67" s="2" t="str">
        <f>IFERROR(VLOOKUP(Q28,[1]데이터시트!$B$3:$N$196,9,FALSE),"")</f>
        <v/>
      </c>
      <c r="R67" s="2" t="str">
        <f>IFERROR(VLOOKUP(R28,[1]데이터시트!$B$3:$N$196,9,FALSE),"")</f>
        <v/>
      </c>
      <c r="S67" s="2"/>
      <c r="T67" s="2" t="str">
        <f>IFERROR(VLOOKUP(T28,[1]데이터시트!$B$3:$N$196,9,FALSE),"")</f>
        <v/>
      </c>
      <c r="U67" s="2" t="str">
        <f>IFERROR(VLOOKUP(U28,[1]데이터시트!$B$3:$N$196,9,FALSE),"")</f>
        <v/>
      </c>
      <c r="V67" s="2" t="str">
        <f>IFERROR(VLOOKUP(V28,[1]데이터시트!$B$3:$N$196,9,FALSE),"")</f>
        <v/>
      </c>
      <c r="W67" s="2" t="str">
        <f>IFERROR(VLOOKUP(W28,[1]데이터시트!$B$3:$N$196,9,FALSE),"")</f>
        <v/>
      </c>
      <c r="X67" s="2"/>
      <c r="Y67" s="2" t="str">
        <f>IFERROR(VLOOKUP(Y28,[1]데이터시트!$B$3:$N$196,9,FALSE),"")</f>
        <v/>
      </c>
      <c r="Z67" s="2" t="str">
        <f>IFERROR(VLOOKUP(AB28,[1]데이터시트!$B$3:$N$196,9,FALSE),"")</f>
        <v/>
      </c>
      <c r="AA67" s="2" t="str">
        <f>IFERROR(VLOOKUP(AD28,[1]데이터시트!$B$3:$N$196,9,FALSE),"")</f>
        <v/>
      </c>
      <c r="AB67" s="2" t="str">
        <f>IFERROR(VLOOKUP(AE28,[1]데이터시트!$B$3:$N$196,9,FALSE),"")</f>
        <v/>
      </c>
      <c r="AC67" s="2"/>
      <c r="AD67" s="2" t="str">
        <f>IFERROR(VLOOKUP(AF28,[1]데이터시트!$B$3:$N$196,9,FALSE),"")</f>
        <v/>
      </c>
      <c r="AE67" s="2" t="str">
        <f>IFERROR(VLOOKUP(AG28,[1]데이터시트!$B$3:$N$196,9,FALSE),"")</f>
        <v/>
      </c>
      <c r="AF67" s="2" t="str">
        <f>IFERROR(VLOOKUP(AI28,[1]데이터시트!$B$3:$N$196,9,FALSE),"")</f>
        <v/>
      </c>
      <c r="AG67" s="2" t="str">
        <f>IFERROR(VLOOKUP(AJ28,[1]데이터시트!$B$3:$N$196,9,FALSE),"")</f>
        <v/>
      </c>
      <c r="AH67" s="2"/>
      <c r="AI67" s="2" t="str">
        <f>IFERROR(VLOOKUP(AK28,[1]데이터시트!$B$3:$N$196,9,FALSE),"")</f>
        <v/>
      </c>
      <c r="AJ67" s="2" t="str">
        <f>IFERROR(VLOOKUP(AL28,[1]데이터시트!$B$3:$N$196,9,FALSE),"")</f>
        <v/>
      </c>
      <c r="AK67" s="2" t="str">
        <f>IFERROR(VLOOKUP(AN28,[1]데이터시트!$B$3:$N$196,9,FALSE),"")</f>
        <v/>
      </c>
      <c r="AL67" s="2" t="str">
        <f>IFERROR(VLOOKUP(AO28,[1]데이터시트!$B$3:$N$196,9,FALSE),"")</f>
        <v/>
      </c>
      <c r="AM67" s="2"/>
      <c r="AN67" s="2" t="str">
        <f>IFERROR(VLOOKUP(AP28,[1]데이터시트!$B$3:$N$196,9,FALSE),"")</f>
        <v/>
      </c>
      <c r="AO67" s="2" t="str">
        <f>IFERROR(VLOOKUP(AQ28,[1]데이터시트!$B$3:$N$196,9,FALSE),"")</f>
        <v/>
      </c>
      <c r="AP67" s="2" t="str">
        <f>IFERROR(VLOOKUP(AS28,[1]데이터시트!$B$3:$N$196,9,FALSE),"")</f>
        <v/>
      </c>
      <c r="AQ67" s="2" t="str">
        <f>IFERROR(VLOOKUP(AT28,[1]데이터시트!$B$3:$N$196,9,FALSE),"")</f>
        <v/>
      </c>
      <c r="AR67" s="2"/>
      <c r="AS67" s="2" t="str">
        <f>IFERROR(VLOOKUP(AU28,[1]데이터시트!$B$3:$N$196,9,FALSE),"")</f>
        <v/>
      </c>
      <c r="AT67" s="2" t="str">
        <f>IFERROR(VLOOKUP(AV28,[1]데이터시트!$B$3:$N$196,9,FALSE),"")</f>
        <v/>
      </c>
      <c r="AU67" s="2" t="str">
        <f>IFERROR(VLOOKUP(AX28,[1]데이터시트!$B$3:$N$196,9,FALSE),"")</f>
        <v/>
      </c>
      <c r="AV67" s="2" t="str">
        <f>IFERROR(VLOOKUP(AY28,[1]데이터시트!$B$3:$N$196,9,FALSE),"")</f>
        <v/>
      </c>
      <c r="AW67" s="2"/>
      <c r="AX67" s="2" t="str">
        <f>IFERROR(VLOOKUP(AZ28,[1]데이터시트!$B$3:$N$196,9,FALSE),"")</f>
        <v/>
      </c>
      <c r="AY67" s="2" t="str">
        <f>IFERROR(VLOOKUP(BA28,[1]데이터시트!$B$3:$N$196,9,FALSE),"")</f>
        <v/>
      </c>
      <c r="AZ67" s="2" t="str">
        <f>IFERROR(VLOOKUP(BC28,[1]데이터시트!$B$3:$N$196,9,FALSE),"")</f>
        <v/>
      </c>
      <c r="BA67" s="2" t="str">
        <f>IFERROR(VLOOKUP(BD28,[1]데이터시트!$B$3:$N$196,9,FALSE),"")</f>
        <v/>
      </c>
      <c r="BB67" s="2"/>
      <c r="BC67" s="2" t="str">
        <f>IFERROR(VLOOKUP(BE28,[1]데이터시트!$B$3:$N$196,9,FALSE),"")</f>
        <v/>
      </c>
      <c r="BD67" s="2" t="str">
        <f>IFERROR(VLOOKUP(BF28,[1]데이터시트!$B$3:$N$196,9,FALSE),"")</f>
        <v/>
      </c>
      <c r="BE67" s="2" t="str">
        <f>IFERROR(VLOOKUP(BH28,[1]데이터시트!$B$3:$N$196,9,FALSE),"")</f>
        <v/>
      </c>
      <c r="BF67"/>
      <c r="BG67"/>
      <c r="BH67"/>
    </row>
    <row r="68" spans="6:60" hidden="1" x14ac:dyDescent="0.3">
      <c r="F68" s="2" t="str">
        <f>IFERROR(VLOOKUP(F29,[1]데이터시트!$B$3:$N$196,9,FALSE),"")</f>
        <v>정보ㆍ통신</v>
      </c>
      <c r="G68" s="2" t="str">
        <f>IFERROR(VLOOKUP(G29,[1]데이터시트!$B$3:$N$196,9,FALSE),"")</f>
        <v/>
      </c>
      <c r="H68" s="2" t="str">
        <f>IFERROR(VLOOKUP(H29,[1]데이터시트!$B$3:$N$196,9,FALSE),"")</f>
        <v/>
      </c>
      <c r="I68" s="2"/>
      <c r="J68" s="2" t="str">
        <f>IFERROR(VLOOKUP(J29,[1]데이터시트!$B$3:$N$196,9,FALSE),"")</f>
        <v/>
      </c>
      <c r="K68" s="2" t="str">
        <f>IFERROR(VLOOKUP(K31,[1]데이터시트!$B$3:$N$196,9,FALSE),"")</f>
        <v>정보ㆍ통신</v>
      </c>
      <c r="L68" s="2" t="str">
        <f>IFERROR(VLOOKUP(L31,[1]데이터시트!$B$3:$N$196,9,FALSE),"")</f>
        <v/>
      </c>
      <c r="M68" s="2" t="str">
        <f>IFERROR(VLOOKUP(M31,[1]데이터시트!$B$3:$N$196,9,FALSE),"")</f>
        <v/>
      </c>
      <c r="N68" s="2"/>
      <c r="O68" s="2" t="str">
        <f>IFERROR(VLOOKUP(O29,[1]데이터시트!$B$3:$N$196,9,FALSE),"")</f>
        <v/>
      </c>
      <c r="P68" s="2" t="str">
        <f>IFERROR(VLOOKUP(P31,[1]데이터시트!$B$3:$N$196,9,FALSE),"")</f>
        <v>정보ㆍ통신</v>
      </c>
      <c r="Q68" s="2" t="str">
        <f>IFERROR(VLOOKUP(Q31,[1]데이터시트!$B$3:$N$196,9,FALSE),"")</f>
        <v/>
      </c>
      <c r="R68" s="2" t="str">
        <f>IFERROR(VLOOKUP(R31,[1]데이터시트!$B$3:$N$196,9,FALSE),"")</f>
        <v/>
      </c>
      <c r="S68" s="2"/>
      <c r="T68" s="2" t="str">
        <f>IFERROR(VLOOKUP(T31,[1]데이터시트!$B$3:$N$196,9,FALSE),"")</f>
        <v/>
      </c>
      <c r="U68" s="2" t="str">
        <f>IFERROR(VLOOKUP(U18,[1]데이터시트!$B$3:$N$196,9,FALSE),"")</f>
        <v>정보ㆍ통신</v>
      </c>
      <c r="V68" s="2" t="str">
        <f>IFERROR(VLOOKUP(V18,[1]데이터시트!$B$3:$N$196,9,FALSE),"")</f>
        <v/>
      </c>
      <c r="W68" s="2" t="str">
        <f>IFERROR(VLOOKUP(W18,[1]데이터시트!$B$3:$N$196,9,FALSE),"")</f>
        <v/>
      </c>
      <c r="X68" s="2"/>
      <c r="Y68" s="2" t="str">
        <f>IFERROR(VLOOKUP(Y18,[1]데이터시트!$B$3:$N$196,9,FALSE),"")</f>
        <v/>
      </c>
      <c r="Z68" s="2" t="str">
        <f>IFERROR(VLOOKUP(AB29,[1]데이터시트!$B$3:$N$196,9,FALSE),"")</f>
        <v/>
      </c>
      <c r="AA68" s="2" t="str">
        <f>IFERROR(VLOOKUP(AD29,[1]데이터시트!$B$3:$N$196,9,FALSE),"")</f>
        <v/>
      </c>
      <c r="AB68" s="2" t="str">
        <f>IFERROR(VLOOKUP(AE29,[1]데이터시트!$B$3:$N$196,9,FALSE),"")</f>
        <v>기계ㆍ소재</v>
      </c>
      <c r="AC68" s="2"/>
      <c r="AD68" s="2" t="str">
        <f>IFERROR(VLOOKUP(AF29,[1]데이터시트!$B$3:$N$196,9,FALSE),"")</f>
        <v/>
      </c>
      <c r="AE68" s="2" t="str">
        <f>IFERROR(VLOOKUP(AG29,[1]데이터시트!$B$3:$N$196,9,FALSE),"")</f>
        <v/>
      </c>
      <c r="AF68" s="2" t="str">
        <f>IFERROR(VLOOKUP(AI29,[1]데이터시트!$B$3:$N$196,9,FALSE),"")</f>
        <v/>
      </c>
      <c r="AG68" s="2" t="str">
        <f>IFERROR(VLOOKUP(AJ29,[1]데이터시트!$B$3:$N$196,9,FALSE),"")</f>
        <v>바이오ㆍ의료ㆍ생명</v>
      </c>
      <c r="AH68" s="2"/>
      <c r="AI68" s="2" t="str">
        <f>IFERROR(VLOOKUP(AK29,[1]데이터시트!$B$3:$N$196,9,FALSE),"")</f>
        <v/>
      </c>
      <c r="AJ68" s="2" t="str">
        <f>IFERROR(VLOOKUP(AL29,[1]데이터시트!$B$3:$N$196,9,FALSE),"")</f>
        <v/>
      </c>
      <c r="AK68" s="2" t="str">
        <f>IFERROR(VLOOKUP(AN29,[1]데이터시트!$B$3:$N$196,9,FALSE),"")</f>
        <v/>
      </c>
      <c r="AL68" s="2" t="str">
        <f>IFERROR(VLOOKUP(AO29,[1]데이터시트!$B$3:$N$196,9,FALSE),"")</f>
        <v>바이오ㆍ의료ㆍ생명</v>
      </c>
      <c r="AM68" s="2"/>
      <c r="AN68" s="2" t="str">
        <f>IFERROR(VLOOKUP(AP29,[1]데이터시트!$B$3:$N$196,9,FALSE),"")</f>
        <v/>
      </c>
      <c r="AO68" s="2" t="str">
        <f>IFERROR(VLOOKUP(AQ29,[1]데이터시트!$B$3:$N$196,9,FALSE),"")</f>
        <v/>
      </c>
      <c r="AP68" s="2" t="str">
        <f>IFERROR(VLOOKUP(AS29,[1]데이터시트!$B$3:$N$196,9,FALSE),"")</f>
        <v/>
      </c>
      <c r="AQ68" s="2" t="str">
        <f>IFERROR(VLOOKUP(AT32,[1]데이터시트!$B$3:$N$196,9,FALSE),"")</f>
        <v>화공ㆍ섬유</v>
      </c>
      <c r="AR68" s="2"/>
      <c r="AS68" s="2" t="str">
        <f>IFERROR(VLOOKUP(AU32,[1]데이터시트!$B$3:$N$196,9,FALSE),"")</f>
        <v/>
      </c>
      <c r="AT68" s="2" t="str">
        <f>IFERROR(VLOOKUP(AV32,[1]데이터시트!$B$3:$N$196,9,FALSE),"")</f>
        <v/>
      </c>
      <c r="AU68" s="2" t="str">
        <f>IFERROR(VLOOKUP(AX32,[1]데이터시트!$B$3:$N$196,9,FALSE),"")</f>
        <v/>
      </c>
      <c r="AV68" s="2" t="str">
        <f>IFERROR(VLOOKUP(AY29,[1]데이터시트!$B$3:$N$196,9,FALSE),"")</f>
        <v>에너지ㆍ자원</v>
      </c>
      <c r="AW68" s="2"/>
      <c r="AX68" s="2" t="str">
        <f>IFERROR(VLOOKUP(AZ29,[1]데이터시트!$B$3:$N$196,9,FALSE),"")</f>
        <v/>
      </c>
      <c r="AY68" s="2" t="str">
        <f>IFERROR(VLOOKUP(BA29,[1]데이터시트!$B$3:$N$196,9,FALSE),"")</f>
        <v/>
      </c>
      <c r="AZ68" s="2" t="str">
        <f>IFERROR(VLOOKUP(BC29,[1]데이터시트!$B$3:$N$196,9,FALSE),"")</f>
        <v/>
      </c>
      <c r="BA68" s="2" t="str">
        <f>IFERROR(VLOOKUP(BD29,[1]데이터시트!$B$3:$N$196,9,FALSE),"")</f>
        <v>공예ㆍ디자인</v>
      </c>
      <c r="BB68" s="2"/>
      <c r="BC68" s="2" t="str">
        <f>IFERROR(VLOOKUP(BE29,[1]데이터시트!$B$3:$N$196,9,FALSE),"")</f>
        <v/>
      </c>
      <c r="BD68" s="2" t="str">
        <f>IFERROR(VLOOKUP(BF29,[1]데이터시트!$B$3:$N$196,9,FALSE),"")</f>
        <v/>
      </c>
      <c r="BE68" s="2" t="str">
        <f>IFERROR(VLOOKUP(BH29,[1]데이터시트!$B$3:$N$196,9,FALSE),"")</f>
        <v/>
      </c>
      <c r="BF68"/>
      <c r="BG68"/>
      <c r="BH68"/>
    </row>
    <row r="69" spans="6:60" hidden="1" x14ac:dyDescent="0.3">
      <c r="F69" s="2" t="str">
        <f>IFERROR(VLOOKUP(F30,[1]데이터시트!$B$3:$N$196,9,FALSE),"")</f>
        <v>정보ㆍ통신</v>
      </c>
      <c r="G69" s="2" t="str">
        <f>IFERROR(VLOOKUP(G30,[1]데이터시트!$B$3:$N$196,9,FALSE),"")</f>
        <v/>
      </c>
      <c r="H69" s="2" t="str">
        <f>IFERROR(VLOOKUP(H30,[1]데이터시트!$B$3:$N$196,9,FALSE),"")</f>
        <v/>
      </c>
      <c r="I69" s="2"/>
      <c r="J69" s="2" t="str">
        <f>IFERROR(VLOOKUP(J30,[1]데이터시트!$B$3:$N$196,9,FALSE),"")</f>
        <v/>
      </c>
      <c r="K69" s="2" t="str">
        <f>IFERROR(VLOOKUP(K37,[1]데이터시트!$B$3:$N$196,9,FALSE),"")</f>
        <v>정보ㆍ통신</v>
      </c>
      <c r="L69" s="2" t="str">
        <f>IFERROR(VLOOKUP(L37,[1]데이터시트!$B$3:$N$196,9,FALSE),"")</f>
        <v/>
      </c>
      <c r="M69" s="2" t="str">
        <f>IFERROR(VLOOKUP(M37,[1]데이터시트!$B$3:$N$196,9,FALSE),"")</f>
        <v/>
      </c>
      <c r="N69" s="2"/>
      <c r="O69" s="2" t="str">
        <f>IFERROR(VLOOKUP(O37,[1]데이터시트!$B$3:$N$196,9,FALSE),"")</f>
        <v/>
      </c>
      <c r="P69" s="2" t="str">
        <f>IFERROR(VLOOKUP(P30,[1]데이터시트!$B$3:$N$196,9,FALSE),"")</f>
        <v>정보ㆍ통신</v>
      </c>
      <c r="Q69" s="2" t="str">
        <f>IFERROR(VLOOKUP(Q30,[1]데이터시트!$B$3:$N$196,9,FALSE),"")</f>
        <v/>
      </c>
      <c r="R69" s="2" t="str">
        <f>IFERROR(VLOOKUP(R30,[1]데이터시트!$B$3:$N$196,9,FALSE),"")</f>
        <v/>
      </c>
      <c r="S69" s="2"/>
      <c r="T69" s="2" t="str">
        <f>IFERROR(VLOOKUP(T30,[1]데이터시트!$B$3:$N$196,9,FALSE),"")</f>
        <v/>
      </c>
      <c r="U69" s="2" t="str">
        <f>IFERROR(VLOOKUP(U16,[1]데이터시트!$B$3:$N$196,9,FALSE),"")</f>
        <v>정보ㆍ통신</v>
      </c>
      <c r="V69" s="2" t="str">
        <f>IFERROR(VLOOKUP(V16,[1]데이터시트!$B$3:$N$196,9,FALSE),"")</f>
        <v/>
      </c>
      <c r="W69" s="2" t="str">
        <f>IFERROR(VLOOKUP(W16,[1]데이터시트!$B$3:$N$196,9,FALSE),"")</f>
        <v/>
      </c>
      <c r="X69" s="2"/>
      <c r="Y69" s="2" t="str">
        <f>IFERROR(VLOOKUP(Y16,[1]데이터시트!$B$3:$N$196,9,FALSE),"")</f>
        <v/>
      </c>
      <c r="Z69" s="2" t="str">
        <f>IFERROR(VLOOKUP(AB37,[1]데이터시트!$B$3:$N$196,9,FALSE),"")</f>
        <v/>
      </c>
      <c r="AA69" s="2" t="str">
        <f>IFERROR(VLOOKUP(AD37,[1]데이터시트!$B$3:$N$196,9,FALSE),"")</f>
        <v/>
      </c>
      <c r="AB69" s="2" t="str">
        <f>IFERROR(VLOOKUP(AE30,[1]데이터시트!$B$3:$N$196,9,FALSE),"")</f>
        <v>기계ㆍ소재</v>
      </c>
      <c r="AC69" s="2"/>
      <c r="AD69" s="2" t="str">
        <f>IFERROR(VLOOKUP(AF30,[1]데이터시트!$B$3:$N$196,9,FALSE),"")</f>
        <v/>
      </c>
      <c r="AE69" s="2" t="str">
        <f>IFERROR(VLOOKUP(AG30,[1]데이터시트!$B$3:$N$196,9,FALSE),"")</f>
        <v/>
      </c>
      <c r="AF69" s="2" t="str">
        <f>IFERROR(VLOOKUP(AI30,[1]데이터시트!$B$3:$N$196,9,FALSE),"")</f>
        <v/>
      </c>
      <c r="AG69" s="2" t="str">
        <f>IFERROR(VLOOKUP(AJ38,[1]데이터시트!$B$3:$N$196,9,FALSE),"")</f>
        <v>바이오ㆍ의료ㆍ생명</v>
      </c>
      <c r="AH69" s="2"/>
      <c r="AI69" s="2" t="str">
        <f>IFERROR(VLOOKUP(AK38,[1]데이터시트!$B$3:$N$196,9,FALSE),"")</f>
        <v/>
      </c>
      <c r="AJ69" s="2" t="str">
        <f>IFERROR(VLOOKUP(AL38,[1]데이터시트!$B$3:$N$196,9,FALSE),"")</f>
        <v/>
      </c>
      <c r="AK69" s="2" t="str">
        <f>IFERROR(VLOOKUP(AN38,[1]데이터시트!$B$3:$N$196,9,FALSE),"")</f>
        <v/>
      </c>
      <c r="AL69" s="2" t="str">
        <f>IFERROR(VLOOKUP(AO30,[1]데이터시트!$B$3:$N$196,9,FALSE),"")</f>
        <v>바이오ㆍ의료ㆍ생명</v>
      </c>
      <c r="AM69" s="2"/>
      <c r="AN69" s="2" t="str">
        <f>IFERROR(VLOOKUP(AP30,[1]데이터시트!$B$3:$N$196,9,FALSE),"")</f>
        <v/>
      </c>
      <c r="AO69" s="2" t="str">
        <f>IFERROR(VLOOKUP(AQ30,[1]데이터시트!$B$3:$N$196,9,FALSE),"")</f>
        <v/>
      </c>
      <c r="AP69" s="2" t="str">
        <f>IFERROR(VLOOKUP(AS30,[1]데이터시트!$B$3:$N$196,9,FALSE),"")</f>
        <v/>
      </c>
      <c r="AQ69" s="2" t="str">
        <f>IFERROR(VLOOKUP(AT31,[1]데이터시트!$B$3:$N$196,9,FALSE),"")</f>
        <v>화공ㆍ섬유</v>
      </c>
      <c r="AR69" s="2"/>
      <c r="AS69" s="2" t="str">
        <f>IFERROR(VLOOKUP(AU31,[1]데이터시트!$B$3:$N$196,9,FALSE),"")</f>
        <v/>
      </c>
      <c r="AT69" s="2" t="str">
        <f>IFERROR(VLOOKUP(AV31,[1]데이터시트!$B$3:$N$196,9,FALSE),"")</f>
        <v/>
      </c>
      <c r="AU69" s="2" t="str">
        <f>IFERROR(VLOOKUP(AX31,[1]데이터시트!$B$3:$N$196,9,FALSE),"")</f>
        <v/>
      </c>
      <c r="AV69" s="2" t="str">
        <f>IFERROR(VLOOKUP(AY30,[1]데이터시트!$B$3:$N$196,9,FALSE),"")</f>
        <v>에너지ㆍ자원</v>
      </c>
      <c r="AW69" s="2"/>
      <c r="AX69" s="2" t="str">
        <f>IFERROR(VLOOKUP(AZ30,[1]데이터시트!$B$3:$N$196,9,FALSE),"")</f>
        <v/>
      </c>
      <c r="AY69" s="2" t="str">
        <f>IFERROR(VLOOKUP(BA30,[1]데이터시트!$B$3:$N$196,9,FALSE),"")</f>
        <v/>
      </c>
      <c r="AZ69" s="2" t="str">
        <f>IFERROR(VLOOKUP(BC30,[1]데이터시트!$B$3:$N$196,9,FALSE),"")</f>
        <v/>
      </c>
      <c r="BA69" s="2" t="str">
        <f>IFERROR(VLOOKUP(BD37,[1]데이터시트!$B$3:$N$196,9,FALSE),"")</f>
        <v>공예ㆍ디자인</v>
      </c>
      <c r="BB69" s="2"/>
      <c r="BC69" s="2" t="str">
        <f>IFERROR(VLOOKUP(BE37,[1]데이터시트!$B$3:$N$196,9,FALSE),"")</f>
        <v/>
      </c>
      <c r="BD69" s="2" t="str">
        <f>IFERROR(VLOOKUP(BF37,[1]데이터시트!$B$3:$N$196,9,FALSE),"")</f>
        <v/>
      </c>
      <c r="BE69" s="2" t="str">
        <f>IFERROR(VLOOKUP(BH37,[1]데이터시트!$B$3:$N$196,9,FALSE),"")</f>
        <v/>
      </c>
      <c r="BF69"/>
      <c r="BG69"/>
      <c r="BH69"/>
    </row>
    <row r="70" spans="6:60" hidden="1" x14ac:dyDescent="0.3">
      <c r="F70" s="2" t="str">
        <f>IFERROR(VLOOKUP(F37,[1]데이터시트!$B$3:$N$196,9,FALSE),"")</f>
        <v>정보ㆍ통신</v>
      </c>
      <c r="G70" s="2" t="str">
        <f>IFERROR(VLOOKUP(G37,[1]데이터시트!$B$3:$N$196,9,FALSE),"")</f>
        <v/>
      </c>
      <c r="H70" s="2" t="str">
        <f>IFERROR(VLOOKUP(H37,[1]데이터시트!$B$3:$N$196,9,FALSE),"")</f>
        <v/>
      </c>
      <c r="I70" s="2"/>
      <c r="J70" s="2" t="str">
        <f>IFERROR(VLOOKUP(J31,[1]데이터시트!$B$3:$N$196,9,FALSE),"")</f>
        <v/>
      </c>
      <c r="K70" s="2" t="str">
        <f>IFERROR(VLOOKUP(K33,[1]데이터시트!$B$3:$N$196,9,FALSE),"")</f>
        <v>정보ㆍ통신</v>
      </c>
      <c r="L70" s="2" t="str">
        <f>IFERROR(VLOOKUP(L33,[1]데이터시트!$B$3:$N$196,9,FALSE),"")</f>
        <v/>
      </c>
      <c r="M70" s="2" t="str">
        <f>IFERROR(VLOOKUP(M33,[1]데이터시트!$B$3:$N$196,9,FALSE),"")</f>
        <v/>
      </c>
      <c r="N70" s="2"/>
      <c r="O70" s="2" t="str">
        <f>IFERROR(VLOOKUP(O31,[1]데이터시트!$B$3:$N$196,9,FALSE),"")</f>
        <v/>
      </c>
      <c r="P70" s="2">
        <f>IFERROR(VLOOKUP(P32,[1]데이터시트!$B$3:$N$196,9,FALSE),"")</f>
        <v>0</v>
      </c>
      <c r="Q70" s="2" t="str">
        <f>IFERROR(VLOOKUP(Q32,[1]데이터시트!$B$3:$N$196,9,FALSE),"")</f>
        <v/>
      </c>
      <c r="R70" s="2" t="str">
        <f>IFERROR(VLOOKUP(R32,[1]데이터시트!$B$3:$N$196,9,FALSE),"")</f>
        <v/>
      </c>
      <c r="S70" s="2"/>
      <c r="T70" s="2" t="str">
        <f>IFERROR(VLOOKUP(T32,[1]데이터시트!$B$3:$N$196,9,FALSE),"")</f>
        <v/>
      </c>
      <c r="U70" s="2" t="str">
        <f>IFERROR(VLOOKUP(U31,[1]데이터시트!$B$3:$N$196,9,FALSE),"")</f>
        <v>정보ㆍ통신</v>
      </c>
      <c r="V70" s="2" t="str">
        <f>IFERROR(VLOOKUP(V31,[1]데이터시트!$B$3:$N$196,9,FALSE),"")</f>
        <v/>
      </c>
      <c r="W70" s="2" t="str">
        <f>IFERROR(VLOOKUP(W31,[1]데이터시트!$B$3:$N$196,9,FALSE),"")</f>
        <v/>
      </c>
      <c r="X70" s="2"/>
      <c r="Y70" s="2" t="str">
        <f>IFERROR(VLOOKUP(Y31,[1]데이터시트!$B$3:$N$196,9,FALSE),"")</f>
        <v/>
      </c>
      <c r="Z70" s="2" t="str">
        <f>IFERROR(VLOOKUP(AB31,[1]데이터시트!$B$3:$N$196,9,FALSE),"")</f>
        <v/>
      </c>
      <c r="AA70" s="2" t="str">
        <f>IFERROR(VLOOKUP(AD31,[1]데이터시트!$B$3:$N$196,9,FALSE),"")</f>
        <v/>
      </c>
      <c r="AB70" s="2" t="str">
        <f>IFERROR(VLOOKUP(AE31,[1]데이터시트!$B$3:$N$196,9,FALSE),"")</f>
        <v>기계ㆍ소재</v>
      </c>
      <c r="AC70" s="2"/>
      <c r="AD70" s="2" t="str">
        <f>IFERROR(VLOOKUP(AF31,[1]데이터시트!$B$3:$N$196,9,FALSE),"")</f>
        <v/>
      </c>
      <c r="AE70" s="2" t="str">
        <f>IFERROR(VLOOKUP(AG31,[1]데이터시트!$B$3:$N$196,9,FALSE),"")</f>
        <v/>
      </c>
      <c r="AF70" s="2" t="str">
        <f>IFERROR(VLOOKUP(AI31,[1]데이터시트!$B$3:$N$196,9,FALSE),"")</f>
        <v/>
      </c>
      <c r="AG70" s="2" t="str">
        <f>IFERROR(VLOOKUP(AJ31,[1]데이터시트!$B$3:$N$196,9,FALSE),"")</f>
        <v>바이오ㆍ의료ㆍ생명</v>
      </c>
      <c r="AH70" s="2"/>
      <c r="AI70" s="2" t="str">
        <f>IFERROR(VLOOKUP(AK31,[1]데이터시트!$B$3:$N$196,9,FALSE),"")</f>
        <v/>
      </c>
      <c r="AJ70" s="2" t="str">
        <f>IFERROR(VLOOKUP(AL31,[1]데이터시트!$B$3:$N$196,9,FALSE),"")</f>
        <v/>
      </c>
      <c r="AK70" s="2" t="str">
        <f>IFERROR(VLOOKUP(AN31,[1]데이터시트!$B$3:$N$196,9,FALSE),"")</f>
        <v/>
      </c>
      <c r="AL70" s="2" t="str">
        <f>IFERROR(VLOOKUP(AO31,[1]데이터시트!$B$3:$N$196,9,FALSE),"")</f>
        <v>바이오ㆍ의료ㆍ생명</v>
      </c>
      <c r="AM70" s="2"/>
      <c r="AN70" s="2" t="str">
        <f>IFERROR(VLOOKUP(AP31,[1]데이터시트!$B$3:$N$196,9,FALSE),"")</f>
        <v/>
      </c>
      <c r="AO70" s="2" t="str">
        <f>IFERROR(VLOOKUP(AQ31,[1]데이터시트!$B$3:$N$196,9,FALSE),"")</f>
        <v/>
      </c>
      <c r="AP70" s="2" t="str">
        <f>IFERROR(VLOOKUP(AS31,[1]데이터시트!$B$3:$N$196,9,FALSE),"")</f>
        <v/>
      </c>
      <c r="AQ70" s="2" t="str">
        <f>IFERROR(VLOOKUP(AT30,[1]데이터시트!$B$3:$N$196,9,FALSE),"")</f>
        <v>화공ㆍ섬유</v>
      </c>
      <c r="AR70" s="2"/>
      <c r="AS70" s="2" t="str">
        <f>IFERROR(VLOOKUP(AU30,[1]데이터시트!$B$3:$N$196,9,FALSE),"")</f>
        <v/>
      </c>
      <c r="AT70" s="2" t="str">
        <f>IFERROR(VLOOKUP(AV30,[1]데이터시트!$B$3:$N$196,9,FALSE),"")</f>
        <v/>
      </c>
      <c r="AU70" s="2" t="str">
        <f>IFERROR(VLOOKUP(AX30,[1]데이터시트!$B$3:$N$196,9,FALSE),"")</f>
        <v/>
      </c>
      <c r="AV70" s="2" t="str">
        <f>IFERROR(VLOOKUP(AY38,[1]데이터시트!$B$3:$N$196,9,FALSE),"")</f>
        <v>에너지ㆍ자원</v>
      </c>
      <c r="AW70" s="2"/>
      <c r="AX70" s="2" t="str">
        <f>IFERROR(VLOOKUP(AZ38,[1]데이터시트!$B$3:$N$196,9,FALSE),"")</f>
        <v/>
      </c>
      <c r="AY70" s="2" t="str">
        <f>IFERROR(VLOOKUP(BA38,[1]데이터시트!$B$3:$N$196,9,FALSE),"")</f>
        <v/>
      </c>
      <c r="AZ70" s="2" t="str">
        <f>IFERROR(VLOOKUP(BC38,[1]데이터시트!$B$3:$N$196,9,FALSE),"")</f>
        <v/>
      </c>
      <c r="BA70" s="2" t="str">
        <f>IFERROR(VLOOKUP(BD38,[1]데이터시트!$B$3:$N$196,9,FALSE),"")</f>
        <v>공예ㆍ디자인</v>
      </c>
      <c r="BB70" s="2"/>
      <c r="BC70" s="2" t="str">
        <f>IFERROR(VLOOKUP(BE38,[1]데이터시트!$B$3:$N$196,9,FALSE),"")</f>
        <v/>
      </c>
      <c r="BD70" s="2" t="str">
        <f>IFERROR(VLOOKUP(BF38,[1]데이터시트!$B$3:$N$196,9,FALSE),"")</f>
        <v/>
      </c>
      <c r="BE70" s="2" t="str">
        <f>IFERROR(VLOOKUP(BH38,[1]데이터시트!$B$3:$N$196,9,FALSE),"")</f>
        <v/>
      </c>
      <c r="BF70"/>
      <c r="BG70"/>
      <c r="BH70"/>
    </row>
    <row r="71" spans="6:60" hidden="1" x14ac:dyDescent="0.3">
      <c r="F71" s="2" t="str">
        <f>IFERROR(VLOOKUP(F38,[1]데이터시트!$B$3:$N$196,9,FALSE),"")</f>
        <v>정보ㆍ통신</v>
      </c>
      <c r="G71" s="2" t="str">
        <f>IFERROR(VLOOKUP(G38,[1]데이터시트!$B$3:$N$196,9,FALSE),"")</f>
        <v/>
      </c>
      <c r="H71" s="2" t="str">
        <f>IFERROR(VLOOKUP(H38,[1]데이터시트!$B$3:$N$196,9,FALSE),"")</f>
        <v/>
      </c>
      <c r="I71" s="2"/>
      <c r="J71" s="2" t="str">
        <f>IFERROR(VLOOKUP(J32,[1]데이터시트!$B$3:$N$196,9,FALSE),"")</f>
        <v/>
      </c>
      <c r="K71" s="2" t="str">
        <f>IFERROR(VLOOKUP(K38,[1]데이터시트!$B$3:$N$196,9,FALSE),"")</f>
        <v>정보ㆍ통신</v>
      </c>
      <c r="L71" s="2" t="str">
        <f>IFERROR(VLOOKUP(L38,[1]데이터시트!$B$3:$N$196,9,FALSE),"")</f>
        <v/>
      </c>
      <c r="M71" s="2" t="str">
        <f>IFERROR(VLOOKUP(M38,[1]데이터시트!$B$3:$N$196,9,FALSE),"")</f>
        <v/>
      </c>
      <c r="N71" s="2"/>
      <c r="O71" s="2" t="str">
        <f>IFERROR(VLOOKUP(O38,[1]데이터시트!$B$3:$N$196,9,FALSE),"")</f>
        <v/>
      </c>
      <c r="P71" s="2" t="str">
        <f>IFERROR(VLOOKUP(P29,[1]데이터시트!$B$3:$N$196,9,FALSE),"")</f>
        <v>정보ㆍ통신</v>
      </c>
      <c r="Q71" s="2" t="str">
        <f>IFERROR(VLOOKUP(Q29,[1]데이터시트!$B$3:$N$196,9,FALSE),"")</f>
        <v/>
      </c>
      <c r="R71" s="2" t="str">
        <f>IFERROR(VLOOKUP(R29,[1]데이터시트!$B$3:$N$196,9,FALSE),"")</f>
        <v/>
      </c>
      <c r="S71" s="2"/>
      <c r="T71" s="2" t="str">
        <f>IFERROR(VLOOKUP(T29,[1]데이터시트!$B$3:$N$196,9,FALSE),"")</f>
        <v/>
      </c>
      <c r="U71" s="2" t="str">
        <f>IFERROR(VLOOKUP(U38,[1]데이터시트!$B$3:$N$196,9,FALSE),"")</f>
        <v>정보ㆍ통신</v>
      </c>
      <c r="V71" s="2" t="str">
        <f>IFERROR(VLOOKUP(V38,[1]데이터시트!$B$3:$N$196,9,FALSE),"")</f>
        <v/>
      </c>
      <c r="W71" s="2" t="str">
        <f>IFERROR(VLOOKUP(W38,[1]데이터시트!$B$3:$N$196,9,FALSE),"")</f>
        <v/>
      </c>
      <c r="X71" s="2"/>
      <c r="Y71" s="2" t="str">
        <f>IFERROR(VLOOKUP(Y38,[1]데이터시트!$B$3:$N$196,9,FALSE),"")</f>
        <v/>
      </c>
      <c r="Z71" s="2" t="str">
        <f>IFERROR(VLOOKUP(AB32,[1]데이터시트!$B$3:$N$196,9,FALSE),"")</f>
        <v/>
      </c>
      <c r="AA71" s="2" t="str">
        <f>IFERROR(VLOOKUP(AD32,[1]데이터시트!$B$3:$N$196,9,FALSE),"")</f>
        <v/>
      </c>
      <c r="AB71" s="2" t="str">
        <f>IFERROR(VLOOKUP(AE32,[1]데이터시트!$B$3:$N$196,9,FALSE),"")</f>
        <v>기계ㆍ소재</v>
      </c>
      <c r="AC71" s="2"/>
      <c r="AD71" s="2" t="str">
        <f>IFERROR(VLOOKUP(AF32,[1]데이터시트!$B$3:$N$196,9,FALSE),"")</f>
        <v/>
      </c>
      <c r="AE71" s="2" t="str">
        <f>IFERROR(VLOOKUP(AG32,[1]데이터시트!$B$3:$N$196,9,FALSE),"")</f>
        <v/>
      </c>
      <c r="AF71" s="2" t="str">
        <f>IFERROR(VLOOKUP(AI32,[1]데이터시트!$B$3:$N$196,9,FALSE),"")</f>
        <v/>
      </c>
      <c r="AG71" s="2" t="str">
        <f>IFERROR(VLOOKUP(AJ39,[1]데이터시트!$B$3:$N$196,9,FALSE),"")</f>
        <v>바이오ㆍ의료ㆍ생명</v>
      </c>
      <c r="AH71" s="2"/>
      <c r="AI71" s="2" t="str">
        <f>IFERROR(VLOOKUP(AK39,[1]데이터시트!$B$3:$N$196,9,FALSE),"")</f>
        <v/>
      </c>
      <c r="AJ71" s="2" t="str">
        <f>IFERROR(VLOOKUP(AL39,[1]데이터시트!$B$3:$N$196,9,FALSE),"")</f>
        <v/>
      </c>
      <c r="AK71" s="2" t="str">
        <f>IFERROR(VLOOKUP(AN39,[1]데이터시트!$B$3:$N$196,9,FALSE),"")</f>
        <v/>
      </c>
      <c r="AL71" s="2" t="str">
        <f>IFERROR(VLOOKUP(AO32,[1]데이터시트!$B$3:$N$196,9,FALSE),"")</f>
        <v>바이오ㆍ의료ㆍ생명</v>
      </c>
      <c r="AM71" s="2"/>
      <c r="AN71" s="2" t="str">
        <f>IFERROR(VLOOKUP(AP32,[1]데이터시트!$B$3:$N$196,9,FALSE),"")</f>
        <v/>
      </c>
      <c r="AO71" s="2" t="str">
        <f>IFERROR(VLOOKUP(AQ32,[1]데이터시트!$B$3:$N$196,9,FALSE),"")</f>
        <v/>
      </c>
      <c r="AP71" s="2" t="str">
        <f>IFERROR(VLOOKUP(AS32,[1]데이터시트!$B$3:$N$196,9,FALSE),"")</f>
        <v/>
      </c>
      <c r="AQ71" s="2" t="str">
        <f>IFERROR(VLOOKUP(AT35,[1]데이터시트!$B$3:$N$196,9,FALSE),"")</f>
        <v>화공ㆍ섬유</v>
      </c>
      <c r="AR71" s="2"/>
      <c r="AS71" s="2" t="str">
        <f>IFERROR(VLOOKUP(AU35,[1]데이터시트!$B$3:$N$196,9,FALSE),"")</f>
        <v/>
      </c>
      <c r="AT71" s="2" t="str">
        <f>IFERROR(VLOOKUP(AV35,[1]데이터시트!$B$3:$N$196,9,FALSE),"")</f>
        <v/>
      </c>
      <c r="AU71" s="2" t="str">
        <f>IFERROR(VLOOKUP(AX35,[1]데이터시트!$B$3:$N$196,9,FALSE),"")</f>
        <v/>
      </c>
      <c r="AV71" s="2" t="str">
        <f>IFERROR(VLOOKUP(AY36,[1]데이터시트!$B$3:$N$196,9,FALSE),"")</f>
        <v>에너지ㆍ자원</v>
      </c>
      <c r="AW71" s="2"/>
      <c r="AX71" s="2" t="str">
        <f>IFERROR(VLOOKUP(AZ36,[1]데이터시트!$B$3:$N$196,9,FALSE),"")</f>
        <v/>
      </c>
      <c r="AY71" s="2" t="str">
        <f>IFERROR(VLOOKUP(BA36,[1]데이터시트!$B$3:$N$196,9,FALSE),"")</f>
        <v/>
      </c>
      <c r="AZ71" s="2" t="str">
        <f>IFERROR(VLOOKUP(BC36,[1]데이터시트!$B$3:$N$196,9,FALSE),"")</f>
        <v/>
      </c>
      <c r="BA71" s="2" t="str">
        <f>IFERROR(VLOOKUP(BD30,[1]데이터시트!$B$3:$N$196,9,FALSE),"")</f>
        <v>공예ㆍ디자인</v>
      </c>
      <c r="BB71" s="2"/>
      <c r="BC71" s="2" t="str">
        <f>IFERROR(VLOOKUP(BE30,[1]데이터시트!$B$3:$N$196,9,FALSE),"")</f>
        <v/>
      </c>
      <c r="BD71" s="2" t="str">
        <f>IFERROR(VLOOKUP(BF30,[1]데이터시트!$B$3:$N$196,9,FALSE),"")</f>
        <v/>
      </c>
      <c r="BE71" s="2" t="str">
        <f>IFERROR(VLOOKUP(BH30,[1]데이터시트!$B$3:$N$196,9,FALSE),"")</f>
        <v/>
      </c>
      <c r="BF71"/>
      <c r="BG71"/>
      <c r="BH71"/>
    </row>
    <row r="72" spans="6:60" hidden="1" x14ac:dyDescent="0.3">
      <c r="F72" s="2" t="str">
        <f>IFERROR(VLOOKUP(F39,[1]데이터시트!$B$3:$N$196,9,FALSE),"")</f>
        <v>정보ㆍ통신</v>
      </c>
      <c r="G72" s="2" t="str">
        <f>IFERROR(VLOOKUP(G39,[1]데이터시트!$B$3:$N$196,9,FALSE),"")</f>
        <v/>
      </c>
      <c r="H72" s="2" t="str">
        <f>IFERROR(VLOOKUP(H39,[1]데이터시트!$B$3:$N$196,9,FALSE),"")</f>
        <v/>
      </c>
      <c r="I72" s="2"/>
      <c r="J72" s="2" t="str">
        <f>IFERROR(VLOOKUP(J33,[1]데이터시트!$B$3:$N$196,9,FALSE),"")</f>
        <v/>
      </c>
      <c r="K72" s="2" t="str">
        <f>IFERROR(VLOOKUP(K36,[1]데이터시트!$B$3:$N$196,9,FALSE),"")</f>
        <v>정보ㆍ통신</v>
      </c>
      <c r="L72" s="2" t="str">
        <f>IFERROR(VLOOKUP(L36,[1]데이터시트!$B$3:$N$196,9,FALSE),"")</f>
        <v/>
      </c>
      <c r="M72" s="2" t="str">
        <f>IFERROR(VLOOKUP(M36,[1]데이터시트!$B$3:$N$196,9,FALSE),"")</f>
        <v/>
      </c>
      <c r="N72" s="2"/>
      <c r="O72" s="2" t="str">
        <f>IFERROR(VLOOKUP(O33,[1]데이터시트!$B$3:$N$196,9,FALSE),"")</f>
        <v/>
      </c>
      <c r="P72" s="2" t="str">
        <f>IFERROR(VLOOKUP(P33,[1]데이터시트!$B$3:$N$196,9,FALSE),"")</f>
        <v>정보ㆍ통신</v>
      </c>
      <c r="Q72" s="2" t="str">
        <f>IFERROR(VLOOKUP(Q33,[1]데이터시트!$B$3:$N$196,9,FALSE),"")</f>
        <v/>
      </c>
      <c r="R72" s="2" t="str">
        <f>IFERROR(VLOOKUP(R33,[1]데이터시트!$B$3:$N$196,9,FALSE),"")</f>
        <v/>
      </c>
      <c r="S72" s="2"/>
      <c r="T72" s="2" t="str">
        <f>IFERROR(VLOOKUP(T33,[1]데이터시트!$B$3:$N$196,9,FALSE),"")</f>
        <v/>
      </c>
      <c r="U72" s="2" t="str">
        <f>IFERROR(VLOOKUP(#REF!,[1]데이터시트!$B$3:$N$196,9,FALSE),"")</f>
        <v/>
      </c>
      <c r="V72" s="2" t="str">
        <f>IFERROR(VLOOKUP(#REF!,[1]데이터시트!$B$3:$N$196,9,FALSE),"")</f>
        <v/>
      </c>
      <c r="W72" s="2" t="str">
        <f>IFERROR(VLOOKUP(#REF!,[1]데이터시트!$B$3:$N$196,9,FALSE),"")</f>
        <v/>
      </c>
      <c r="X72" s="2"/>
      <c r="Y72" s="2" t="str">
        <f>IFERROR(VLOOKUP(#REF!,[1]데이터시트!$B$3:$N$196,9,FALSE),"")</f>
        <v/>
      </c>
      <c r="Z72" s="2" t="str">
        <f>IFERROR(VLOOKUP(AB33,[1]데이터시트!$B$3:$N$196,9,FALSE),"")</f>
        <v/>
      </c>
      <c r="AA72" s="2" t="str">
        <f>IFERROR(VLOOKUP(AD33,[1]데이터시트!$B$3:$N$196,9,FALSE),"")</f>
        <v/>
      </c>
      <c r="AB72" s="2" t="str">
        <f>IFERROR(VLOOKUP(AE33,[1]데이터시트!$B$3:$N$196,9,FALSE),"")</f>
        <v>기계ㆍ소재</v>
      </c>
      <c r="AC72" s="2"/>
      <c r="AD72" s="2" t="str">
        <f>IFERROR(VLOOKUP(AF33,[1]데이터시트!$B$3:$N$196,9,FALSE),"")</f>
        <v/>
      </c>
      <c r="AE72" s="2" t="str">
        <f>IFERROR(VLOOKUP(AG33,[1]데이터시트!$B$3:$N$196,9,FALSE),"")</f>
        <v/>
      </c>
      <c r="AF72" s="2" t="str">
        <f>IFERROR(VLOOKUP(AI33,[1]데이터시트!$B$3:$N$196,9,FALSE),"")</f>
        <v/>
      </c>
      <c r="AG72" s="2" t="str">
        <f>IFERROR(VLOOKUP(AJ30,[1]데이터시트!$B$3:$N$196,9,FALSE),"")</f>
        <v>바이오ㆍ의료ㆍ생명</v>
      </c>
      <c r="AH72" s="2"/>
      <c r="AI72" s="2" t="str">
        <f>IFERROR(VLOOKUP(AK30,[1]데이터시트!$B$3:$N$196,9,FALSE),"")</f>
        <v/>
      </c>
      <c r="AJ72" s="2" t="str">
        <f>IFERROR(VLOOKUP(AL30,[1]데이터시트!$B$3:$N$196,9,FALSE),"")</f>
        <v/>
      </c>
      <c r="AK72" s="2" t="str">
        <f>IFERROR(VLOOKUP(AN30,[1]데이터시트!$B$3:$N$196,9,FALSE),"")</f>
        <v/>
      </c>
      <c r="AL72" s="2" t="str">
        <f>IFERROR(VLOOKUP(AO33,[1]데이터시트!$B$3:$N$196,9,FALSE),"")</f>
        <v>바이오ㆍ의료ㆍ생명</v>
      </c>
      <c r="AM72" s="2"/>
      <c r="AN72" s="2" t="str">
        <f>IFERROR(VLOOKUP(AP33,[1]데이터시트!$B$3:$N$196,9,FALSE),"")</f>
        <v/>
      </c>
      <c r="AO72" s="2" t="str">
        <f>IFERROR(VLOOKUP(AQ33,[1]데이터시트!$B$3:$N$196,9,FALSE),"")</f>
        <v/>
      </c>
      <c r="AP72" s="2" t="str">
        <f>IFERROR(VLOOKUP(AS33,[1]데이터시트!$B$3:$N$196,9,FALSE),"")</f>
        <v/>
      </c>
      <c r="AQ72" s="2" t="str">
        <f>IFERROR(VLOOKUP(AT36,[1]데이터시트!$B$3:$N$196,9,FALSE),"")</f>
        <v>화공ㆍ섬유</v>
      </c>
      <c r="AR72" s="2"/>
      <c r="AS72" s="2" t="str">
        <f>IFERROR(VLOOKUP(AU36,[1]데이터시트!$B$3:$N$196,9,FALSE),"")</f>
        <v/>
      </c>
      <c r="AT72" s="2" t="str">
        <f>IFERROR(VLOOKUP(AV36,[1]데이터시트!$B$3:$N$196,9,FALSE),"")</f>
        <v/>
      </c>
      <c r="AU72" s="2" t="str">
        <f>IFERROR(VLOOKUP(AX36,[1]데이터시트!$B$3:$N$196,9,FALSE),"")</f>
        <v/>
      </c>
      <c r="AV72" s="2" t="str">
        <f>IFERROR(VLOOKUP(AY40,[1]데이터시트!$B$3:$N$196,9,FALSE),"")</f>
        <v>에너지ㆍ자원</v>
      </c>
      <c r="AW72" s="2"/>
      <c r="AX72" s="2" t="str">
        <f>IFERROR(VLOOKUP(AZ40,[1]데이터시트!$B$3:$N$196,9,FALSE),"")</f>
        <v/>
      </c>
      <c r="AY72" s="2" t="str">
        <f>IFERROR(VLOOKUP(BA40,[1]데이터시트!$B$3:$N$196,9,FALSE),"")</f>
        <v/>
      </c>
      <c r="AZ72" s="2" t="str">
        <f>IFERROR(VLOOKUP(BC40,[1]데이터시트!$B$3:$N$196,9,FALSE),"")</f>
        <v/>
      </c>
      <c r="BA72" s="2" t="str">
        <f>IFERROR(VLOOKUP(BD31,[1]데이터시트!$B$3:$N$196,9,FALSE),"")</f>
        <v>공예ㆍ디자인</v>
      </c>
      <c r="BB72" s="2"/>
      <c r="BC72" s="2" t="str">
        <f>IFERROR(VLOOKUP(BE31,[1]데이터시트!$B$3:$N$196,9,FALSE),"")</f>
        <v/>
      </c>
      <c r="BD72" s="2" t="str">
        <f>IFERROR(VLOOKUP(BF31,[1]데이터시트!$B$3:$N$196,9,FALSE),"")</f>
        <v/>
      </c>
      <c r="BE72" s="2" t="str">
        <f>IFERROR(VLOOKUP(BH31,[1]데이터시트!$B$3:$N$196,9,FALSE),"")</f>
        <v/>
      </c>
      <c r="BF72"/>
      <c r="BG72"/>
      <c r="BH72"/>
    </row>
    <row r="73" spans="6:60" hidden="1" x14ac:dyDescent="0.3">
      <c r="F73" s="2" t="str">
        <f>IFERROR(VLOOKUP(F34,[1]데이터시트!$B$3:$N$196,9,FALSE),"")</f>
        <v/>
      </c>
      <c r="G73" s="2" t="str">
        <f>IFERROR(VLOOKUP(G34,[1]데이터시트!$B$3:$N$196,9,FALSE),"")</f>
        <v/>
      </c>
      <c r="H73" s="2" t="str">
        <f>IFERROR(VLOOKUP(H34,[1]데이터시트!$B$3:$N$196,9,FALSE),"")</f>
        <v/>
      </c>
      <c r="I73" s="2"/>
      <c r="J73" s="2" t="str">
        <f>IFERROR(VLOOKUP(J34,[1]데이터시트!$B$3:$N$196,9,FALSE),"")</f>
        <v/>
      </c>
      <c r="K73" s="2" t="str">
        <f>IFERROR(VLOOKUP(K34,[1]데이터시트!$B$3:$N$196,9,FALSE),"")</f>
        <v/>
      </c>
      <c r="L73" s="2" t="str">
        <f>IFERROR(VLOOKUP(L34,[1]데이터시트!$B$3:$N$196,9,FALSE),"")</f>
        <v/>
      </c>
      <c r="M73" s="2" t="str">
        <f>IFERROR(VLOOKUP(M34,[1]데이터시트!$B$3:$N$196,9,FALSE),"")</f>
        <v/>
      </c>
      <c r="N73" s="2"/>
      <c r="O73" s="2" t="str">
        <f>IFERROR(VLOOKUP(O34,[1]데이터시트!$B$3:$N$196,9,FALSE),"")</f>
        <v/>
      </c>
      <c r="P73" s="2" t="str">
        <f>IFERROR(VLOOKUP(P34,[1]데이터시트!$B$3:$N$196,9,FALSE),"")</f>
        <v/>
      </c>
      <c r="Q73" s="2" t="str">
        <f>IFERROR(VLOOKUP(Q34,[1]데이터시트!$B$3:$N$196,9,FALSE),"")</f>
        <v/>
      </c>
      <c r="R73" s="2" t="str">
        <f>IFERROR(VLOOKUP(R34,[1]데이터시트!$B$3:$N$196,9,FALSE),"")</f>
        <v/>
      </c>
      <c r="S73" s="2"/>
      <c r="T73" s="2" t="str">
        <f>IFERROR(VLOOKUP(T34,[1]데이터시트!$B$3:$N$196,9,FALSE),"")</f>
        <v/>
      </c>
      <c r="U73" s="2" t="str">
        <f>IFERROR(VLOOKUP(U34,[1]데이터시트!$B$3:$N$196,9,FALSE),"")</f>
        <v/>
      </c>
      <c r="V73" s="2" t="str">
        <f>IFERROR(VLOOKUP(V34,[1]데이터시트!$B$3:$N$196,9,FALSE),"")</f>
        <v/>
      </c>
      <c r="W73" s="2" t="str">
        <f>IFERROR(VLOOKUP(W34,[1]데이터시트!$B$3:$N$196,9,FALSE),"")</f>
        <v/>
      </c>
      <c r="X73" s="2"/>
      <c r="Y73" s="2" t="str">
        <f>IFERROR(VLOOKUP(Y34,[1]데이터시트!$B$3:$N$196,9,FALSE),"")</f>
        <v/>
      </c>
      <c r="Z73" s="2" t="str">
        <f>IFERROR(VLOOKUP(AB34,[1]데이터시트!$B$3:$N$196,9,FALSE),"")</f>
        <v/>
      </c>
      <c r="AA73" s="2" t="str">
        <f>IFERROR(VLOOKUP(AD34,[1]데이터시트!$B$3:$N$196,9,FALSE),"")</f>
        <v/>
      </c>
      <c r="AB73" s="2" t="str">
        <f>IFERROR(VLOOKUP(AE34,[1]데이터시트!$B$3:$N$196,9,FALSE),"")</f>
        <v/>
      </c>
      <c r="AC73" s="2"/>
      <c r="AD73" s="2" t="str">
        <f>IFERROR(VLOOKUP(AF34,[1]데이터시트!$B$3:$N$196,9,FALSE),"")</f>
        <v/>
      </c>
      <c r="AE73" s="2" t="str">
        <f>IFERROR(VLOOKUP(AG34,[1]데이터시트!$B$3:$N$196,9,FALSE),"")</f>
        <v/>
      </c>
      <c r="AF73" s="2" t="str">
        <f>IFERROR(VLOOKUP(AI34,[1]데이터시트!$B$3:$N$196,9,FALSE),"")</f>
        <v/>
      </c>
      <c r="AG73" s="2" t="str">
        <f>IFERROR(VLOOKUP(AJ34,[1]데이터시트!$B$3:$N$196,9,FALSE),"")</f>
        <v/>
      </c>
      <c r="AH73" s="2"/>
      <c r="AI73" s="2" t="str">
        <f>IFERROR(VLOOKUP(AK34,[1]데이터시트!$B$3:$N$196,9,FALSE),"")</f>
        <v/>
      </c>
      <c r="AJ73" s="2" t="str">
        <f>IFERROR(VLOOKUP(AL34,[1]데이터시트!$B$3:$N$196,9,FALSE),"")</f>
        <v/>
      </c>
      <c r="AK73" s="2" t="str">
        <f>IFERROR(VLOOKUP(AN34,[1]데이터시트!$B$3:$N$196,9,FALSE),"")</f>
        <v/>
      </c>
      <c r="AL73" s="2" t="str">
        <f>IFERROR(VLOOKUP(AO34,[1]데이터시트!$B$3:$N$196,9,FALSE),"")</f>
        <v/>
      </c>
      <c r="AM73" s="2"/>
      <c r="AN73" s="2" t="str">
        <f>IFERROR(VLOOKUP(AP34,[1]데이터시트!$B$3:$N$196,9,FALSE),"")</f>
        <v/>
      </c>
      <c r="AO73" s="2" t="str">
        <f>IFERROR(VLOOKUP(AQ34,[1]데이터시트!$B$3:$N$196,9,FALSE),"")</f>
        <v/>
      </c>
      <c r="AP73" s="2" t="str">
        <f>IFERROR(VLOOKUP(AS34,[1]데이터시트!$B$3:$N$196,9,FALSE),"")</f>
        <v/>
      </c>
      <c r="AQ73" s="2" t="str">
        <f>IFERROR(VLOOKUP(AT34,[1]데이터시트!$B$3:$N$196,9,FALSE),"")</f>
        <v/>
      </c>
      <c r="AR73" s="2"/>
      <c r="AS73" s="2" t="str">
        <f>IFERROR(VLOOKUP(AU34,[1]데이터시트!$B$3:$N$196,9,FALSE),"")</f>
        <v/>
      </c>
      <c r="AT73" s="2" t="str">
        <f>IFERROR(VLOOKUP(AV34,[1]데이터시트!$B$3:$N$196,9,FALSE),"")</f>
        <v/>
      </c>
      <c r="AU73" s="2" t="str">
        <f>IFERROR(VLOOKUP(AX34,[1]데이터시트!$B$3:$N$196,9,FALSE),"")</f>
        <v/>
      </c>
      <c r="AV73" s="2" t="str">
        <f>IFERROR(VLOOKUP(AY34,[1]데이터시트!$B$3:$N$196,9,FALSE),"")</f>
        <v/>
      </c>
      <c r="AW73" s="2"/>
      <c r="AX73" s="2" t="str">
        <f>IFERROR(VLOOKUP(AZ34,[1]데이터시트!$B$3:$N$196,9,FALSE),"")</f>
        <v/>
      </c>
      <c r="AY73" s="2" t="str">
        <f>IFERROR(VLOOKUP(BA34,[1]데이터시트!$B$3:$N$196,9,FALSE),"")</f>
        <v/>
      </c>
      <c r="AZ73" s="2" t="str">
        <f>IFERROR(VLOOKUP(BC34,[1]데이터시트!$B$3:$N$196,9,FALSE),"")</f>
        <v/>
      </c>
      <c r="BA73" s="2" t="str">
        <f>IFERROR(VLOOKUP(BD34,[1]데이터시트!$B$3:$N$196,9,FALSE),"")</f>
        <v/>
      </c>
      <c r="BB73" s="2"/>
      <c r="BC73" s="2" t="str">
        <f>IFERROR(VLOOKUP(BE34,[1]데이터시트!$B$3:$N$196,9,FALSE),"")</f>
        <v/>
      </c>
      <c r="BD73" s="2" t="str">
        <f>IFERROR(VLOOKUP(BF34,[1]데이터시트!$B$3:$N$196,9,FALSE),"")</f>
        <v/>
      </c>
      <c r="BE73" s="2" t="str">
        <f>IFERROR(VLOOKUP(BH34,[1]데이터시트!$B$3:$N$196,9,FALSE),"")</f>
        <v/>
      </c>
      <c r="BF73"/>
      <c r="BG73"/>
      <c r="BH73"/>
    </row>
    <row r="74" spans="6:60" hidden="1" x14ac:dyDescent="0.3">
      <c r="F74" s="2" t="str">
        <f>IFERROR(VLOOKUP(F35,[1]데이터시트!$B$3:$N$196,9,FALSE),"")</f>
        <v>정보ㆍ통신</v>
      </c>
      <c r="G74" s="2" t="str">
        <f>IFERROR(VLOOKUP(G35,[1]데이터시트!$B$3:$N$196,9,FALSE),"")</f>
        <v/>
      </c>
      <c r="H74" s="2" t="str">
        <f>IFERROR(VLOOKUP(H35,[1]데이터시트!$B$3:$N$196,9,FALSE),"")</f>
        <v/>
      </c>
      <c r="I74" s="2"/>
      <c r="J74" s="2" t="str">
        <f>IFERROR(VLOOKUP(J35,[1]데이터시트!$B$3:$N$196,9,FALSE),"")</f>
        <v/>
      </c>
      <c r="K74" s="2" t="str">
        <f>IFERROR(VLOOKUP(K14,[1]데이터시트!$B$3:$N$196,9,FALSE),"")</f>
        <v>정보ㆍ통신</v>
      </c>
      <c r="L74" s="2" t="str">
        <f>IFERROR(VLOOKUP(L14,[1]데이터시트!$B$3:$N$196,9,FALSE),"")</f>
        <v/>
      </c>
      <c r="M74" s="2" t="str">
        <f>IFERROR(VLOOKUP(M14,[1]데이터시트!$B$3:$N$196,9,FALSE),"")</f>
        <v/>
      </c>
      <c r="N74" s="2"/>
      <c r="O74" s="2" t="str">
        <f>IFERROR(VLOOKUP(O14,[1]데이터시트!$B$3:$N$196,9,FALSE),"")</f>
        <v/>
      </c>
      <c r="P74" s="2" t="str">
        <f>IFERROR(VLOOKUP(P35,[1]데이터시트!$B$3:$N$196,9,FALSE),"")</f>
        <v>정보ㆍ통신</v>
      </c>
      <c r="Q74" s="2" t="str">
        <f>IFERROR(VLOOKUP(Q35,[1]데이터시트!$B$3:$N$196,9,FALSE),"")</f>
        <v/>
      </c>
      <c r="R74" s="2" t="str">
        <f>IFERROR(VLOOKUP(R35,[1]데이터시트!$B$3:$N$196,9,FALSE),"")</f>
        <v/>
      </c>
      <c r="S74" s="2"/>
      <c r="T74" s="2" t="str">
        <f>IFERROR(VLOOKUP(T35,[1]데이터시트!$B$3:$N$196,9,FALSE),"")</f>
        <v/>
      </c>
      <c r="U74" s="2" t="str">
        <f>IFERROR(VLOOKUP(U35,[1]데이터시트!$B$3:$N$196,9,FALSE),"")</f>
        <v/>
      </c>
      <c r="V74" s="2" t="str">
        <f>IFERROR(VLOOKUP(V35,[1]데이터시트!$B$3:$N$196,9,FALSE),"")</f>
        <v/>
      </c>
      <c r="W74" s="2" t="str">
        <f>IFERROR(VLOOKUP(W35,[1]데이터시트!$B$3:$N$196,9,FALSE),"")</f>
        <v/>
      </c>
      <c r="X74" s="2"/>
      <c r="Y74" s="2" t="str">
        <f>IFERROR(VLOOKUP(Y35,[1]데이터시트!$B$3:$N$196,9,FALSE),"")</f>
        <v/>
      </c>
      <c r="Z74" s="2" t="str">
        <f>IFERROR(VLOOKUP(AB35,[1]데이터시트!$B$3:$N$196,9,FALSE),"")</f>
        <v/>
      </c>
      <c r="AA74" s="2" t="str">
        <f>IFERROR(VLOOKUP(AD35,[1]데이터시트!$B$3:$N$196,9,FALSE),"")</f>
        <v/>
      </c>
      <c r="AB74" s="2" t="str">
        <f>IFERROR(VLOOKUP(AE35,[1]데이터시트!$B$3:$N$196,9,FALSE),"")</f>
        <v>기계ㆍ소재</v>
      </c>
      <c r="AC74" s="2"/>
      <c r="AD74" s="2" t="str">
        <f>IFERROR(VLOOKUP(AF35,[1]데이터시트!$B$3:$N$196,9,FALSE),"")</f>
        <v/>
      </c>
      <c r="AE74" s="2" t="str">
        <f>IFERROR(VLOOKUP(AG35,[1]데이터시트!$B$3:$N$196,9,FALSE),"")</f>
        <v/>
      </c>
      <c r="AF74" s="2" t="str">
        <f>IFERROR(VLOOKUP(AI35,[1]데이터시트!$B$3:$N$196,9,FALSE),"")</f>
        <v/>
      </c>
      <c r="AG74" s="2" t="str">
        <f>IFERROR(VLOOKUP(AJ36,[1]데이터시트!$B$3:$N$196,9,FALSE),"")</f>
        <v>바이오ㆍ의료ㆍ생명</v>
      </c>
      <c r="AH74" s="2"/>
      <c r="AI74" s="2" t="str">
        <f>IFERROR(VLOOKUP(AK36,[1]데이터시트!$B$3:$N$196,9,FALSE),"")</f>
        <v/>
      </c>
      <c r="AJ74" s="2" t="str">
        <f>IFERROR(VLOOKUP(AL36,[1]데이터시트!$B$3:$N$196,9,FALSE),"")</f>
        <v/>
      </c>
      <c r="AK74" s="2" t="str">
        <f>IFERROR(VLOOKUP(AN36,[1]데이터시트!$B$3:$N$196,9,FALSE),"")</f>
        <v/>
      </c>
      <c r="AL74" s="2" t="str">
        <f>IFERROR(VLOOKUP(AO35,[1]데이터시트!$B$3:$N$196,9,FALSE),"")</f>
        <v/>
      </c>
      <c r="AM74" s="2"/>
      <c r="AN74" s="2" t="str">
        <f>IFERROR(VLOOKUP(AP35,[1]데이터시트!$B$3:$N$196,9,FALSE),"")</f>
        <v/>
      </c>
      <c r="AO74" s="2" t="str">
        <f>IFERROR(VLOOKUP(AQ35,[1]데이터시트!$B$3:$N$196,9,FALSE),"")</f>
        <v/>
      </c>
      <c r="AP74" s="2" t="str">
        <f>IFERROR(VLOOKUP(AS35,[1]데이터시트!$B$3:$N$196,9,FALSE),"")</f>
        <v/>
      </c>
      <c r="AQ74" s="2" t="str">
        <f>IFERROR(VLOOKUP(AT33,[1]데이터시트!$B$3:$N$196,9,FALSE),"")</f>
        <v>화공ㆍ섬유</v>
      </c>
      <c r="AR74" s="2"/>
      <c r="AS74" s="2" t="str">
        <f>IFERROR(VLOOKUP(AU33,[1]데이터시트!$B$3:$N$196,9,FALSE),"")</f>
        <v/>
      </c>
      <c r="AT74" s="2" t="str">
        <f>IFERROR(VLOOKUP(AV33,[1]데이터시트!$B$3:$N$196,9,FALSE),"")</f>
        <v/>
      </c>
      <c r="AU74" s="2" t="str">
        <f>IFERROR(VLOOKUP(AX33,[1]데이터시트!$B$3:$N$196,9,FALSE),"")</f>
        <v/>
      </c>
      <c r="AV74" s="2" t="str">
        <f>IFERROR(VLOOKUP(AY33,[1]데이터시트!$B$3:$N$196,9,FALSE),"")</f>
        <v>에너지ㆍ자원</v>
      </c>
      <c r="AW74" s="2"/>
      <c r="AX74" s="2" t="str">
        <f>IFERROR(VLOOKUP(AZ33,[1]데이터시트!$B$3:$N$196,9,FALSE),"")</f>
        <v/>
      </c>
      <c r="AY74" s="2" t="str">
        <f>IFERROR(VLOOKUP(BA33,[1]데이터시트!$B$3:$N$196,9,FALSE),"")</f>
        <v/>
      </c>
      <c r="AZ74" s="2" t="str">
        <f>IFERROR(VLOOKUP(BC33,[1]데이터시트!$B$3:$N$196,9,FALSE),"")</f>
        <v/>
      </c>
      <c r="BA74" s="2" t="str">
        <f>IFERROR(VLOOKUP(BD35,[1]데이터시트!$B$3:$N$196,9,FALSE),"")</f>
        <v/>
      </c>
      <c r="BB74" s="2"/>
      <c r="BC74" s="2" t="str">
        <f>IFERROR(VLOOKUP(BE35,[1]데이터시트!$B$3:$N$196,9,FALSE),"")</f>
        <v/>
      </c>
      <c r="BD74" s="2" t="str">
        <f>IFERROR(VLOOKUP(BF35,[1]데이터시트!$B$3:$N$196,9,FALSE),"")</f>
        <v/>
      </c>
      <c r="BE74" s="2" t="str">
        <f>IFERROR(VLOOKUP(BH35,[1]데이터시트!$B$3:$N$196,9,FALSE),"")</f>
        <v/>
      </c>
      <c r="BF74"/>
      <c r="BG74"/>
      <c r="BH74"/>
    </row>
    <row r="75" spans="6:60" hidden="1" x14ac:dyDescent="0.3">
      <c r="F75" s="2" t="str">
        <f>IFERROR(VLOOKUP(F36,[1]데이터시트!$B$3:$N$196,9,FALSE),"")</f>
        <v>정보ㆍ통신</v>
      </c>
      <c r="G75" s="2" t="str">
        <f>IFERROR(VLOOKUP(G36,[1]데이터시트!$B$3:$N$196,9,FALSE),"")</f>
        <v/>
      </c>
      <c r="H75" s="2" t="str">
        <f>IFERROR(VLOOKUP(H36,[1]데이터시트!$B$3:$N$196,9,FALSE),"")</f>
        <v/>
      </c>
      <c r="I75" s="2"/>
      <c r="J75" s="2" t="str">
        <f>IFERROR(VLOOKUP(J36,[1]데이터시트!$B$3:$N$196,9,FALSE),"")</f>
        <v/>
      </c>
      <c r="K75" s="2" t="str">
        <f>IFERROR(VLOOKUP(K32,[1]데이터시트!$B$3:$N$196,9,FALSE),"")</f>
        <v>정보ㆍ통신</v>
      </c>
      <c r="L75" s="2" t="str">
        <f>IFERROR(VLOOKUP(L32,[1]데이터시트!$B$3:$N$196,9,FALSE),"")</f>
        <v/>
      </c>
      <c r="M75" s="2" t="str">
        <f>IFERROR(VLOOKUP(M32,[1]데이터시트!$B$3:$N$196,9,FALSE),"")</f>
        <v/>
      </c>
      <c r="N75" s="2"/>
      <c r="O75" s="2" t="str">
        <f>IFERROR(VLOOKUP(O30,[1]데이터시트!$B$3:$N$196,9,FALSE),"")</f>
        <v/>
      </c>
      <c r="P75" s="2" t="str">
        <f>IFERROR(VLOOKUP(K41,[1]데이터시트!$B$3:$N$196,9,FALSE),"")</f>
        <v>정보ㆍ통신</v>
      </c>
      <c r="Q75" s="2" t="str">
        <f>IFERROR(VLOOKUP(L41,[1]데이터시트!$B$3:$N$196,9,FALSE),"")</f>
        <v/>
      </c>
      <c r="R75" s="2" t="str">
        <f>IFERROR(VLOOKUP(M41,[1]데이터시트!$B$3:$N$196,9,FALSE),"")</f>
        <v/>
      </c>
      <c r="S75" s="2"/>
      <c r="T75" s="2" t="str">
        <f>IFERROR(VLOOKUP(O41,[1]데이터시트!$B$3:$N$196,9,FALSE),"")</f>
        <v/>
      </c>
      <c r="U75" s="2" t="str">
        <f>IFERROR(VLOOKUP(U36,[1]데이터시트!$B$3:$N$196,9,FALSE),"")</f>
        <v/>
      </c>
      <c r="V75" s="2" t="str">
        <f>IFERROR(VLOOKUP(V36,[1]데이터시트!$B$3:$N$196,9,FALSE),"")</f>
        <v/>
      </c>
      <c r="W75" s="2" t="str">
        <f>IFERROR(VLOOKUP(W36,[1]데이터시트!$B$3:$N$196,9,FALSE),"")</f>
        <v/>
      </c>
      <c r="X75" s="2"/>
      <c r="Y75" s="2" t="str">
        <f>IFERROR(VLOOKUP(Y36,[1]데이터시트!$B$3:$N$196,9,FALSE),"")</f>
        <v/>
      </c>
      <c r="Z75" s="2" t="str">
        <f>IFERROR(VLOOKUP(AB36,[1]데이터시트!$B$3:$N$196,9,FALSE),"")</f>
        <v/>
      </c>
      <c r="AA75" s="2" t="str">
        <f>IFERROR(VLOOKUP(AD36,[1]데이터시트!$B$3:$N$196,9,FALSE),"")</f>
        <v/>
      </c>
      <c r="AB75" s="2" t="str">
        <f>IFERROR(VLOOKUP(AE36,[1]데이터시트!$B$3:$N$196,9,FALSE),"")</f>
        <v>기계ㆍ소재</v>
      </c>
      <c r="AC75" s="2"/>
      <c r="AD75" s="2" t="str">
        <f>IFERROR(VLOOKUP(AF36,[1]데이터시트!$B$3:$N$196,9,FALSE),"")</f>
        <v/>
      </c>
      <c r="AE75" s="2" t="str">
        <f>IFERROR(VLOOKUP(AG36,[1]데이터시트!$B$3:$N$196,9,FALSE),"")</f>
        <v/>
      </c>
      <c r="AF75" s="2" t="str">
        <f>IFERROR(VLOOKUP(AI36,[1]데이터시트!$B$3:$N$196,9,FALSE),"")</f>
        <v/>
      </c>
      <c r="AG75" s="2" t="str">
        <f>IFERROR(VLOOKUP(AJ37,[1]데이터시트!$B$3:$N$196,9,FALSE),"")</f>
        <v>바이오ㆍ의료ㆍ생명</v>
      </c>
      <c r="AH75" s="2"/>
      <c r="AI75" s="2" t="str">
        <f>IFERROR(VLOOKUP(AK37,[1]데이터시트!$B$3:$N$196,9,FALSE),"")</f>
        <v/>
      </c>
      <c r="AJ75" s="2" t="str">
        <f>IFERROR(VLOOKUP(AL37,[1]데이터시트!$B$3:$N$196,9,FALSE),"")</f>
        <v/>
      </c>
      <c r="AK75" s="2" t="str">
        <f>IFERROR(VLOOKUP(AN37,[1]데이터시트!$B$3:$N$196,9,FALSE),"")</f>
        <v/>
      </c>
      <c r="AL75" s="2" t="str">
        <f>IFERROR(VLOOKUP(AO36,[1]데이터시트!$B$3:$N$196,9,FALSE),"")</f>
        <v>바이오ㆍ의료ㆍ생명</v>
      </c>
      <c r="AM75" s="2"/>
      <c r="AN75" s="2" t="str">
        <f>IFERROR(VLOOKUP(AP36,[1]데이터시트!$B$3:$N$196,9,FALSE),"")</f>
        <v/>
      </c>
      <c r="AO75" s="2" t="str">
        <f>IFERROR(VLOOKUP(AQ36,[1]데이터시트!$B$3:$N$196,9,FALSE),"")</f>
        <v/>
      </c>
      <c r="AP75" s="2" t="str">
        <f>IFERROR(VLOOKUP(AS36,[1]데이터시트!$B$3:$N$196,9,FALSE),"")</f>
        <v/>
      </c>
      <c r="AQ75" s="2" t="str">
        <f>IFERROR(VLOOKUP(AT37,[1]데이터시트!$B$3:$N$196,9,FALSE),"")</f>
        <v>화공ㆍ섬유</v>
      </c>
      <c r="AR75" s="2"/>
      <c r="AS75" s="2" t="str">
        <f>IFERROR(VLOOKUP(AU37,[1]데이터시트!$B$3:$N$196,9,FALSE),"")</f>
        <v/>
      </c>
      <c r="AT75" s="2" t="str">
        <f>IFERROR(VLOOKUP(AV37,[1]데이터시트!$B$3:$N$196,9,FALSE),"")</f>
        <v/>
      </c>
      <c r="AU75" s="2" t="str">
        <f>IFERROR(VLOOKUP(AX37,[1]데이터시트!$B$3:$N$196,9,FALSE),"")</f>
        <v/>
      </c>
      <c r="AV75" s="2" t="str">
        <f>IFERROR(VLOOKUP(AY41,[1]데이터시트!$B$3:$N$196,9,FALSE),"")</f>
        <v>에너지ㆍ자원</v>
      </c>
      <c r="AW75" s="2"/>
      <c r="AX75" s="2" t="str">
        <f>IFERROR(VLOOKUP(AZ41,[1]데이터시트!$B$3:$N$196,9,FALSE),"")</f>
        <v/>
      </c>
      <c r="AY75" s="2" t="str">
        <f>IFERROR(VLOOKUP(BA41,[1]데이터시트!$B$3:$N$196,9,FALSE),"")</f>
        <v/>
      </c>
      <c r="AZ75" s="2" t="str">
        <f>IFERROR(VLOOKUP(BC41,[1]데이터시트!$B$3:$N$196,9,FALSE),"")</f>
        <v/>
      </c>
      <c r="BA75" s="2" t="str">
        <f>IFERROR(VLOOKUP(BD36,[1]데이터시트!$B$3:$N$196,9,FALSE),"")</f>
        <v/>
      </c>
      <c r="BB75" s="2"/>
      <c r="BC75" s="2" t="str">
        <f>IFERROR(VLOOKUP(BE36,[1]데이터시트!$B$3:$N$196,9,FALSE),"")</f>
        <v/>
      </c>
      <c r="BD75" s="2" t="str">
        <f>IFERROR(VLOOKUP(BF36,[1]데이터시트!$B$3:$N$196,9,FALSE),"")</f>
        <v/>
      </c>
      <c r="BE75" s="2" t="str">
        <f>IFERROR(VLOOKUP(BH36,[1]데이터시트!$B$3:$N$196,9,FALSE),"")</f>
        <v/>
      </c>
      <c r="BF75"/>
      <c r="BG75"/>
      <c r="BH75"/>
    </row>
    <row r="76" spans="6:60" hidden="1" x14ac:dyDescent="0.3">
      <c r="F76" s="2" t="str">
        <f>IFERROR(VLOOKUP(#REF!,[1]데이터시트!$B$3:$N$196,9,FALSE),"")</f>
        <v/>
      </c>
      <c r="G76" s="2" t="str">
        <f>IFERROR(VLOOKUP(#REF!,[1]데이터시트!$B$3:$N$196,9,FALSE),"")</f>
        <v/>
      </c>
      <c r="H76" s="2" t="str">
        <f>IFERROR(VLOOKUP(#REF!,[1]데이터시트!$B$3:$N$196,9,FALSE),"")</f>
        <v/>
      </c>
      <c r="I76" s="2"/>
      <c r="J76" s="2" t="str">
        <f>IFERROR(VLOOKUP(J37,[1]데이터시트!$B$3:$N$196,9,FALSE),"")</f>
        <v/>
      </c>
      <c r="K76" s="2" t="str">
        <f>IFERROR(VLOOKUP(K30,[1]데이터시트!$B$3:$N$196,9,FALSE),"")</f>
        <v>정보ㆍ통신</v>
      </c>
      <c r="L76" s="2" t="str">
        <f>IFERROR(VLOOKUP(L30,[1]데이터시트!$B$3:$N$196,9,FALSE),"")</f>
        <v/>
      </c>
      <c r="M76" s="2" t="str">
        <f>IFERROR(VLOOKUP(M30,[1]데이터시트!$B$3:$N$196,9,FALSE),"")</f>
        <v/>
      </c>
      <c r="N76" s="2"/>
      <c r="O76" s="2" t="str">
        <f>IFERROR(VLOOKUP(O36,[1]데이터시트!$B$3:$N$196,9,FALSE),"")</f>
        <v/>
      </c>
      <c r="P76" s="2" t="str">
        <f>IFERROR(VLOOKUP(P37,[1]데이터시트!$B$3:$N$196,9,FALSE),"")</f>
        <v>정보ㆍ통신</v>
      </c>
      <c r="Q76" s="2" t="str">
        <f>IFERROR(VLOOKUP(Q37,[1]데이터시트!$B$3:$N$196,9,FALSE),"")</f>
        <v/>
      </c>
      <c r="R76" s="2" t="str">
        <f>IFERROR(VLOOKUP(R37,[1]데이터시트!$B$3:$N$196,9,FALSE),"")</f>
        <v/>
      </c>
      <c r="S76" s="2"/>
      <c r="T76" s="2" t="str">
        <f>IFERROR(VLOOKUP(T37,[1]데이터시트!$B$3:$N$196,9,FALSE),"")</f>
        <v/>
      </c>
      <c r="U76" s="2" t="str">
        <f>IFERROR(VLOOKUP(U40,[1]데이터시트!$B$3:$N$196,9,FALSE),"")</f>
        <v>정보ㆍ통신</v>
      </c>
      <c r="V76" s="2" t="str">
        <f>IFERROR(VLOOKUP(V40,[1]데이터시트!$B$3:$N$196,9,FALSE),"")</f>
        <v/>
      </c>
      <c r="W76" s="2" t="str">
        <f>IFERROR(VLOOKUP(W40,[1]데이터시트!$B$3:$N$196,9,FALSE),"")</f>
        <v/>
      </c>
      <c r="X76" s="2"/>
      <c r="Y76" s="2" t="str">
        <f>IFERROR(VLOOKUP(Y40,[1]데이터시트!$B$3:$N$196,9,FALSE),"")</f>
        <v/>
      </c>
      <c r="Z76" s="2" t="str">
        <f>IFERROR(VLOOKUP(AB30,[1]데이터시트!$B$3:$N$196,9,FALSE),"")</f>
        <v/>
      </c>
      <c r="AA76" s="2" t="str">
        <f>IFERROR(VLOOKUP(AD30,[1]데이터시트!$B$3:$N$196,9,FALSE),"")</f>
        <v/>
      </c>
      <c r="AB76" s="2" t="str">
        <f>IFERROR(VLOOKUP(AE37,[1]데이터시트!$B$3:$N$196,9,FALSE),"")</f>
        <v>기계ㆍ소재</v>
      </c>
      <c r="AC76" s="2"/>
      <c r="AD76" s="2" t="str">
        <f>IFERROR(VLOOKUP(AF37,[1]데이터시트!$B$3:$N$196,9,FALSE),"")</f>
        <v/>
      </c>
      <c r="AE76" s="2" t="str">
        <f>IFERROR(VLOOKUP(AG37,[1]데이터시트!$B$3:$N$196,9,FALSE),"")</f>
        <v/>
      </c>
      <c r="AF76" s="2" t="str">
        <f>IFERROR(VLOOKUP(AI37,[1]데이터시트!$B$3:$N$196,9,FALSE),"")</f>
        <v/>
      </c>
      <c r="AG76" s="2" t="str">
        <f>IFERROR(VLOOKUP(AJ32,[1]데이터시트!$B$3:$N$196,9,FALSE),"")</f>
        <v>바이오ㆍ의료ㆍ생명</v>
      </c>
      <c r="AH76" s="2"/>
      <c r="AI76" s="2" t="str">
        <f>IFERROR(VLOOKUP(AK32,[1]데이터시트!$B$3:$N$196,9,FALSE),"")</f>
        <v/>
      </c>
      <c r="AJ76" s="2" t="str">
        <f>IFERROR(VLOOKUP(AL32,[1]데이터시트!$B$3:$N$196,9,FALSE),"")</f>
        <v/>
      </c>
      <c r="AK76" s="2" t="str">
        <f>IFERROR(VLOOKUP(AN32,[1]데이터시트!$B$3:$N$196,9,FALSE),"")</f>
        <v/>
      </c>
      <c r="AL76" s="2" t="str">
        <f>IFERROR(VLOOKUP(AO37,[1]데이터시트!$B$3:$N$196,9,FALSE),"")</f>
        <v>바이오ㆍ의료ㆍ생명</v>
      </c>
      <c r="AM76" s="2"/>
      <c r="AN76" s="2" t="str">
        <f>IFERROR(VLOOKUP(AP37,[1]데이터시트!$B$3:$N$196,9,FALSE),"")</f>
        <v/>
      </c>
      <c r="AO76" s="2" t="str">
        <f>IFERROR(VLOOKUP(AQ37,[1]데이터시트!$B$3:$N$196,9,FALSE),"")</f>
        <v/>
      </c>
      <c r="AP76" s="2" t="str">
        <f>IFERROR(VLOOKUP(AS37,[1]데이터시트!$B$3:$N$196,9,FALSE),"")</f>
        <v/>
      </c>
      <c r="AQ76" s="2" t="str">
        <f>IFERROR(VLOOKUP(AT38,[1]데이터시트!$B$3:$N$196,9,FALSE),"")</f>
        <v>화공ㆍ섬유</v>
      </c>
      <c r="AR76" s="2"/>
      <c r="AS76" s="2" t="str">
        <f>IFERROR(VLOOKUP(AU38,[1]데이터시트!$B$3:$N$196,9,FALSE),"")</f>
        <v/>
      </c>
      <c r="AT76" s="2" t="str">
        <f>IFERROR(VLOOKUP(AV38,[1]데이터시트!$B$3:$N$196,9,FALSE),"")</f>
        <v/>
      </c>
      <c r="AU76" s="2" t="str">
        <f>IFERROR(VLOOKUP(AX38,[1]데이터시트!$B$3:$N$196,9,FALSE),"")</f>
        <v/>
      </c>
      <c r="AV76" s="2" t="str">
        <f>IFERROR(VLOOKUP(AY31,[1]데이터시트!$B$3:$N$196,9,FALSE),"")</f>
        <v>에너지ㆍ자원</v>
      </c>
      <c r="AW76" s="2"/>
      <c r="AX76" s="2" t="str">
        <f>IFERROR(VLOOKUP(AZ31,[1]데이터시트!$B$3:$N$196,9,FALSE),"")</f>
        <v/>
      </c>
      <c r="AY76" s="2" t="str">
        <f>IFERROR(VLOOKUP(BA31,[1]데이터시트!$B$3:$N$196,9,FALSE),"")</f>
        <v/>
      </c>
      <c r="AZ76" s="2" t="str">
        <f>IFERROR(VLOOKUP(BC31,[1]데이터시트!$B$3:$N$196,9,FALSE),"")</f>
        <v/>
      </c>
      <c r="BA76" s="2" t="str">
        <f>IFERROR(VLOOKUP(BD32,[1]데이터시트!$B$3:$N$196,9,FALSE),"")</f>
        <v>공예ㆍ디자인</v>
      </c>
      <c r="BB76" s="2"/>
      <c r="BC76" s="2" t="str">
        <f>IFERROR(VLOOKUP(BE32,[1]데이터시트!$B$3:$N$196,9,FALSE),"")</f>
        <v/>
      </c>
      <c r="BD76" s="2" t="str">
        <f>IFERROR(VLOOKUP(BF32,[1]데이터시트!$B$3:$N$196,9,FALSE),"")</f>
        <v/>
      </c>
      <c r="BE76" s="2" t="str">
        <f>IFERROR(VLOOKUP(BH32,[1]데이터시트!$B$3:$N$196,9,FALSE),"")</f>
        <v/>
      </c>
      <c r="BF76"/>
      <c r="BG76"/>
      <c r="BH76"/>
    </row>
    <row r="77" spans="6:60" hidden="1" x14ac:dyDescent="0.3">
      <c r="F77" s="2" t="str">
        <f>IFERROR(VLOOKUP(#REF!,[1]데이터시트!$B$3:$N$196,9,FALSE),"")</f>
        <v/>
      </c>
      <c r="G77" s="2" t="str">
        <f>IFERROR(VLOOKUP(#REF!,[1]데이터시트!$B$3:$N$196,9,FALSE),"")</f>
        <v/>
      </c>
      <c r="H77" s="2" t="str">
        <f>IFERROR(VLOOKUP(#REF!,[1]데이터시트!$B$3:$N$196,9,FALSE),"")</f>
        <v/>
      </c>
      <c r="I77" s="2"/>
      <c r="J77" s="2" t="str">
        <f>IFERROR(VLOOKUP(J38,[1]데이터시트!$B$3:$N$196,9,FALSE),"")</f>
        <v/>
      </c>
      <c r="K77" s="2" t="str">
        <f>IFERROR(VLOOKUP(K35,[1]데이터시트!$B$3:$N$196,9,FALSE),"")</f>
        <v>정보ㆍ통신</v>
      </c>
      <c r="L77" s="2" t="str">
        <f>IFERROR(VLOOKUP(L35,[1]데이터시트!$B$3:$N$196,9,FALSE),"")</f>
        <v/>
      </c>
      <c r="M77" s="2" t="str">
        <f>IFERROR(VLOOKUP(M35,[1]데이터시트!$B$3:$N$196,9,FALSE),"")</f>
        <v/>
      </c>
      <c r="N77" s="2"/>
      <c r="O77" s="2" t="str">
        <f>IFERROR(VLOOKUP(O32,[1]데이터시트!$B$3:$N$196,9,FALSE),"")</f>
        <v/>
      </c>
      <c r="P77" s="2" t="str">
        <f>IFERROR(VLOOKUP(P38,[1]데이터시트!$B$3:$N$196,9,FALSE),"")</f>
        <v>정보ㆍ통신</v>
      </c>
      <c r="Q77" s="2" t="str">
        <f>IFERROR(VLOOKUP(Q38,[1]데이터시트!$B$3:$N$196,9,FALSE),"")</f>
        <v/>
      </c>
      <c r="R77" s="2" t="str">
        <f>IFERROR(VLOOKUP(R38,[1]데이터시트!$B$3:$N$196,9,FALSE),"")</f>
        <v/>
      </c>
      <c r="S77" s="2"/>
      <c r="T77" s="2" t="str">
        <f>IFERROR(VLOOKUP(T38,[1]데이터시트!$B$3:$N$196,9,FALSE),"")</f>
        <v/>
      </c>
      <c r="U77" s="2" t="str">
        <f>IFERROR(VLOOKUP(U39,[1]데이터시트!$B$3:$N$196,9,FALSE),"")</f>
        <v>정보ㆍ통신</v>
      </c>
      <c r="V77" s="2" t="str">
        <f>IFERROR(VLOOKUP(V39,[1]데이터시트!$B$3:$N$196,9,FALSE),"")</f>
        <v/>
      </c>
      <c r="W77" s="2" t="str">
        <f>IFERROR(VLOOKUP(W39,[1]데이터시트!$B$3:$N$196,9,FALSE),"")</f>
        <v/>
      </c>
      <c r="X77" s="2"/>
      <c r="Y77" s="2" t="str">
        <f>IFERROR(VLOOKUP(Y39,[1]데이터시트!$B$3:$N$196,9,FALSE),"")</f>
        <v/>
      </c>
      <c r="Z77" s="2" t="str">
        <f>IFERROR(VLOOKUP(AB38,[1]데이터시트!$B$3:$N$196,9,FALSE),"")</f>
        <v/>
      </c>
      <c r="AA77" s="2" t="str">
        <f>IFERROR(VLOOKUP(AD38,[1]데이터시트!$B$3:$N$196,9,FALSE),"")</f>
        <v/>
      </c>
      <c r="AB77" s="2" t="str">
        <f>IFERROR(VLOOKUP(AE40,[1]데이터시트!$B$3:$N$196,9,FALSE),"")</f>
        <v>기계ㆍ소재</v>
      </c>
      <c r="AC77" s="2"/>
      <c r="AD77" s="2" t="str">
        <f>IFERROR(VLOOKUP(AF40,[1]데이터시트!$B$3:$N$196,9,FALSE),"")</f>
        <v/>
      </c>
      <c r="AE77" s="2" t="str">
        <f>IFERROR(VLOOKUP(AG40,[1]데이터시트!$B$3:$N$196,9,FALSE),"")</f>
        <v/>
      </c>
      <c r="AF77" s="2" t="str">
        <f>IFERROR(VLOOKUP(AI40,[1]데이터시트!$B$3:$N$196,9,FALSE),"")</f>
        <v/>
      </c>
      <c r="AG77" s="2" t="str">
        <f>IFERROR(VLOOKUP(AJ33,[1]데이터시트!$B$3:$N$196,9,FALSE),"")</f>
        <v>바이오ㆍ의료ㆍ생명</v>
      </c>
      <c r="AH77" s="2"/>
      <c r="AI77" s="2" t="str">
        <f>IFERROR(VLOOKUP(AK33,[1]데이터시트!$B$3:$N$196,9,FALSE),"")</f>
        <v/>
      </c>
      <c r="AJ77" s="2" t="str">
        <f>IFERROR(VLOOKUP(AL33,[1]데이터시트!$B$3:$N$196,9,FALSE),"")</f>
        <v/>
      </c>
      <c r="AK77" s="2" t="str">
        <f>IFERROR(VLOOKUP(AN33,[1]데이터시트!$B$3:$N$196,9,FALSE),"")</f>
        <v/>
      </c>
      <c r="AL77" s="2" t="str">
        <f>IFERROR(VLOOKUP(AO38,[1]데이터시트!$B$3:$N$196,9,FALSE),"")</f>
        <v>바이오ㆍ의료ㆍ생명</v>
      </c>
      <c r="AM77" s="2"/>
      <c r="AN77" s="2" t="str">
        <f>IFERROR(VLOOKUP(AP38,[1]데이터시트!$B$3:$N$196,9,FALSE),"")</f>
        <v/>
      </c>
      <c r="AO77" s="2" t="str">
        <f>IFERROR(VLOOKUP(AQ38,[1]데이터시트!$B$3:$N$196,9,FALSE),"")</f>
        <v/>
      </c>
      <c r="AP77" s="2" t="str">
        <f>IFERROR(VLOOKUP(AS38,[1]데이터시트!$B$3:$N$196,9,FALSE),"")</f>
        <v/>
      </c>
      <c r="AQ77" s="2" t="str">
        <f>IFERROR(VLOOKUP(AT39,[1]데이터시트!$B$3:$N$196,9,FALSE),"")</f>
        <v>화공ㆍ섬유</v>
      </c>
      <c r="AR77" s="2"/>
      <c r="AS77" s="2" t="str">
        <f>IFERROR(VLOOKUP(AU39,[1]데이터시트!$B$3:$N$196,9,FALSE),"")</f>
        <v/>
      </c>
      <c r="AT77" s="2" t="str">
        <f>IFERROR(VLOOKUP(AV39,[1]데이터시트!$B$3:$N$196,9,FALSE),"")</f>
        <v/>
      </c>
      <c r="AU77" s="2" t="str">
        <f>IFERROR(VLOOKUP(AX39,[1]데이터시트!$B$3:$N$196,9,FALSE),"")</f>
        <v/>
      </c>
      <c r="AV77" s="2" t="str">
        <f>IFERROR(VLOOKUP(AY37,[1]데이터시트!$B$3:$N$196,9,FALSE),"")</f>
        <v>에너지ㆍ자원</v>
      </c>
      <c r="AW77" s="2"/>
      <c r="AX77" s="2" t="str">
        <f>IFERROR(VLOOKUP(AZ37,[1]데이터시트!$B$3:$N$196,9,FALSE),"")</f>
        <v/>
      </c>
      <c r="AY77" s="2" t="str">
        <f>IFERROR(VLOOKUP(BA37,[1]데이터시트!$B$3:$N$196,9,FALSE),"")</f>
        <v/>
      </c>
      <c r="AZ77" s="2" t="str">
        <f>IFERROR(VLOOKUP(BC37,[1]데이터시트!$B$3:$N$196,9,FALSE),"")</f>
        <v/>
      </c>
      <c r="BA77" s="2" t="str">
        <f>IFERROR(VLOOKUP(BD39,[1]데이터시트!$B$3:$N$196,9,FALSE),"")</f>
        <v>공예ㆍ디자인</v>
      </c>
      <c r="BB77" s="2"/>
      <c r="BC77" s="2" t="str">
        <f>IFERROR(VLOOKUP(BE39,[1]데이터시트!$B$3:$N$196,9,FALSE),"")</f>
        <v/>
      </c>
      <c r="BD77" s="2" t="str">
        <f>IFERROR(VLOOKUP(BF39,[1]데이터시트!$B$3:$N$196,9,FALSE),"")</f>
        <v/>
      </c>
      <c r="BE77" s="2" t="str">
        <f>IFERROR(VLOOKUP(BH39,[1]데이터시트!$B$3:$N$196,9,FALSE),"")</f>
        <v/>
      </c>
      <c r="BF77"/>
      <c r="BG77"/>
      <c r="BH77"/>
    </row>
    <row r="78" spans="6:60" hidden="1" x14ac:dyDescent="0.3">
      <c r="F78" s="2" t="str">
        <f>IFERROR(VLOOKUP(F40,[1]데이터시트!$B$3:$N$196,9,FALSE),"")</f>
        <v>정보ㆍ통신</v>
      </c>
      <c r="G78" s="2" t="str">
        <f>IFERROR(VLOOKUP(G40,[1]데이터시트!$B$3:$N$196,9,FALSE),"")</f>
        <v/>
      </c>
      <c r="H78" s="2" t="str">
        <f>IFERROR(VLOOKUP(H40,[1]데이터시트!$B$3:$N$196,9,FALSE),"")</f>
        <v/>
      </c>
      <c r="I78" s="2"/>
      <c r="J78" s="2" t="str">
        <f>IFERROR(VLOOKUP(J39,[1]데이터시트!$B$3:$N$196,9,FALSE),"")</f>
        <v/>
      </c>
      <c r="K78" s="2" t="str">
        <f>IFERROR(VLOOKUP(K39,[1]데이터시트!$B$3:$N$196,9,FALSE),"")</f>
        <v>정보ㆍ통신</v>
      </c>
      <c r="L78" s="2" t="str">
        <f>IFERROR(VLOOKUP(L39,[1]데이터시트!$B$3:$N$196,9,FALSE),"")</f>
        <v/>
      </c>
      <c r="M78" s="2" t="str">
        <f>IFERROR(VLOOKUP(M39,[1]데이터시트!$B$3:$N$196,9,FALSE),"")</f>
        <v/>
      </c>
      <c r="N78" s="2"/>
      <c r="O78" s="2" t="str">
        <f>IFERROR(VLOOKUP(O39,[1]데이터시트!$B$3:$N$196,9,FALSE),"")</f>
        <v/>
      </c>
      <c r="P78" s="2" t="str">
        <f>IFERROR(VLOOKUP(P39,[1]데이터시트!$B$3:$N$196,9,FALSE),"")</f>
        <v>정보ㆍ통신</v>
      </c>
      <c r="Q78" s="2" t="str">
        <f>IFERROR(VLOOKUP(Q39,[1]데이터시트!$B$3:$N$196,9,FALSE),"")</f>
        <v/>
      </c>
      <c r="R78" s="2" t="str">
        <f>IFERROR(VLOOKUP(R39,[1]데이터시트!$B$3:$N$196,9,FALSE),"")</f>
        <v/>
      </c>
      <c r="S78" s="2"/>
      <c r="T78" s="2" t="str">
        <f>IFERROR(VLOOKUP(T39,[1]데이터시트!$B$3:$N$196,9,FALSE),"")</f>
        <v/>
      </c>
      <c r="U78" s="2" t="str">
        <f>IFERROR(VLOOKUP(U14,[1]데이터시트!$B$3:$N$196,9,FALSE),"")</f>
        <v>정보ㆍ통신</v>
      </c>
      <c r="V78" s="2" t="str">
        <f>IFERROR(VLOOKUP(V14,[1]데이터시트!$B$3:$N$196,9,FALSE),"")</f>
        <v/>
      </c>
      <c r="W78" s="2" t="str">
        <f>IFERROR(VLOOKUP(W14,[1]데이터시트!$B$3:$N$196,9,FALSE),"")</f>
        <v/>
      </c>
      <c r="X78" s="2"/>
      <c r="Y78" s="2" t="str">
        <f>IFERROR(VLOOKUP(Y14,[1]데이터시트!$B$3:$N$196,9,FALSE),"")</f>
        <v/>
      </c>
      <c r="Z78" s="2" t="str">
        <f>IFERROR(VLOOKUP(AB39,[1]데이터시트!$B$3:$N$196,9,FALSE),"")</f>
        <v/>
      </c>
      <c r="AA78" s="2" t="str">
        <f>IFERROR(VLOOKUP(AD39,[1]데이터시트!$B$3:$N$196,9,FALSE),"")</f>
        <v/>
      </c>
      <c r="AB78" s="2" t="str">
        <f>IFERROR(VLOOKUP(AE38,[1]데이터시트!$B$3:$N$196,9,FALSE),"")</f>
        <v>기계ㆍ소재</v>
      </c>
      <c r="AC78" s="2"/>
      <c r="AD78" s="2" t="str">
        <f>IFERROR(VLOOKUP(AF38,[1]데이터시트!$B$3:$N$196,9,FALSE),"")</f>
        <v/>
      </c>
      <c r="AE78" s="2" t="str">
        <f>IFERROR(VLOOKUP(AG38,[1]데이터시트!$B$3:$N$196,9,FALSE),"")</f>
        <v/>
      </c>
      <c r="AF78" s="2" t="str">
        <f>IFERROR(VLOOKUP(AI38,[1]데이터시트!$B$3:$N$196,9,FALSE),"")</f>
        <v/>
      </c>
      <c r="AG78" s="2" t="str">
        <f>IFERROR(VLOOKUP(AJ40,[1]데이터시트!$B$3:$N$196,9,FALSE),"")</f>
        <v>바이오ㆍ의료ㆍ생명</v>
      </c>
      <c r="AH78" s="2"/>
      <c r="AI78" s="2" t="str">
        <f>IFERROR(VLOOKUP(AK40,[1]데이터시트!$B$3:$N$196,9,FALSE),"")</f>
        <v/>
      </c>
      <c r="AJ78" s="2" t="str">
        <f>IFERROR(VLOOKUP(AL40,[1]데이터시트!$B$3:$N$196,9,FALSE),"")</f>
        <v/>
      </c>
      <c r="AK78" s="2" t="str">
        <f>IFERROR(VLOOKUP(AN40,[1]데이터시트!$B$3:$N$196,9,FALSE),"")</f>
        <v/>
      </c>
      <c r="AL78" s="2" t="str">
        <f>IFERROR(VLOOKUP(AO39,[1]데이터시트!$B$3:$N$196,9,FALSE),"")</f>
        <v>바이오ㆍ의료ㆍ생명</v>
      </c>
      <c r="AM78" s="2"/>
      <c r="AN78" s="2" t="str">
        <f>IFERROR(VLOOKUP(AP39,[1]데이터시트!$B$3:$N$196,9,FALSE),"")</f>
        <v/>
      </c>
      <c r="AO78" s="2" t="str">
        <f>IFERROR(VLOOKUP(AQ39,[1]데이터시트!$B$3:$N$196,9,FALSE),"")</f>
        <v/>
      </c>
      <c r="AP78" s="2" t="str">
        <f>IFERROR(VLOOKUP(AS39,[1]데이터시트!$B$3:$N$196,9,FALSE),"")</f>
        <v/>
      </c>
      <c r="AQ78" s="2" t="str">
        <f>IFERROR(VLOOKUP(AT29,[1]데이터시트!$B$3:$N$196,9,FALSE),"")</f>
        <v>화공ㆍ섬유</v>
      </c>
      <c r="AR78" s="2"/>
      <c r="AS78" s="2" t="str">
        <f>IFERROR(VLOOKUP(AU29,[1]데이터시트!$B$3:$N$196,9,FALSE),"")</f>
        <v/>
      </c>
      <c r="AT78" s="2" t="str">
        <f>IFERROR(VLOOKUP(AV29,[1]데이터시트!$B$3:$N$196,9,FALSE),"")</f>
        <v/>
      </c>
      <c r="AU78" s="2" t="str">
        <f>IFERROR(VLOOKUP(AX29,[1]데이터시트!$B$3:$N$196,9,FALSE),"")</f>
        <v/>
      </c>
      <c r="AV78" s="2" t="str">
        <f>IFERROR(VLOOKUP(AY39,[1]데이터시트!$B$3:$N$196,9,FALSE),"")</f>
        <v>에너지ㆍ자원</v>
      </c>
      <c r="AW78" s="2"/>
      <c r="AX78" s="2" t="str">
        <f>IFERROR(VLOOKUP(AZ39,[1]데이터시트!$B$3:$N$196,9,FALSE),"")</f>
        <v/>
      </c>
      <c r="AY78" s="2" t="str">
        <f>IFERROR(VLOOKUP(BA39,[1]데이터시트!$B$3:$N$196,9,FALSE),"")</f>
        <v/>
      </c>
      <c r="AZ78" s="2" t="str">
        <f>IFERROR(VLOOKUP(BC39,[1]데이터시트!$B$3:$N$196,9,FALSE),"")</f>
        <v/>
      </c>
      <c r="BA78" s="2" t="str">
        <f>IFERROR(VLOOKUP(BD40,[1]데이터시트!$B$3:$N$196,9,FALSE),"")</f>
        <v>공예ㆍ디자인</v>
      </c>
      <c r="BB78" s="2"/>
      <c r="BC78" s="2" t="str">
        <f>IFERROR(VLOOKUP(BE40,[1]데이터시트!$B$3:$N$196,9,FALSE),"")</f>
        <v/>
      </c>
      <c r="BD78" s="2" t="str">
        <f>IFERROR(VLOOKUP(BF40,[1]데이터시트!$B$3:$N$196,9,FALSE),"")</f>
        <v/>
      </c>
      <c r="BE78" s="2" t="str">
        <f>IFERROR(VLOOKUP(BH40,[1]데이터시트!$B$3:$N$196,9,FALSE),"")</f>
        <v/>
      </c>
      <c r="BF78"/>
      <c r="BG78"/>
      <c r="BH78"/>
    </row>
    <row r="79" spans="6:60" hidden="1" x14ac:dyDescent="0.3">
      <c r="F79" s="2" t="str">
        <f>IFERROR(VLOOKUP(F31,[1]데이터시트!$B$3:$N$196,9,FALSE),"")</f>
        <v>정보ㆍ통신</v>
      </c>
      <c r="G79" s="2" t="str">
        <f>IFERROR(VLOOKUP(G31,[1]데이터시트!$B$3:$N$196,9,FALSE),"")</f>
        <v/>
      </c>
      <c r="H79" s="2" t="str">
        <f>IFERROR(VLOOKUP(H31,[1]데이터시트!$B$3:$N$196,9,FALSE),"")</f>
        <v/>
      </c>
      <c r="I79" s="2"/>
      <c r="J79" s="2" t="str">
        <f>IFERROR(VLOOKUP(J40,[1]데이터시트!$B$3:$N$196,9,FALSE),"")</f>
        <v/>
      </c>
      <c r="K79" s="2" t="str">
        <f>IFERROR(VLOOKUP(K40,[1]데이터시트!$B$3:$N$196,9,FALSE),"")</f>
        <v>정보ㆍ통신</v>
      </c>
      <c r="L79" s="2" t="str">
        <f>IFERROR(VLOOKUP(L40,[1]데이터시트!$B$3:$N$196,9,FALSE),"")</f>
        <v/>
      </c>
      <c r="M79" s="2" t="str">
        <f>IFERROR(VLOOKUP(M40,[1]데이터시트!$B$3:$N$196,9,FALSE),"")</f>
        <v/>
      </c>
      <c r="N79" s="2"/>
      <c r="O79" s="2" t="str">
        <f>IFERROR(VLOOKUP(O40,[1]데이터시트!$B$3:$N$196,9,FALSE),"")</f>
        <v/>
      </c>
      <c r="P79" s="2" t="str">
        <f>IFERROR(VLOOKUP(P40,[1]데이터시트!$B$3:$N$196,9,FALSE),"")</f>
        <v>정보ㆍ통신</v>
      </c>
      <c r="Q79" s="2" t="str">
        <f>IFERROR(VLOOKUP(Q40,[1]데이터시트!$B$3:$N$196,9,FALSE),"")</f>
        <v/>
      </c>
      <c r="R79" s="2" t="str">
        <f>IFERROR(VLOOKUP(R40,[1]데이터시트!$B$3:$N$196,9,FALSE),"")</f>
        <v/>
      </c>
      <c r="S79" s="2"/>
      <c r="T79" s="2" t="str">
        <f>IFERROR(VLOOKUP(T40,[1]데이터시트!$B$3:$N$196,9,FALSE),"")</f>
        <v/>
      </c>
      <c r="U79" s="2" t="str">
        <f>IFERROR(VLOOKUP(U32,[1]데이터시트!$B$3:$N$196,9,FALSE),"")</f>
        <v>정보ㆍ통신</v>
      </c>
      <c r="V79" s="2" t="str">
        <f>IFERROR(VLOOKUP(V32,[1]데이터시트!$B$3:$N$196,9,FALSE),"")</f>
        <v/>
      </c>
      <c r="W79" s="2" t="str">
        <f>IFERROR(VLOOKUP(W32,[1]데이터시트!$B$3:$N$196,9,FALSE),"")</f>
        <v/>
      </c>
      <c r="X79" s="2"/>
      <c r="Y79" s="2" t="str">
        <f>IFERROR(VLOOKUP(Y32,[1]데이터시트!$B$3:$N$196,9,FALSE),"")</f>
        <v/>
      </c>
      <c r="Z79" s="2" t="str">
        <f>IFERROR(VLOOKUP(AB40,[1]데이터시트!$B$3:$N$196,9,FALSE),"")</f>
        <v/>
      </c>
      <c r="AA79" s="2" t="str">
        <f>IFERROR(VLOOKUP(AD40,[1]데이터시트!$B$3:$N$196,9,FALSE),"")</f>
        <v/>
      </c>
      <c r="AB79" s="2" t="str">
        <f>IFERROR(VLOOKUP(AE39,[1]데이터시트!$B$3:$N$196,9,FALSE),"")</f>
        <v>기계ㆍ소재</v>
      </c>
      <c r="AC79" s="2"/>
      <c r="AD79" s="2" t="str">
        <f>IFERROR(VLOOKUP(AF39,[1]데이터시트!$B$3:$N$196,9,FALSE),"")</f>
        <v/>
      </c>
      <c r="AE79" s="2" t="str">
        <f>IFERROR(VLOOKUP(AG39,[1]데이터시트!$B$3:$N$196,9,FALSE),"")</f>
        <v/>
      </c>
      <c r="AF79" s="2" t="str">
        <f>IFERROR(VLOOKUP(AI39,[1]데이터시트!$B$3:$N$196,9,FALSE),"")</f>
        <v/>
      </c>
      <c r="AG79" s="2" t="str">
        <f>IFERROR(VLOOKUP(AJ41,[1]데이터시트!$B$3:$N$196,9,FALSE),"")</f>
        <v>바이오ㆍ의료ㆍ생명</v>
      </c>
      <c r="AH79" s="2"/>
      <c r="AI79" s="2" t="str">
        <f>IFERROR(VLOOKUP(AK41,[1]데이터시트!$B$3:$N$196,9,FALSE),"")</f>
        <v/>
      </c>
      <c r="AJ79" s="2" t="str">
        <f>IFERROR(VLOOKUP(AL41,[1]데이터시트!$B$3:$N$196,9,FALSE),"")</f>
        <v/>
      </c>
      <c r="AK79" s="2" t="str">
        <f>IFERROR(VLOOKUP(AN41,[1]데이터시트!$B$3:$N$196,9,FALSE),"")</f>
        <v/>
      </c>
      <c r="AL79" s="2" t="str">
        <f>IFERROR(VLOOKUP(AO40,[1]데이터시트!$B$3:$N$196,9,FALSE),"")</f>
        <v>바이오ㆍ의료ㆍ생명</v>
      </c>
      <c r="AM79" s="2"/>
      <c r="AN79" s="2" t="str">
        <f>IFERROR(VLOOKUP(AP40,[1]데이터시트!$B$3:$N$196,9,FALSE),"")</f>
        <v/>
      </c>
      <c r="AO79" s="2" t="str">
        <f>IFERROR(VLOOKUP(AQ40,[1]데이터시트!$B$3:$N$196,9,FALSE),"")</f>
        <v/>
      </c>
      <c r="AP79" s="2" t="str">
        <f>IFERROR(VLOOKUP(AS40,[1]데이터시트!$B$3:$N$196,9,FALSE),"")</f>
        <v/>
      </c>
      <c r="AQ79" s="2" t="str">
        <f>IFERROR(VLOOKUP(AT40,[1]데이터시트!$B$3:$N$196,9,FALSE),"")</f>
        <v>화공ㆍ섬유</v>
      </c>
      <c r="AR79" s="2"/>
      <c r="AS79" s="2" t="str">
        <f>IFERROR(VLOOKUP(AU40,[1]데이터시트!$B$3:$N$196,9,FALSE),"")</f>
        <v/>
      </c>
      <c r="AT79" s="2" t="str">
        <f>IFERROR(VLOOKUP(AV40,[1]데이터시트!$B$3:$N$196,9,FALSE),"")</f>
        <v/>
      </c>
      <c r="AU79" s="2" t="str">
        <f>IFERROR(VLOOKUP(AX40,[1]데이터시트!$B$3:$N$196,9,FALSE),"")</f>
        <v/>
      </c>
      <c r="AV79" s="2" t="str">
        <f>IFERROR(VLOOKUP(AY35,[1]데이터시트!$B$3:$N$196,9,FALSE),"")</f>
        <v>에너지ㆍ자원</v>
      </c>
      <c r="AW79" s="2"/>
      <c r="AX79" s="2" t="str">
        <f>IFERROR(VLOOKUP(AZ35,[1]데이터시트!$B$3:$N$196,9,FALSE),"")</f>
        <v/>
      </c>
      <c r="AY79" s="2" t="str">
        <f>IFERROR(VLOOKUP(BA35,[1]데이터시트!$B$3:$N$196,9,FALSE),"")</f>
        <v/>
      </c>
      <c r="AZ79" s="2" t="str">
        <f>IFERROR(VLOOKUP(BC35,[1]데이터시트!$B$3:$N$196,9,FALSE),"")</f>
        <v/>
      </c>
      <c r="BA79" s="2" t="str">
        <f>IFERROR(VLOOKUP(BD33,[1]데이터시트!$B$3:$N$196,9,FALSE),"")</f>
        <v>공예ㆍ디자인</v>
      </c>
      <c r="BB79" s="2"/>
      <c r="BC79" s="2" t="str">
        <f>IFERROR(VLOOKUP(BE33,[1]데이터시트!$B$3:$N$196,9,FALSE),"")</f>
        <v/>
      </c>
      <c r="BD79" s="2" t="str">
        <f>IFERROR(VLOOKUP(BF33,[1]데이터시트!$B$3:$N$196,9,FALSE),"")</f>
        <v/>
      </c>
      <c r="BE79" s="2" t="str">
        <f>IFERROR(VLOOKUP(BH33,[1]데이터시트!$B$3:$N$196,9,FALSE),"")</f>
        <v/>
      </c>
      <c r="BF79"/>
      <c r="BG79"/>
      <c r="BH79"/>
    </row>
    <row r="80" spans="6:60" hidden="1" x14ac:dyDescent="0.3">
      <c r="F80" s="2" t="str">
        <f>IFERROR(VLOOKUP(F41,[1]데이터시트!$B$3:$N$196,9,FALSE),"")</f>
        <v>정보ㆍ통신</v>
      </c>
      <c r="G80" s="2" t="str">
        <f>IFERROR(VLOOKUP(G41,[1]데이터시트!$B$3:$N$196,9,FALSE),"")</f>
        <v/>
      </c>
      <c r="H80" s="2" t="str">
        <f>IFERROR(VLOOKUP(H41,[1]데이터시트!$B$3:$N$196,9,FALSE),"")</f>
        <v/>
      </c>
      <c r="I80" s="2"/>
      <c r="J80" s="2" t="str">
        <f>IFERROR(VLOOKUP(J41,[1]데이터시트!$B$3:$N$196,9,FALSE),"")</f>
        <v/>
      </c>
      <c r="K80" s="2" t="str">
        <f>IFERROR(VLOOKUP(K29,[1]데이터시트!$B$3:$N$196,9,FALSE),"")</f>
        <v>정보ㆍ통신</v>
      </c>
      <c r="L80" s="2" t="str">
        <f>IFERROR(VLOOKUP(L29,[1]데이터시트!$B$3:$N$196,9,FALSE),"")</f>
        <v/>
      </c>
      <c r="M80" s="2" t="str">
        <f>IFERROR(VLOOKUP(M29,[1]데이터시트!$B$3:$N$196,9,FALSE),"")</f>
        <v/>
      </c>
      <c r="N80" s="2"/>
      <c r="O80" s="2" t="str">
        <f>IFERROR(VLOOKUP(O35,[1]데이터시트!$B$3:$N$196,9,FALSE),"")</f>
        <v/>
      </c>
      <c r="P80" s="2" t="str">
        <f>IFERROR(VLOOKUP(P41,[1]데이터시트!$B$3:$N$196,9,FALSE),"")</f>
        <v>정보ㆍ통신</v>
      </c>
      <c r="Q80" s="2" t="str">
        <f>IFERROR(VLOOKUP(Q41,[1]데이터시트!$B$3:$N$196,9,FALSE),"")</f>
        <v/>
      </c>
      <c r="R80" s="2" t="str">
        <f>IFERROR(VLOOKUP(R41,[1]데이터시트!$B$3:$N$196,9,FALSE),"")</f>
        <v/>
      </c>
      <c r="S80" s="2"/>
      <c r="T80" s="2" t="str">
        <f>IFERROR(VLOOKUP(T41,[1]데이터시트!$B$3:$N$196,9,FALSE),"")</f>
        <v/>
      </c>
      <c r="U80" s="2" t="str">
        <f>IFERROR(VLOOKUP(U33,[1]데이터시트!$B$3:$N$196,9,FALSE),"")</f>
        <v>정보ㆍ통신</v>
      </c>
      <c r="V80" s="2" t="str">
        <f>IFERROR(VLOOKUP(V33,[1]데이터시트!$B$3:$N$196,9,FALSE),"")</f>
        <v/>
      </c>
      <c r="W80" s="2" t="str">
        <f>IFERROR(VLOOKUP(W33,[1]데이터시트!$B$3:$N$196,9,FALSE),"")</f>
        <v/>
      </c>
      <c r="X80" s="2"/>
      <c r="Y80" s="2" t="str">
        <f>IFERROR(VLOOKUP(Y33,[1]데이터시트!$B$3:$N$196,9,FALSE),"")</f>
        <v/>
      </c>
      <c r="Z80" s="2" t="str">
        <f>IFERROR(VLOOKUP(AB41,[1]데이터시트!$B$3:$N$196,9,FALSE),"")</f>
        <v/>
      </c>
      <c r="AA80" s="2" t="str">
        <f>IFERROR(VLOOKUP(AD41,[1]데이터시트!$B$3:$N$196,9,FALSE),"")</f>
        <v/>
      </c>
      <c r="AB80" s="2" t="str">
        <f>IFERROR(VLOOKUP(AE41,[1]데이터시트!$B$3:$N$196,9,FALSE),"")</f>
        <v>기계ㆍ소재</v>
      </c>
      <c r="AC80" s="2"/>
      <c r="AD80" s="2" t="str">
        <f>IFERROR(VLOOKUP(AF41,[1]데이터시트!$B$3:$N$196,9,FALSE),"")</f>
        <v/>
      </c>
      <c r="AE80" s="2" t="str">
        <f>IFERROR(VLOOKUP(AG41,[1]데이터시트!$B$3:$N$196,9,FALSE),"")</f>
        <v/>
      </c>
      <c r="AF80" s="2" t="str">
        <f>IFERROR(VLOOKUP(AI41,[1]데이터시트!$B$3:$N$196,9,FALSE),"")</f>
        <v/>
      </c>
      <c r="AG80" s="2" t="str">
        <f>IFERROR(VLOOKUP(#REF!,[1]데이터시트!$B$3:$N$196,9,FALSE),"")</f>
        <v/>
      </c>
      <c r="AH80" s="2"/>
      <c r="AI80" s="2" t="str">
        <f>IFERROR(VLOOKUP(#REF!,[1]데이터시트!$B$3:$N$196,9,FALSE),"")</f>
        <v/>
      </c>
      <c r="AJ80" s="2" t="str">
        <f>IFERROR(VLOOKUP(#REF!,[1]데이터시트!$B$3:$N$196,9,FALSE),"")</f>
        <v/>
      </c>
      <c r="AK80" s="2" t="str">
        <f>IFERROR(VLOOKUP(#REF!,[1]데이터시트!$B$3:$N$196,9,FALSE),"")</f>
        <v/>
      </c>
      <c r="AL80" s="2" t="str">
        <f>IFERROR(VLOOKUP(AO41,[1]데이터시트!$B$3:$N$196,9,FALSE),"")</f>
        <v>바이오ㆍ의료ㆍ생명</v>
      </c>
      <c r="AM80" s="2"/>
      <c r="AN80" s="2" t="str">
        <f>IFERROR(VLOOKUP(AP41,[1]데이터시트!$B$3:$N$196,9,FALSE),"")</f>
        <v/>
      </c>
      <c r="AO80" s="2" t="str">
        <f>IFERROR(VLOOKUP(AQ41,[1]데이터시트!$B$3:$N$196,9,FALSE),"")</f>
        <v/>
      </c>
      <c r="AP80" s="2" t="str">
        <f>IFERROR(VLOOKUP(AS41,[1]데이터시트!$B$3:$N$196,9,FALSE),"")</f>
        <v/>
      </c>
      <c r="AQ80" s="2" t="str">
        <f>IFERROR(VLOOKUP(AT41,[1]데이터시트!$B$3:$N$196,9,FALSE),"")</f>
        <v>화공ㆍ섬유</v>
      </c>
      <c r="AR80" s="2"/>
      <c r="AS80" s="2" t="str">
        <f>IFERROR(VLOOKUP(AU41,[1]데이터시트!$B$3:$N$196,9,FALSE),"")</f>
        <v/>
      </c>
      <c r="AT80" s="2" t="str">
        <f>IFERROR(VLOOKUP(AV41,[1]데이터시트!$B$3:$N$196,9,FALSE),"")</f>
        <v/>
      </c>
      <c r="AU80" s="2" t="str">
        <f>IFERROR(VLOOKUP(AX41,[1]데이터시트!$B$3:$N$196,9,FALSE),"")</f>
        <v/>
      </c>
      <c r="AV80" s="2" t="str">
        <f>IFERROR(VLOOKUP(AY32,[1]데이터시트!$B$3:$N$196,9,FALSE),"")</f>
        <v>에너지ㆍ자원</v>
      </c>
      <c r="AW80" s="2"/>
      <c r="AX80" s="2" t="str">
        <f>IFERROR(VLOOKUP(AZ32,[1]데이터시트!$B$3:$N$196,9,FALSE),"")</f>
        <v/>
      </c>
      <c r="AY80" s="2" t="str">
        <f>IFERROR(VLOOKUP(BA32,[1]데이터시트!$B$3:$N$196,9,FALSE),"")</f>
        <v/>
      </c>
      <c r="AZ80" s="2" t="str">
        <f>IFERROR(VLOOKUP(BC32,[1]데이터시트!$B$3:$N$196,9,FALSE),"")</f>
        <v/>
      </c>
      <c r="BA80" s="2" t="str">
        <f>IFERROR(VLOOKUP(BD41,[1]데이터시트!$B$3:$N$196,9,FALSE),"")</f>
        <v>공예ㆍ디자인</v>
      </c>
      <c r="BB80" s="2"/>
      <c r="BC80" s="2" t="str">
        <f>IFERROR(VLOOKUP(BE41,[1]데이터시트!$B$3:$N$196,9,FALSE),"")</f>
        <v/>
      </c>
      <c r="BD80" s="2" t="str">
        <f>IFERROR(VLOOKUP(BF41,[1]데이터시트!$B$3:$N$196,9,FALSE),"")</f>
        <v/>
      </c>
      <c r="BE80" s="2" t="str">
        <f>IFERROR(VLOOKUP(BH41,[1]데이터시트!$B$3:$N$196,9,FALSE),"")</f>
        <v/>
      </c>
      <c r="BF80"/>
      <c r="BG80"/>
      <c r="BH80"/>
    </row>
    <row r="81" spans="6:60" hidden="1" x14ac:dyDescent="0.3">
      <c r="F81" s="2" t="str">
        <f>IFERROR(VLOOKUP(F42,[1]데이터시트!$B$3:$N$196,9,FALSE),"")</f>
        <v/>
      </c>
      <c r="G81" s="2" t="str">
        <f>IFERROR(VLOOKUP(G42,[1]데이터시트!$B$3:$N$196,9,FALSE),"")</f>
        <v/>
      </c>
      <c r="H81" s="2" t="str">
        <f>IFERROR(VLOOKUP(H42,[1]데이터시트!$B$3:$N$196,9,FALSE),"")</f>
        <v/>
      </c>
      <c r="I81" s="2"/>
      <c r="J81" s="2" t="str">
        <f>IFERROR(VLOOKUP(J42,[1]데이터시트!$B$3:$N$196,9,FALSE),"")</f>
        <v/>
      </c>
      <c r="K81" s="2" t="str">
        <f>IFERROR(VLOOKUP(K42,[1]데이터시트!$B$3:$N$196,9,FALSE),"")</f>
        <v/>
      </c>
      <c r="L81" s="2" t="str">
        <f>IFERROR(VLOOKUP(L42,[1]데이터시트!$B$3:$N$196,9,FALSE),"")</f>
        <v/>
      </c>
      <c r="M81" s="2" t="str">
        <f>IFERROR(VLOOKUP(M42,[1]데이터시트!$B$3:$N$196,9,FALSE),"")</f>
        <v/>
      </c>
      <c r="N81" s="2"/>
      <c r="O81" s="2" t="str">
        <f>IFERROR(VLOOKUP(O42,[1]데이터시트!$B$3:$N$196,9,FALSE),"")</f>
        <v/>
      </c>
      <c r="P81" s="2" t="str">
        <f>IFERROR(VLOOKUP(P42,[1]데이터시트!$B$3:$N$196,9,FALSE),"")</f>
        <v/>
      </c>
      <c r="Q81" s="2" t="str">
        <f>IFERROR(VLOOKUP(Q42,[1]데이터시트!$B$3:$N$196,9,FALSE),"")</f>
        <v/>
      </c>
      <c r="R81" s="2" t="str">
        <f>IFERROR(VLOOKUP(R42,[1]데이터시트!$B$3:$N$196,9,FALSE),"")</f>
        <v/>
      </c>
      <c r="S81" s="2"/>
      <c r="T81" s="2" t="str">
        <f>IFERROR(VLOOKUP(T42,[1]데이터시트!$B$3:$N$196,9,FALSE),"")</f>
        <v/>
      </c>
      <c r="U81" s="2" t="str">
        <f>IFERROR(VLOOKUP(U42,[1]데이터시트!$B$3:$N$196,9,FALSE),"")</f>
        <v/>
      </c>
      <c r="V81" s="2" t="str">
        <f>IFERROR(VLOOKUP(V42,[1]데이터시트!$B$3:$N$196,9,FALSE),"")</f>
        <v/>
      </c>
      <c r="W81" s="2" t="str">
        <f>IFERROR(VLOOKUP(W42,[1]데이터시트!$B$3:$N$196,9,FALSE),"")</f>
        <v/>
      </c>
      <c r="X81" s="2"/>
      <c r="Y81" s="2" t="str">
        <f>IFERROR(VLOOKUP(Y42,[1]데이터시트!$B$3:$N$196,9,FALSE),"")</f>
        <v/>
      </c>
      <c r="Z81" s="2" t="str">
        <f>IFERROR(VLOOKUP(AB42,[1]데이터시트!$B$3:$N$196,9,FALSE),"")</f>
        <v/>
      </c>
      <c r="AA81" s="2" t="str">
        <f>IFERROR(VLOOKUP(AD42,[1]데이터시트!$B$3:$N$196,9,FALSE),"")</f>
        <v/>
      </c>
      <c r="AB81" s="2" t="str">
        <f>IFERROR(VLOOKUP(AE42,[1]데이터시트!$B$3:$N$196,9,FALSE),"")</f>
        <v>기계ㆍ소재</v>
      </c>
      <c r="AC81" s="2"/>
      <c r="AD81" s="2" t="str">
        <f>IFERROR(VLOOKUP(AF42,[1]데이터시트!$B$3:$N$196,9,FALSE),"")</f>
        <v/>
      </c>
      <c r="AE81" s="2" t="str">
        <f>IFERROR(VLOOKUP(AG42,[1]데이터시트!$B$3:$N$196,9,FALSE),"")</f>
        <v/>
      </c>
      <c r="AF81" s="2" t="str">
        <f>IFERROR(VLOOKUP(AI42,[1]데이터시트!$B$3:$N$196,9,FALSE),"")</f>
        <v/>
      </c>
      <c r="AG81" s="2" t="str">
        <f>IFERROR(VLOOKUP(AJ42,[1]데이터시트!$B$3:$N$196,9,FALSE),"")</f>
        <v/>
      </c>
      <c r="AH81" s="2"/>
      <c r="AI81" s="2" t="str">
        <f>IFERROR(VLOOKUP(AK42,[1]데이터시트!$B$3:$N$196,9,FALSE),"")</f>
        <v/>
      </c>
      <c r="AJ81" s="2" t="str">
        <f>IFERROR(VLOOKUP(AL42,[1]데이터시트!$B$3:$N$196,9,FALSE),"")</f>
        <v/>
      </c>
      <c r="AK81" s="2" t="str">
        <f>IFERROR(VLOOKUP(AN42,[1]데이터시트!$B$3:$N$196,9,FALSE),"")</f>
        <v/>
      </c>
      <c r="AL81" s="2" t="str">
        <f>IFERROR(VLOOKUP(AO42,[1]데이터시트!$B$3:$N$196,9,FALSE),"")</f>
        <v>바이오ㆍ의료ㆍ생명</v>
      </c>
      <c r="AM81" s="2"/>
      <c r="AN81" s="2" t="str">
        <f>IFERROR(VLOOKUP(AP42,[1]데이터시트!$B$3:$N$196,9,FALSE),"")</f>
        <v/>
      </c>
      <c r="AO81" s="2" t="str">
        <f>IFERROR(VLOOKUP(AQ42,[1]데이터시트!$B$3:$N$196,9,FALSE),"")</f>
        <v/>
      </c>
      <c r="AP81" s="2" t="str">
        <f>IFERROR(VLOOKUP(AS42,[1]데이터시트!$B$3:$N$196,9,FALSE),"")</f>
        <v/>
      </c>
      <c r="AQ81" s="2" t="str">
        <f>IFERROR(VLOOKUP(AT42,[1]데이터시트!$B$3:$N$196,9,FALSE),"")</f>
        <v/>
      </c>
      <c r="AR81" s="2"/>
      <c r="AS81" s="2" t="str">
        <f>IFERROR(VLOOKUP(AU42,[1]데이터시트!$B$3:$N$196,9,FALSE),"")</f>
        <v/>
      </c>
      <c r="AT81" s="2" t="str">
        <f>IFERROR(VLOOKUP(AV42,[1]데이터시트!$B$3:$N$196,9,FALSE),"")</f>
        <v/>
      </c>
      <c r="AU81" s="2" t="str">
        <f>IFERROR(VLOOKUP(AX42,[1]데이터시트!$B$3:$N$196,9,FALSE),"")</f>
        <v/>
      </c>
      <c r="AV81" s="2" t="str">
        <f>IFERROR(VLOOKUP(AY42,[1]데이터시트!$B$3:$N$196,9,FALSE),"")</f>
        <v/>
      </c>
      <c r="AW81" s="2"/>
      <c r="AX81" s="2" t="str">
        <f>IFERROR(VLOOKUP(AZ42,[1]데이터시트!$B$3:$N$196,9,FALSE),"")</f>
        <v/>
      </c>
      <c r="AY81" s="2" t="str">
        <f>IFERROR(VLOOKUP(BA42,[1]데이터시트!$B$3:$N$196,9,FALSE),"")</f>
        <v/>
      </c>
      <c r="AZ81" s="2" t="str">
        <f>IFERROR(VLOOKUP(BC42,[1]데이터시트!$B$3:$N$196,9,FALSE),"")</f>
        <v/>
      </c>
      <c r="BA81" s="2" t="str">
        <f>IFERROR(VLOOKUP(BD42,[1]데이터시트!$B$3:$N$196,9,FALSE),"")</f>
        <v/>
      </c>
      <c r="BB81" s="2"/>
      <c r="BC81" s="2" t="str">
        <f>IFERROR(VLOOKUP(BE42,[1]데이터시트!$B$3:$N$196,9,FALSE),"")</f>
        <v/>
      </c>
      <c r="BD81" s="2" t="str">
        <f>IFERROR(VLOOKUP(BF42,[1]데이터시트!$B$3:$N$196,9,FALSE),"")</f>
        <v/>
      </c>
      <c r="BE81" s="2" t="str">
        <f>IFERROR(VLOOKUP(BH42,[1]데이터시트!$B$3:$N$196,9,FALSE),"")</f>
        <v/>
      </c>
      <c r="BF81"/>
      <c r="BG81"/>
      <c r="BH81"/>
    </row>
    <row r="82" spans="6:60" hidden="1" x14ac:dyDescent="0.3">
      <c r="F82" s="2" t="str">
        <f>IFERROR(VLOOKUP(F43,[1]데이터시트!$B$3:$N$196,9,FALSE),"")</f>
        <v/>
      </c>
      <c r="G82" s="2" t="str">
        <f>IFERROR(VLOOKUP(G43,[1]데이터시트!$B$3:$N$196,9,FALSE),"")</f>
        <v/>
      </c>
      <c r="H82" s="2" t="str">
        <f>IFERROR(VLOOKUP(H43,[1]데이터시트!$B$3:$N$196,9,FALSE),"")</f>
        <v/>
      </c>
      <c r="I82" s="2"/>
      <c r="J82" s="2" t="str">
        <f>IFERROR(VLOOKUP(J43,[1]데이터시트!$B$3:$N$196,9,FALSE),"")</f>
        <v/>
      </c>
      <c r="K82" s="2" t="str">
        <f>IFERROR(VLOOKUP(K43,[1]데이터시트!$B$3:$N$196,9,FALSE),"")</f>
        <v/>
      </c>
      <c r="L82" s="2" t="str">
        <f>IFERROR(VLOOKUP(L43,[1]데이터시트!$B$3:$N$196,9,FALSE),"")</f>
        <v/>
      </c>
      <c r="M82" s="2" t="str">
        <f>IFERROR(VLOOKUP(M43,[1]데이터시트!$B$3:$N$196,9,FALSE),"")</f>
        <v/>
      </c>
      <c r="N82" s="2"/>
      <c r="O82" s="2" t="str">
        <f>IFERROR(VLOOKUP(O43,[1]데이터시트!$B$3:$N$196,9,FALSE),"")</f>
        <v/>
      </c>
      <c r="P82" s="2" t="str">
        <f>IFERROR(VLOOKUP(P43,[1]데이터시트!$B$3:$N$196,9,FALSE),"")</f>
        <v/>
      </c>
      <c r="Q82" s="2" t="str">
        <f>IFERROR(VLOOKUP(Q43,[1]데이터시트!$B$3:$N$196,9,FALSE),"")</f>
        <v/>
      </c>
      <c r="R82" s="2" t="str">
        <f>IFERROR(VLOOKUP(R43,[1]데이터시트!$B$3:$N$196,9,FALSE),"")</f>
        <v/>
      </c>
      <c r="S82" s="2"/>
      <c r="T82" s="2" t="str">
        <f>IFERROR(VLOOKUP(T43,[1]데이터시트!$B$3:$N$196,9,FALSE),"")</f>
        <v/>
      </c>
      <c r="Z82" s="2" t="str">
        <f>IFERROR(VLOOKUP(AB43,[1]데이터시트!$B$3:$N$196,9,FALSE),"")</f>
        <v/>
      </c>
      <c r="AA82" s="2" t="str">
        <f>IFERROR(VLOOKUP(AD43,[1]데이터시트!$B$3:$N$196,9,FALSE),"")</f>
        <v/>
      </c>
      <c r="AB82" s="2" t="str">
        <f>IFERROR(VLOOKUP(AE43,[1]데이터시트!$B$3:$N$196,9,FALSE),"")</f>
        <v/>
      </c>
      <c r="AC82" s="2"/>
      <c r="AD82" s="2" t="str">
        <f>IFERROR(VLOOKUP(AF43,[1]데이터시트!$B$3:$N$196,9,FALSE),"")</f>
        <v/>
      </c>
      <c r="AJ82" s="2" t="str">
        <f>IFERROR(VLOOKUP(AL43,[1]데이터시트!$B$3:$N$196,9,FALSE),"")</f>
        <v/>
      </c>
      <c r="AK82" s="2" t="str">
        <f>IFERROR(VLOOKUP(AN43,[1]데이터시트!$B$3:$N$196,9,FALSE),"")</f>
        <v/>
      </c>
      <c r="AL82" s="2" t="str">
        <f>IFERROR(VLOOKUP(AO43,[1]데이터시트!$B$3:$N$196,9,FALSE),"")</f>
        <v/>
      </c>
      <c r="AM82" s="2"/>
      <c r="AN82" s="2" t="str">
        <f>IFERROR(VLOOKUP(AP43,[1]데이터시트!$B$3:$N$196,9,FALSE),"")</f>
        <v/>
      </c>
      <c r="AO82" s="2" t="str">
        <f>IFERROR(VLOOKUP(AQ43,[1]데이터시트!$B$3:$N$196,9,FALSE),"")</f>
        <v/>
      </c>
      <c r="AP82" s="2" t="str">
        <f>IFERROR(VLOOKUP(AS43,[1]데이터시트!$B$3:$N$196,9,FALSE),"")</f>
        <v/>
      </c>
      <c r="AQ82" s="2" t="str">
        <f>IFERROR(VLOOKUP(AT43,[1]데이터시트!$B$3:$N$196,9,FALSE),"")</f>
        <v/>
      </c>
      <c r="AR82" s="2"/>
      <c r="AS82" s="2" t="str">
        <f>IFERROR(VLOOKUP(AU43,[1]데이터시트!$B$3:$N$196,9,FALSE),"")</f>
        <v/>
      </c>
      <c r="BD82" s="2" t="str">
        <f>IFERROR(VLOOKUP(BF43,[1]데이터시트!$B$3:$N$196,9,FALSE),"")</f>
        <v/>
      </c>
      <c r="BE82" s="2" t="str">
        <f>IFERROR(VLOOKUP(BH43,[1]데이터시트!$B$3:$N$196,9,FALSE),"")</f>
        <v/>
      </c>
      <c r="BF82"/>
      <c r="BG82"/>
      <c r="BH82"/>
    </row>
    <row r="83" spans="6:60" x14ac:dyDescent="0.3">
      <c r="Z83" s="5"/>
      <c r="AB83" s="2" t="str">
        <f>IFERROR(VLOOKUP(AE44,[1]데이터시트!$B$3:$N$196,9,FALSE),"")</f>
        <v/>
      </c>
      <c r="AC83" s="2"/>
      <c r="AJ83" s="5"/>
      <c r="AL83" s="6"/>
      <c r="AM83" s="6"/>
      <c r="AT83" s="5"/>
      <c r="AV83" s="6"/>
      <c r="AW83" s="6"/>
      <c r="AY83"/>
      <c r="AZ83"/>
      <c r="BA83"/>
      <c r="BB83"/>
      <c r="BC83"/>
      <c r="BD83"/>
      <c r="BE83"/>
      <c r="BF83"/>
      <c r="BG83"/>
      <c r="BH83"/>
    </row>
    <row r="86" spans="6:60" x14ac:dyDescent="0.3">
      <c r="T86" s="6"/>
      <c r="AA86" s="5"/>
      <c r="AB86" s="6"/>
      <c r="AC86" s="6"/>
      <c r="AF86" s="5"/>
      <c r="AG86" s="6"/>
      <c r="AH86" s="6"/>
      <c r="AP86" s="5"/>
      <c r="AQ86" s="6"/>
      <c r="AR86" s="6"/>
      <c r="AU86" s="5"/>
      <c r="AV86" s="6"/>
      <c r="AW86" s="6"/>
      <c r="AZ86" s="5"/>
      <c r="BA86" s="6"/>
      <c r="BB86" s="6"/>
      <c r="BC86"/>
    </row>
    <row r="87" spans="6:60" x14ac:dyDescent="0.3">
      <c r="T87" s="6"/>
      <c r="U87" s="6"/>
      <c r="V87" s="5"/>
      <c r="W87" s="6"/>
      <c r="X87" s="6"/>
      <c r="AA87" s="5"/>
      <c r="AB87" s="6"/>
      <c r="AC87" s="6"/>
      <c r="AP87" s="5"/>
      <c r="AQ87" s="6"/>
      <c r="AR87" s="6"/>
    </row>
    <row r="88" spans="6:60" x14ac:dyDescent="0.3">
      <c r="T88" s="6"/>
      <c r="U88" s="6"/>
      <c r="V88" s="5"/>
      <c r="W88" s="6"/>
      <c r="X88" s="6"/>
      <c r="AA88" s="5"/>
      <c r="AB88" s="6"/>
      <c r="AC88" s="6"/>
      <c r="AK88" s="5"/>
      <c r="AL88" s="6"/>
      <c r="AM88" s="6"/>
      <c r="AP88" s="5"/>
      <c r="AQ88" s="6"/>
      <c r="AR88" s="6"/>
      <c r="AZ88" s="5"/>
      <c r="BA88" s="6"/>
      <c r="BB88" s="6"/>
      <c r="BC88"/>
    </row>
    <row r="89" spans="6:60" x14ac:dyDescent="0.3">
      <c r="T89" s="6"/>
      <c r="U89" s="6"/>
      <c r="V89" s="5"/>
      <c r="W89" s="6"/>
      <c r="X89" s="6"/>
      <c r="AA89" s="5"/>
      <c r="AB89" s="6"/>
      <c r="AC89" s="6"/>
      <c r="AF89" s="5"/>
      <c r="AG89" s="6"/>
      <c r="AH89" s="6"/>
      <c r="AK89" s="5"/>
      <c r="AL89" s="6"/>
      <c r="AM89" s="6"/>
      <c r="AP89" s="5"/>
      <c r="AQ89" s="6"/>
      <c r="AR89" s="6"/>
      <c r="AU89" s="5"/>
      <c r="AV89" s="6"/>
      <c r="AW89" s="6"/>
      <c r="BD89"/>
      <c r="BE89"/>
      <c r="BF89"/>
      <c r="BG89"/>
      <c r="BH89"/>
    </row>
    <row r="90" spans="6:60" x14ac:dyDescent="0.3">
      <c r="T90" s="6"/>
      <c r="U90" s="6"/>
      <c r="V90" s="5"/>
      <c r="W90" s="6"/>
      <c r="X90" s="6"/>
      <c r="AA90" s="5"/>
      <c r="AB90" s="6"/>
      <c r="AC90" s="6"/>
      <c r="AF90" s="5"/>
      <c r="AG90" s="6"/>
      <c r="AH90" s="6"/>
      <c r="AP90" s="5"/>
      <c r="AQ90" s="6"/>
      <c r="AR90" s="6"/>
      <c r="AU90" s="5"/>
      <c r="AV90" s="6"/>
      <c r="AW90" s="6"/>
      <c r="BD90"/>
      <c r="BE90"/>
      <c r="BF90"/>
      <c r="BG90"/>
      <c r="BH90"/>
    </row>
    <row r="91" spans="6:60" x14ac:dyDescent="0.3">
      <c r="T91" s="6"/>
      <c r="U91" s="6"/>
      <c r="V91" s="5"/>
      <c r="W91" s="6"/>
      <c r="X91" s="6"/>
      <c r="AA91" s="5"/>
      <c r="AB91" s="6"/>
      <c r="AC91" s="6"/>
      <c r="AF91" s="5"/>
      <c r="AG91" s="6"/>
      <c r="AH91" s="6"/>
      <c r="AP91" s="5"/>
      <c r="AQ91" s="6"/>
      <c r="AR91" s="6"/>
      <c r="AU91" s="5"/>
      <c r="AV91" s="6"/>
      <c r="AW91" s="6"/>
      <c r="AZ91" s="5"/>
      <c r="BA91" s="6"/>
      <c r="BB91" s="6"/>
      <c r="BC91"/>
      <c r="BD91"/>
      <c r="BE91"/>
      <c r="BF91"/>
      <c r="BG91"/>
      <c r="BH91"/>
    </row>
    <row r="92" spans="6:60" x14ac:dyDescent="0.3">
      <c r="T92" s="6"/>
      <c r="U92" s="6"/>
      <c r="V92" s="5"/>
      <c r="W92" s="6"/>
      <c r="X92" s="6"/>
      <c r="AA92" s="5"/>
      <c r="AB92" s="6"/>
      <c r="AC92" s="6"/>
      <c r="AF92" s="5"/>
      <c r="AG92" s="6"/>
      <c r="AH92" s="6"/>
      <c r="AK92" s="5"/>
      <c r="AL92" s="6"/>
      <c r="AM92" s="6"/>
      <c r="AP92" s="5"/>
      <c r="AQ92" s="6"/>
      <c r="AR92" s="6"/>
      <c r="AU92" s="5"/>
      <c r="AV92" s="6"/>
      <c r="AW92" s="6"/>
      <c r="AZ92" s="5"/>
      <c r="BA92" s="6"/>
      <c r="BB92" s="6"/>
      <c r="BC92"/>
      <c r="BD92"/>
      <c r="BE92"/>
      <c r="BF92"/>
      <c r="BG92"/>
      <c r="BH92"/>
    </row>
    <row r="93" spans="6:60" x14ac:dyDescent="0.3">
      <c r="T93" s="6"/>
      <c r="U93" s="6"/>
      <c r="V93" s="5"/>
      <c r="W93" s="6"/>
      <c r="X93" s="6"/>
      <c r="AA93" s="5"/>
      <c r="AB93" s="6"/>
      <c r="AC93" s="6"/>
      <c r="AF93" s="5"/>
      <c r="AG93" s="6"/>
      <c r="AH93" s="6"/>
      <c r="AK93" s="5"/>
      <c r="AL93" s="6"/>
      <c r="AM93" s="6"/>
      <c r="AP93" s="5"/>
      <c r="AQ93" s="6"/>
      <c r="AR93" s="6"/>
      <c r="AU93" s="5"/>
      <c r="AV93" s="6"/>
      <c r="AW93" s="6"/>
      <c r="AZ93" s="5"/>
      <c r="BA93" s="6"/>
      <c r="BB93" s="6"/>
      <c r="BC93"/>
      <c r="BD93"/>
      <c r="BE93"/>
      <c r="BF93"/>
      <c r="BG93"/>
      <c r="BH93"/>
    </row>
    <row r="94" spans="6:60" x14ac:dyDescent="0.3">
      <c r="T94" s="6"/>
      <c r="U94" s="6"/>
      <c r="V94" s="5"/>
      <c r="W94" s="6"/>
      <c r="X94" s="6"/>
      <c r="AA94" s="5"/>
      <c r="AB94" s="6"/>
      <c r="AC94" s="6"/>
      <c r="AF94" s="5"/>
      <c r="AG94" s="6"/>
      <c r="AH94" s="6"/>
      <c r="AK94" s="5"/>
      <c r="AL94" s="6"/>
      <c r="AM94" s="6"/>
      <c r="AP94" s="5"/>
      <c r="AQ94" s="6"/>
      <c r="AR94" s="6"/>
      <c r="AU94" s="5"/>
      <c r="AV94" s="6"/>
      <c r="AW94" s="6"/>
      <c r="AZ94" s="5"/>
      <c r="BA94" s="6"/>
      <c r="BB94" s="6"/>
      <c r="BC94"/>
      <c r="BD94"/>
      <c r="BE94"/>
      <c r="BF94"/>
      <c r="BG94"/>
      <c r="BH94"/>
    </row>
    <row r="95" spans="6:60" x14ac:dyDescent="0.3">
      <c r="T95" s="6"/>
      <c r="U95" s="6"/>
      <c r="V95" s="5"/>
      <c r="W95" s="6"/>
      <c r="X95" s="6"/>
      <c r="AA95" s="5"/>
      <c r="AB95" s="6"/>
      <c r="AC95" s="6"/>
      <c r="AF95" s="5"/>
      <c r="AG95" s="6"/>
      <c r="AH95" s="6"/>
      <c r="AK95" s="5"/>
      <c r="AL95" s="6"/>
      <c r="AM95" s="6"/>
      <c r="AP95" s="5"/>
      <c r="AQ95" s="6"/>
      <c r="AR95" s="6"/>
      <c r="AU95" s="5"/>
      <c r="AV95" s="6"/>
      <c r="AW95" s="6"/>
      <c r="AZ95" s="5"/>
      <c r="BA95" s="6"/>
      <c r="BB95" s="6"/>
      <c r="BC95"/>
      <c r="BD95"/>
      <c r="BE95"/>
      <c r="BF95"/>
      <c r="BG95"/>
      <c r="BH95"/>
    </row>
    <row r="96" spans="6:60" x14ac:dyDescent="0.3">
      <c r="T96" s="6"/>
      <c r="U96" s="6"/>
      <c r="V96" s="5"/>
      <c r="W96" s="6"/>
      <c r="X96" s="6"/>
      <c r="AA96" s="5"/>
      <c r="AB96" s="6"/>
      <c r="AC96" s="6"/>
      <c r="AF96" s="5"/>
      <c r="AG96" s="6"/>
      <c r="AH96" s="6"/>
      <c r="AK96" s="5"/>
      <c r="AL96" s="6"/>
      <c r="AM96" s="6"/>
      <c r="AP96" s="5"/>
      <c r="AQ96" s="6"/>
      <c r="AR96" s="6"/>
      <c r="AU96" s="5"/>
      <c r="AV96" s="6"/>
      <c r="AW96" s="6"/>
      <c r="AZ96" s="5"/>
      <c r="BA96" s="6"/>
      <c r="BB96" s="6"/>
      <c r="BC96"/>
      <c r="BD96"/>
      <c r="BE96"/>
      <c r="BF96"/>
      <c r="BG96"/>
      <c r="BH96"/>
    </row>
    <row r="97" spans="20:60" x14ac:dyDescent="0.3">
      <c r="T97" s="6"/>
      <c r="U97" s="6"/>
      <c r="V97" s="5"/>
      <c r="W97" s="6"/>
      <c r="X97" s="6"/>
      <c r="AA97" s="5"/>
      <c r="AB97" s="6"/>
      <c r="AC97" s="6"/>
      <c r="AF97" s="5"/>
      <c r="AG97" s="6"/>
      <c r="AH97" s="6"/>
      <c r="AK97" s="5"/>
      <c r="AL97" s="6"/>
      <c r="AM97" s="6"/>
      <c r="AP97" s="5"/>
      <c r="AQ97" s="6"/>
      <c r="AR97" s="6"/>
      <c r="AU97" s="5"/>
      <c r="AV97" s="6"/>
      <c r="AW97" s="6"/>
      <c r="AZ97" s="5"/>
      <c r="BA97" s="6"/>
      <c r="BB97" s="6"/>
      <c r="BC97"/>
      <c r="BD97"/>
      <c r="BE97"/>
      <c r="BF97"/>
      <c r="BG97"/>
      <c r="BH97"/>
    </row>
    <row r="98" spans="20:60" x14ac:dyDescent="0.3">
      <c r="T98" s="6"/>
      <c r="U98" s="6"/>
      <c r="V98" s="5"/>
      <c r="W98" s="6"/>
      <c r="X98" s="6"/>
      <c r="AA98" s="5"/>
      <c r="AB98" s="6"/>
      <c r="AC98" s="6"/>
      <c r="AF98" s="5"/>
      <c r="AG98" s="6"/>
      <c r="AH98" s="6"/>
      <c r="AK98" s="5"/>
      <c r="AL98" s="6"/>
      <c r="AM98" s="6"/>
      <c r="AP98" s="5"/>
      <c r="AQ98" s="6"/>
      <c r="AR98" s="6"/>
      <c r="AU98" s="5"/>
      <c r="AV98" s="6"/>
      <c r="AW98" s="6"/>
      <c r="AZ98" s="5"/>
      <c r="BA98" s="6"/>
      <c r="BB98" s="6"/>
      <c r="BC98"/>
      <c r="BD98"/>
      <c r="BE98"/>
      <c r="BF98"/>
      <c r="BG98"/>
      <c r="BH98"/>
    </row>
    <row r="99" spans="20:60" x14ac:dyDescent="0.3">
      <c r="T99" s="6"/>
      <c r="U99" s="6"/>
      <c r="V99" s="5"/>
      <c r="W99" s="6"/>
      <c r="X99" s="6"/>
      <c r="AA99" s="5"/>
      <c r="AB99" s="6"/>
      <c r="AC99" s="6"/>
      <c r="AF99" s="5"/>
      <c r="AG99" s="6"/>
      <c r="AH99" s="6"/>
      <c r="AK99" s="5"/>
      <c r="AL99" s="6"/>
      <c r="AM99" s="6"/>
      <c r="AP99" s="5"/>
      <c r="AQ99" s="6"/>
      <c r="AR99" s="6"/>
      <c r="AU99" s="5"/>
      <c r="AV99" s="6"/>
      <c r="AW99" s="6"/>
      <c r="AZ99" s="5"/>
      <c r="BA99" s="6"/>
      <c r="BB99" s="6"/>
      <c r="BC99"/>
      <c r="BD99"/>
      <c r="BE99"/>
      <c r="BF99"/>
      <c r="BG99"/>
      <c r="BH99"/>
    </row>
    <row r="100" spans="20:60" x14ac:dyDescent="0.3">
      <c r="T100" s="6"/>
      <c r="U100" s="6"/>
      <c r="V100" s="5"/>
      <c r="W100" s="6"/>
      <c r="X100" s="6"/>
      <c r="AA100" s="5"/>
      <c r="AB100" s="6"/>
      <c r="AC100" s="6"/>
      <c r="AF100" s="5"/>
      <c r="AG100" s="6"/>
      <c r="AH100" s="6"/>
      <c r="AK100" s="5"/>
      <c r="AL100" s="6"/>
      <c r="AM100" s="6"/>
      <c r="AP100" s="5"/>
      <c r="AQ100" s="6"/>
      <c r="AR100" s="6"/>
      <c r="AU100" s="5"/>
      <c r="AV100" s="6"/>
      <c r="AW100" s="6"/>
      <c r="AZ100" s="5"/>
      <c r="BA100" s="6"/>
      <c r="BB100" s="6"/>
      <c r="BC100"/>
      <c r="BD100"/>
      <c r="BE100"/>
      <c r="BF100"/>
      <c r="BG100"/>
      <c r="BH100"/>
    </row>
    <row r="101" spans="20:60" x14ac:dyDescent="0.3">
      <c r="T101" s="6"/>
      <c r="U101" s="6"/>
      <c r="V101" s="5"/>
      <c r="W101" s="6"/>
      <c r="X101" s="6"/>
      <c r="AA101" s="5"/>
      <c r="AB101" s="6"/>
      <c r="AC101" s="6"/>
      <c r="AF101" s="5"/>
      <c r="AG101" s="6"/>
      <c r="AH101" s="6"/>
      <c r="AK101" s="5"/>
      <c r="AL101" s="6"/>
      <c r="AM101" s="6"/>
      <c r="AP101" s="5"/>
      <c r="AQ101" s="6"/>
      <c r="AR101" s="6"/>
      <c r="AU101" s="5"/>
      <c r="AV101" s="6"/>
      <c r="AW101" s="6"/>
      <c r="AZ101" s="5"/>
      <c r="BA101" s="6"/>
      <c r="BB101" s="6"/>
      <c r="BC101"/>
      <c r="BD101"/>
      <c r="BE101"/>
      <c r="BF101"/>
      <c r="BG101"/>
      <c r="BH101"/>
    </row>
    <row r="102" spans="20:60" x14ac:dyDescent="0.3">
      <c r="T102" s="6"/>
      <c r="U102" s="6"/>
      <c r="V102" s="5"/>
      <c r="W102" s="6"/>
      <c r="X102" s="6"/>
      <c r="AA102" s="5"/>
      <c r="AB102" s="6"/>
      <c r="AC102" s="6"/>
      <c r="AF102" s="5"/>
      <c r="AG102" s="6"/>
      <c r="AH102" s="6"/>
      <c r="AK102" s="5"/>
      <c r="AL102" s="6"/>
      <c r="AM102" s="6"/>
      <c r="AP102" s="5"/>
      <c r="AQ102" s="6"/>
      <c r="AR102" s="6"/>
      <c r="AU102" s="5"/>
      <c r="AV102" s="6"/>
      <c r="AW102" s="6"/>
      <c r="AZ102" s="5"/>
      <c r="BA102" s="6"/>
      <c r="BB102" s="6"/>
      <c r="BC102"/>
      <c r="BD102"/>
      <c r="BE102"/>
      <c r="BF102"/>
      <c r="BG102"/>
      <c r="BH102"/>
    </row>
    <row r="103" spans="20:60" x14ac:dyDescent="0.3">
      <c r="T103" s="6"/>
      <c r="U103" s="6"/>
      <c r="V103" s="5"/>
      <c r="W103" s="6"/>
      <c r="X103" s="6"/>
      <c r="AA103" s="5"/>
      <c r="AB103" s="6"/>
      <c r="AC103" s="6"/>
      <c r="AF103" s="5"/>
      <c r="AG103" s="6"/>
      <c r="AH103" s="6"/>
      <c r="AK103" s="5"/>
      <c r="AL103" s="6"/>
      <c r="AM103" s="6"/>
      <c r="AP103" s="5"/>
      <c r="AQ103" s="6"/>
      <c r="AR103" s="6"/>
      <c r="AU103" s="5"/>
      <c r="AV103" s="6"/>
      <c r="AW103" s="6"/>
      <c r="AZ103" s="5"/>
      <c r="BA103" s="6"/>
      <c r="BB103" s="6"/>
      <c r="BC103"/>
      <c r="BD103"/>
      <c r="BE103"/>
      <c r="BF103"/>
      <c r="BG103"/>
      <c r="BH103"/>
    </row>
    <row r="104" spans="20:60" x14ac:dyDescent="0.3">
      <c r="T104" s="6"/>
      <c r="U104" s="6"/>
      <c r="V104" s="5"/>
      <c r="W104" s="6"/>
      <c r="X104" s="6"/>
      <c r="AA104" s="5"/>
      <c r="AB104" s="6"/>
      <c r="AC104" s="6"/>
      <c r="AF104" s="5"/>
      <c r="AG104" s="6"/>
      <c r="AH104" s="6"/>
      <c r="AK104" s="5"/>
      <c r="AL104" s="6"/>
      <c r="AM104" s="6"/>
      <c r="AP104" s="5"/>
      <c r="AQ104" s="6"/>
      <c r="AR104" s="6"/>
      <c r="AU104" s="5"/>
      <c r="AV104" s="6"/>
      <c r="AW104" s="6"/>
      <c r="AZ104" s="5"/>
      <c r="BA104" s="6"/>
      <c r="BB104" s="6"/>
      <c r="BC104"/>
      <c r="BD104"/>
      <c r="BE104"/>
      <c r="BF104"/>
      <c r="BG104"/>
      <c r="BH104"/>
    </row>
    <row r="105" spans="20:60" x14ac:dyDescent="0.3">
      <c r="T105" s="6"/>
      <c r="U105" s="6"/>
      <c r="V105" s="5"/>
      <c r="W105" s="6"/>
      <c r="X105" s="6"/>
      <c r="AA105" s="5"/>
      <c r="AB105" s="6"/>
      <c r="AC105" s="6"/>
      <c r="AF105" s="5"/>
      <c r="AG105" s="6"/>
      <c r="AH105" s="6"/>
      <c r="AK105" s="5"/>
      <c r="AL105" s="6"/>
      <c r="AM105" s="6"/>
      <c r="AP105" s="5"/>
      <c r="AQ105" s="6"/>
      <c r="AR105" s="6"/>
      <c r="AU105" s="5"/>
      <c r="AV105" s="6"/>
      <c r="AW105" s="6"/>
      <c r="AZ105" s="5"/>
      <c r="BA105" s="6"/>
      <c r="BB105" s="6"/>
      <c r="BC105"/>
      <c r="BD105"/>
      <c r="BE105"/>
      <c r="BF105"/>
      <c r="BG105"/>
      <c r="BH105"/>
    </row>
    <row r="106" spans="20:60" x14ac:dyDescent="0.3">
      <c r="T106" s="6"/>
      <c r="U106" s="6"/>
      <c r="V106" s="5"/>
      <c r="W106" s="6"/>
      <c r="X106" s="6"/>
      <c r="AA106" s="5"/>
      <c r="AB106" s="6"/>
      <c r="AC106" s="6"/>
      <c r="AF106" s="5"/>
      <c r="AG106" s="6"/>
      <c r="AH106" s="6"/>
      <c r="AK106" s="5"/>
      <c r="AL106" s="6"/>
      <c r="AM106" s="6"/>
      <c r="AP106" s="5"/>
      <c r="AQ106" s="6"/>
      <c r="AR106" s="6"/>
      <c r="AU106" s="5"/>
      <c r="AV106" s="6"/>
      <c r="AW106" s="6"/>
      <c r="AZ106" s="5"/>
      <c r="BA106" s="6"/>
      <c r="BB106" s="6"/>
      <c r="BC106"/>
      <c r="BD106"/>
      <c r="BE106"/>
      <c r="BF106"/>
      <c r="BG106"/>
      <c r="BH106"/>
    </row>
    <row r="107" spans="20:60" x14ac:dyDescent="0.3">
      <c r="T107" s="6"/>
      <c r="U107" s="6"/>
      <c r="V107" s="5"/>
      <c r="W107" s="6"/>
      <c r="X107" s="6"/>
      <c r="AA107" s="5"/>
      <c r="AB107" s="6"/>
      <c r="AC107" s="6"/>
      <c r="AF107" s="5"/>
      <c r="AG107" s="6"/>
      <c r="AH107" s="6"/>
      <c r="AK107" s="5"/>
      <c r="AL107" s="6"/>
      <c r="AM107" s="6"/>
      <c r="AP107" s="5"/>
      <c r="AQ107" s="6"/>
      <c r="AR107" s="6"/>
      <c r="AU107" s="5"/>
      <c r="AV107" s="6"/>
      <c r="AW107" s="6"/>
      <c r="AZ107" s="5"/>
      <c r="BA107" s="6"/>
      <c r="BB107" s="6"/>
      <c r="BC107"/>
      <c r="BD107"/>
      <c r="BE107"/>
      <c r="BF107"/>
      <c r="BG107"/>
      <c r="BH107"/>
    </row>
    <row r="108" spans="20:60" x14ac:dyDescent="0.3">
      <c r="T108" s="6"/>
      <c r="U108" s="6"/>
      <c r="V108" s="5"/>
      <c r="W108" s="6"/>
      <c r="X108" s="6"/>
      <c r="AA108" s="5"/>
      <c r="AB108" s="6"/>
      <c r="AC108" s="6"/>
      <c r="AF108" s="5"/>
      <c r="AG108" s="6"/>
      <c r="AH108" s="6"/>
      <c r="AK108" s="5"/>
      <c r="AL108" s="6"/>
      <c r="AM108" s="6"/>
      <c r="AP108" s="5"/>
      <c r="AQ108" s="6"/>
      <c r="AR108" s="6"/>
      <c r="AU108" s="5"/>
      <c r="AV108" s="6"/>
      <c r="AW108" s="6"/>
      <c r="AZ108" s="5"/>
      <c r="BA108" s="6"/>
      <c r="BB108" s="6"/>
      <c r="BC108"/>
      <c r="BD108"/>
      <c r="BE108"/>
      <c r="BF108"/>
      <c r="BG108"/>
      <c r="BH108"/>
    </row>
    <row r="109" spans="20:60" x14ac:dyDescent="0.3">
      <c r="T109" s="6"/>
      <c r="U109" s="6"/>
      <c r="V109" s="5"/>
      <c r="W109" s="6"/>
      <c r="X109" s="6"/>
      <c r="AA109" s="5"/>
      <c r="AB109" s="6"/>
      <c r="AC109" s="6"/>
      <c r="AF109" s="5"/>
      <c r="AG109" s="6"/>
      <c r="AH109" s="6"/>
      <c r="AK109" s="5"/>
      <c r="AL109" s="6"/>
      <c r="AM109" s="6"/>
      <c r="AP109" s="5"/>
      <c r="AQ109" s="6"/>
      <c r="AR109" s="6"/>
      <c r="AU109" s="5"/>
      <c r="AV109" s="6"/>
      <c r="AW109" s="6"/>
      <c r="AZ109" s="5"/>
      <c r="BA109" s="6"/>
      <c r="BB109" s="6"/>
      <c r="BC109"/>
      <c r="BD109"/>
      <c r="BE109"/>
      <c r="BF109"/>
      <c r="BG109"/>
      <c r="BH109"/>
    </row>
  </sheetData>
  <mergeCells count="51">
    <mergeCell ref="E44:BH44"/>
    <mergeCell ref="AP27:AQ27"/>
    <mergeCell ref="AU27:AV27"/>
    <mergeCell ref="AZ27:BA27"/>
    <mergeCell ref="BE27:BF27"/>
    <mergeCell ref="F28:BH28"/>
    <mergeCell ref="F34:BH34"/>
    <mergeCell ref="AT26:AX26"/>
    <mergeCell ref="AY26:BC26"/>
    <mergeCell ref="BD26:BH26"/>
    <mergeCell ref="G27:H27"/>
    <mergeCell ref="L27:M27"/>
    <mergeCell ref="Q27:R27"/>
    <mergeCell ref="V27:W27"/>
    <mergeCell ref="AA27:AB27"/>
    <mergeCell ref="AF27:AG27"/>
    <mergeCell ref="AK27:AL27"/>
    <mergeCell ref="F13:BH13"/>
    <mergeCell ref="A25:E26"/>
    <mergeCell ref="F26:J26"/>
    <mergeCell ref="K26:O26"/>
    <mergeCell ref="P26:T26"/>
    <mergeCell ref="U26:Y26"/>
    <mergeCell ref="Z26:AD26"/>
    <mergeCell ref="AE26:AI26"/>
    <mergeCell ref="AJ26:AN26"/>
    <mergeCell ref="AO26:AS26"/>
    <mergeCell ref="AK6:AL6"/>
    <mergeCell ref="AP6:AQ6"/>
    <mergeCell ref="AU6:AV6"/>
    <mergeCell ref="AZ6:BA6"/>
    <mergeCell ref="BE6:BF6"/>
    <mergeCell ref="F7:BH7"/>
    <mergeCell ref="G6:H6"/>
    <mergeCell ref="L6:M6"/>
    <mergeCell ref="Q6:R6"/>
    <mergeCell ref="V6:W6"/>
    <mergeCell ref="AA6:AB6"/>
    <mergeCell ref="AF6:AG6"/>
    <mergeCell ref="AE5:AI5"/>
    <mergeCell ref="AJ5:AN5"/>
    <mergeCell ref="AO5:AS5"/>
    <mergeCell ref="AT5:AX5"/>
    <mergeCell ref="AY5:BC5"/>
    <mergeCell ref="BD5:BH5"/>
    <mergeCell ref="A4:E5"/>
    <mergeCell ref="F5:J5"/>
    <mergeCell ref="K5:O5"/>
    <mergeCell ref="P5:T5"/>
    <mergeCell ref="U5:Y5"/>
    <mergeCell ref="Z5:AD5"/>
  </mergeCells>
  <phoneticPr fontId="2" type="noConversion"/>
  <conditionalFormatting sqref="E7:E22 E29:E43">
    <cfRule type="cellIs" dxfId="1" priority="1" operator="equal">
      <formula>5</formula>
    </cfRule>
    <cfRule type="cellIs" dxfId="0" priority="2" operator="equal">
      <formula>20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 타임테이블_조정안(전세라)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신동영</dc:creator>
  <cp:lastModifiedBy>신동영</cp:lastModifiedBy>
  <dcterms:created xsi:type="dcterms:W3CDTF">2026-04-20T05:11:01Z</dcterms:created>
  <dcterms:modified xsi:type="dcterms:W3CDTF">2026-04-20T05:11:37Z</dcterms:modified>
</cp:coreProperties>
</file>