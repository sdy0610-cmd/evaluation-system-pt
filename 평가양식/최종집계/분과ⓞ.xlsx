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현재_통합_문서" defaultThemeVersion="164011"/>
  <mc:AlternateContent xmlns:mc="http://schemas.openxmlformats.org/markup-compatibility/2006">
    <mc:Choice Requires="x15">
      <x15ac:absPath xmlns:x15ac="http://schemas.microsoft.com/office/spreadsheetml/2010/11/ac" url="D:\"/>
    </mc:Choice>
  </mc:AlternateContent>
  <bookViews>
    <workbookView xWindow="-120" yWindow="-120" windowWidth="29040" windowHeight="15720" activeTab="1"/>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집계!$A$2:$AH$219</definedName>
    <definedName name="_xlnm.Print_Area" localSheetId="1">집계!$A$1:$G$70</definedName>
    <definedName name="_xlnm.Print_Titles" localSheetId="1">집계!$1:$2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14" i="2" l="1"/>
  <c r="AE114" i="2"/>
  <c r="AF114" i="2"/>
  <c r="AD122" i="2"/>
  <c r="AE122" i="2"/>
  <c r="AF122" i="2"/>
  <c r="AD24" i="2"/>
  <c r="AE24" i="2"/>
  <c r="AF24" i="2"/>
  <c r="AD17" i="2"/>
  <c r="AE17" i="2"/>
  <c r="AF17" i="2"/>
  <c r="AD53" i="2"/>
  <c r="AE53" i="2"/>
  <c r="AF53" i="2"/>
  <c r="AD73" i="2"/>
  <c r="AE73" i="2"/>
  <c r="AF73" i="2"/>
  <c r="AD39" i="2"/>
  <c r="AE39" i="2"/>
  <c r="AF39" i="2"/>
  <c r="AD13" i="2"/>
  <c r="AE13" i="2"/>
  <c r="AF13" i="2"/>
  <c r="AD110" i="2"/>
  <c r="AE110" i="2"/>
  <c r="AF110" i="2"/>
  <c r="AD85" i="2"/>
  <c r="AE85" i="2"/>
  <c r="AF85" i="2"/>
  <c r="AD49" i="2"/>
  <c r="AE49" i="2"/>
  <c r="AF49" i="2"/>
  <c r="AD75" i="2"/>
  <c r="AE75" i="2"/>
  <c r="AF75" i="2"/>
  <c r="AD69" i="2"/>
  <c r="AE69" i="2"/>
  <c r="AF69" i="2"/>
  <c r="AD29" i="2"/>
  <c r="AE29" i="2"/>
  <c r="AF29" i="2"/>
  <c r="AD18" i="2"/>
  <c r="AE18" i="2"/>
  <c r="AF18" i="2"/>
  <c r="AD57" i="2"/>
  <c r="AE57" i="2"/>
  <c r="AF57" i="2"/>
  <c r="AD92" i="2"/>
  <c r="AE92" i="2"/>
  <c r="AF92" i="2"/>
  <c r="AD117" i="2"/>
  <c r="AE117" i="2"/>
  <c r="AF117" i="2"/>
  <c r="AD70" i="2"/>
  <c r="AE70" i="2"/>
  <c r="AF70" i="2"/>
  <c r="AD116" i="2"/>
  <c r="AE116" i="2"/>
  <c r="AF116" i="2"/>
  <c r="AD30" i="2"/>
  <c r="AE30" i="2"/>
  <c r="AF30" i="2"/>
  <c r="AD19" i="2"/>
  <c r="AE19" i="2"/>
  <c r="AF19" i="2"/>
  <c r="AD111" i="2"/>
  <c r="AE111" i="2"/>
  <c r="AF111" i="2"/>
  <c r="AD81" i="2"/>
  <c r="AE81" i="2"/>
  <c r="AF81" i="2"/>
  <c r="AD123" i="2"/>
  <c r="AE123" i="2"/>
  <c r="AF123" i="2"/>
  <c r="AD33" i="2"/>
  <c r="AE33" i="2"/>
  <c r="AF33" i="2"/>
  <c r="AD107" i="2"/>
  <c r="AE107" i="2"/>
  <c r="AF107" i="2"/>
  <c r="AD34" i="2"/>
  <c r="AE34" i="2"/>
  <c r="AF34" i="2"/>
  <c r="AD58" i="2"/>
  <c r="AE58" i="2"/>
  <c r="AF58" i="2"/>
  <c r="AD41" i="2"/>
  <c r="AE41" i="2"/>
  <c r="AF41" i="2"/>
  <c r="AD120" i="2"/>
  <c r="AE120" i="2"/>
  <c r="AF120" i="2"/>
  <c r="AD82" i="2"/>
  <c r="AE82" i="2"/>
  <c r="AF82" i="2"/>
  <c r="AD20" i="2"/>
  <c r="AE20" i="2"/>
  <c r="AF20" i="2"/>
  <c r="AD37" i="2"/>
  <c r="AE37" i="2"/>
  <c r="AF37" i="2"/>
  <c r="AD21" i="2"/>
  <c r="AE21" i="2"/>
  <c r="AF21" i="2"/>
  <c r="AD3" i="2"/>
  <c r="AE3" i="2"/>
  <c r="AF3" i="2"/>
  <c r="AD89" i="2"/>
  <c r="AE89" i="2"/>
  <c r="AF89" i="2"/>
  <c r="AD9" i="2"/>
  <c r="AE9" i="2"/>
  <c r="AF9" i="2"/>
  <c r="AD101" i="2"/>
  <c r="AE101" i="2"/>
  <c r="AF101" i="2"/>
  <c r="AD46" i="2"/>
  <c r="AE46" i="2"/>
  <c r="AF46" i="2"/>
  <c r="AD22" i="2"/>
  <c r="AE22" i="2"/>
  <c r="AF22" i="2"/>
  <c r="AD54" i="2"/>
  <c r="AE54" i="2"/>
  <c r="AF54" i="2"/>
  <c r="AD91" i="2"/>
  <c r="AE91" i="2"/>
  <c r="AF91" i="2"/>
  <c r="AD100" i="2"/>
  <c r="AE100" i="2"/>
  <c r="AF100" i="2"/>
  <c r="AD79" i="2"/>
  <c r="AE79" i="2"/>
  <c r="AF79" i="2"/>
  <c r="AD26" i="2"/>
  <c r="AE26" i="2"/>
  <c r="AF26" i="2"/>
  <c r="AD121" i="2"/>
  <c r="AE121" i="2"/>
  <c r="AF121" i="2"/>
  <c r="AD98" i="2"/>
  <c r="AE98" i="2"/>
  <c r="AF98" i="2"/>
  <c r="AD40" i="2"/>
  <c r="AE40" i="2"/>
  <c r="AF40" i="2"/>
  <c r="AD65" i="2"/>
  <c r="AE65" i="2"/>
  <c r="AF65" i="2"/>
  <c r="AD66" i="2"/>
  <c r="AE66" i="2"/>
  <c r="AF66" i="2"/>
  <c r="AD42" i="2"/>
  <c r="AE42" i="2"/>
  <c r="AF42" i="2"/>
  <c r="AD35" i="2"/>
  <c r="AE35" i="2"/>
  <c r="AF35" i="2"/>
  <c r="AD10" i="2"/>
  <c r="AE10" i="2"/>
  <c r="AF10" i="2"/>
  <c r="AD8" i="2"/>
  <c r="AE8" i="2"/>
  <c r="AF8" i="2"/>
  <c r="AD14" i="2"/>
  <c r="AE14" i="2"/>
  <c r="AF14" i="2"/>
  <c r="AD71" i="2"/>
  <c r="AE71" i="2"/>
  <c r="AF71" i="2"/>
  <c r="AD61" i="2"/>
  <c r="AE61" i="2"/>
  <c r="AF61" i="2"/>
  <c r="AD59" i="2"/>
  <c r="AE59" i="2"/>
  <c r="AF59" i="2"/>
  <c r="AD36" i="2"/>
  <c r="AE36" i="2"/>
  <c r="AF36" i="2"/>
  <c r="AD109" i="2"/>
  <c r="AE109" i="2"/>
  <c r="AF109" i="2"/>
  <c r="AD55" i="2"/>
  <c r="AE55" i="2"/>
  <c r="AF55" i="2"/>
  <c r="AD76" i="2"/>
  <c r="AE76" i="2"/>
  <c r="AF76" i="2"/>
  <c r="AD86" i="2"/>
  <c r="AE86" i="2"/>
  <c r="AF86" i="2"/>
  <c r="AD50" i="2"/>
  <c r="AE50" i="2"/>
  <c r="AF50" i="2"/>
  <c r="AD93" i="2"/>
  <c r="AE93" i="2"/>
  <c r="AF93" i="2"/>
  <c r="AD94" i="2"/>
  <c r="AE94" i="2"/>
  <c r="AF94" i="2"/>
  <c r="AD31" i="2"/>
  <c r="AE31" i="2"/>
  <c r="AF31" i="2"/>
  <c r="AD62" i="2"/>
  <c r="AE62" i="2"/>
  <c r="AF62" i="2"/>
  <c r="AD38" i="2"/>
  <c r="AE38" i="2"/>
  <c r="AF38" i="2"/>
  <c r="AD63" i="2"/>
  <c r="AE63" i="2"/>
  <c r="AF63" i="2"/>
  <c r="AD4" i="2"/>
  <c r="AE4" i="2"/>
  <c r="AF4" i="2"/>
  <c r="AD95" i="2"/>
  <c r="AE95" i="2"/>
  <c r="AF95" i="2"/>
  <c r="AD43" i="2"/>
  <c r="AE43" i="2"/>
  <c r="AF43" i="2"/>
  <c r="AD51" i="2"/>
  <c r="AE51" i="2"/>
  <c r="AF51" i="2"/>
  <c r="AD77" i="2"/>
  <c r="AE77" i="2"/>
  <c r="AF77" i="2"/>
  <c r="AD118" i="2"/>
  <c r="AE118" i="2"/>
  <c r="AF118" i="2"/>
  <c r="AD11" i="2"/>
  <c r="AE11" i="2"/>
  <c r="AF11" i="2"/>
  <c r="AD64" i="2"/>
  <c r="AE64" i="2"/>
  <c r="AF64" i="2"/>
  <c r="AD12" i="2"/>
  <c r="AE12" i="2"/>
  <c r="AF12" i="2"/>
  <c r="AD32" i="2"/>
  <c r="AE32" i="2"/>
  <c r="AF32" i="2"/>
  <c r="AD87" i="2"/>
  <c r="AE87" i="2"/>
  <c r="AF87" i="2"/>
  <c r="AD67" i="2"/>
  <c r="AE67" i="2"/>
  <c r="AF67" i="2"/>
  <c r="AD80" i="2"/>
  <c r="AE80" i="2"/>
  <c r="AF80" i="2"/>
  <c r="AD96" i="2"/>
  <c r="AE96" i="2"/>
  <c r="AF96" i="2"/>
  <c r="AD44" i="2"/>
  <c r="AE44" i="2"/>
  <c r="AF44" i="2"/>
  <c r="AD27" i="2"/>
  <c r="AE27" i="2"/>
  <c r="AF27" i="2"/>
  <c r="AD5" i="2"/>
  <c r="AE5" i="2"/>
  <c r="AF5" i="2"/>
  <c r="AD68" i="2"/>
  <c r="AE68" i="2"/>
  <c r="AF68" i="2"/>
  <c r="AD16" i="2"/>
  <c r="AE16" i="2"/>
  <c r="AF16" i="2"/>
  <c r="AD78" i="2"/>
  <c r="AE78" i="2"/>
  <c r="AF78" i="2"/>
  <c r="AD97" i="2"/>
  <c r="AE97" i="2"/>
  <c r="AF97" i="2"/>
  <c r="AD112" i="2"/>
  <c r="AE112" i="2"/>
  <c r="AF112" i="2"/>
  <c r="AD83" i="2"/>
  <c r="AE83" i="2"/>
  <c r="AF83" i="2"/>
  <c r="AD72" i="2"/>
  <c r="AE72" i="2"/>
  <c r="AF72" i="2"/>
  <c r="AD108" i="2"/>
  <c r="AE108" i="2"/>
  <c r="AF108" i="2"/>
  <c r="AD47" i="2"/>
  <c r="AE47" i="2"/>
  <c r="AF47" i="2"/>
  <c r="AD48" i="2"/>
  <c r="AE48" i="2"/>
  <c r="AF48" i="2"/>
  <c r="AD102" i="2"/>
  <c r="AE102" i="2"/>
  <c r="AF102" i="2"/>
  <c r="AD103" i="2"/>
  <c r="AE103" i="2"/>
  <c r="AF103" i="2"/>
  <c r="AD104" i="2"/>
  <c r="AE104" i="2"/>
  <c r="AF104" i="2"/>
  <c r="AD105" i="2"/>
  <c r="AE105" i="2"/>
  <c r="AF105" i="2"/>
  <c r="AD106" i="2"/>
  <c r="AE106" i="2"/>
  <c r="AF106" i="2"/>
  <c r="AD52" i="2"/>
  <c r="AE52" i="2"/>
  <c r="AF52" i="2"/>
  <c r="AD28" i="2"/>
  <c r="AE28" i="2"/>
  <c r="AF28" i="2"/>
  <c r="AD115" i="2"/>
  <c r="AE115" i="2"/>
  <c r="AF115" i="2"/>
  <c r="AD6" i="2"/>
  <c r="AE6" i="2"/>
  <c r="AF6" i="2"/>
  <c r="AD84" i="2"/>
  <c r="AE84" i="2"/>
  <c r="AF84" i="2"/>
  <c r="AD23" i="2"/>
  <c r="AE23" i="2"/>
  <c r="AF23" i="2"/>
  <c r="AD7" i="2"/>
  <c r="AE7" i="2"/>
  <c r="AF7" i="2"/>
  <c r="AD45" i="2"/>
  <c r="AE45" i="2"/>
  <c r="AF45" i="2"/>
  <c r="AD60" i="2"/>
  <c r="AE60" i="2"/>
  <c r="AF60" i="2"/>
  <c r="AD99" i="2"/>
  <c r="AE99" i="2"/>
  <c r="AF99" i="2"/>
  <c r="AD56" i="2"/>
  <c r="AE56" i="2"/>
  <c r="AF56" i="2"/>
  <c r="AD90" i="2"/>
  <c r="AE90" i="2"/>
  <c r="AF90" i="2"/>
  <c r="AD74" i="2"/>
  <c r="AE74" i="2"/>
  <c r="AF74" i="2"/>
  <c r="AD25" i="2"/>
  <c r="AE25" i="2"/>
  <c r="AF25" i="2"/>
  <c r="AD113" i="2"/>
  <c r="AE113" i="2"/>
  <c r="AF113" i="2"/>
  <c r="AD88" i="2"/>
  <c r="AE88" i="2"/>
  <c r="AF88" i="2"/>
  <c r="AD15" i="2"/>
  <c r="AE15" i="2"/>
  <c r="AF15" i="2"/>
  <c r="AD124" i="2"/>
  <c r="AE124" i="2"/>
  <c r="AF124" i="2"/>
  <c r="AD125" i="2"/>
  <c r="AE125" i="2"/>
  <c r="AF125" i="2"/>
  <c r="AD126" i="2"/>
  <c r="AE126" i="2"/>
  <c r="AF126" i="2"/>
  <c r="AD127" i="2"/>
  <c r="AE127" i="2"/>
  <c r="AF127" i="2"/>
  <c r="AD128" i="2"/>
  <c r="AE128" i="2"/>
  <c r="AF128" i="2"/>
  <c r="AD129" i="2"/>
  <c r="AE129" i="2"/>
  <c r="AF129" i="2"/>
  <c r="AD130" i="2"/>
  <c r="AE130" i="2"/>
  <c r="AF130" i="2"/>
  <c r="AD131" i="2"/>
  <c r="AE131" i="2"/>
  <c r="AF131" i="2"/>
  <c r="AD132" i="2"/>
  <c r="AE132" i="2"/>
  <c r="AF132" i="2"/>
  <c r="AD133" i="2"/>
  <c r="AE133" i="2"/>
  <c r="AF133" i="2"/>
  <c r="AD134" i="2"/>
  <c r="AE134" i="2"/>
  <c r="AF134" i="2"/>
  <c r="AD135" i="2"/>
  <c r="AE135" i="2"/>
  <c r="AF135" i="2"/>
  <c r="AD136" i="2"/>
  <c r="AE136" i="2"/>
  <c r="AF136" i="2"/>
  <c r="AD137" i="2"/>
  <c r="AE137" i="2"/>
  <c r="AF137" i="2"/>
  <c r="AD138" i="2"/>
  <c r="AE138" i="2"/>
  <c r="AF138" i="2"/>
  <c r="AD139" i="2"/>
  <c r="AE139" i="2"/>
  <c r="AF139" i="2"/>
  <c r="AD140" i="2"/>
  <c r="AE140" i="2"/>
  <c r="AF140" i="2"/>
  <c r="AD141" i="2"/>
  <c r="AE141" i="2"/>
  <c r="AF141" i="2"/>
  <c r="AD142" i="2"/>
  <c r="AE142" i="2"/>
  <c r="AF142" i="2"/>
  <c r="AD143" i="2"/>
  <c r="AE143" i="2"/>
  <c r="AF143" i="2"/>
  <c r="AD144" i="2"/>
  <c r="AE144" i="2"/>
  <c r="AF144" i="2"/>
  <c r="AD145" i="2"/>
  <c r="AE145" i="2"/>
  <c r="AF145" i="2"/>
  <c r="AD146" i="2"/>
  <c r="AE146" i="2"/>
  <c r="AF146" i="2"/>
  <c r="AD147" i="2"/>
  <c r="AE147" i="2"/>
  <c r="AF147" i="2"/>
  <c r="AD148" i="2"/>
  <c r="AE148" i="2"/>
  <c r="AF148" i="2"/>
  <c r="AD149" i="2"/>
  <c r="AE149" i="2"/>
  <c r="AF149" i="2"/>
  <c r="AD150" i="2"/>
  <c r="AE150" i="2"/>
  <c r="AF150" i="2"/>
  <c r="AD151" i="2"/>
  <c r="AE151" i="2"/>
  <c r="AF151" i="2"/>
  <c r="AD152" i="2"/>
  <c r="AE152" i="2"/>
  <c r="AF152" i="2"/>
  <c r="AD153" i="2"/>
  <c r="AE153" i="2"/>
  <c r="AF153" i="2"/>
  <c r="AD154" i="2"/>
  <c r="AE154" i="2"/>
  <c r="AF154" i="2"/>
  <c r="AD155" i="2"/>
  <c r="AE155" i="2"/>
  <c r="AF155" i="2"/>
  <c r="AD156" i="2"/>
  <c r="AE156" i="2"/>
  <c r="AF156" i="2"/>
  <c r="AD157" i="2"/>
  <c r="AE157" i="2"/>
  <c r="AF157" i="2"/>
  <c r="AD158" i="2"/>
  <c r="AE158" i="2"/>
  <c r="AF158" i="2"/>
  <c r="AD159" i="2"/>
  <c r="AE159" i="2"/>
  <c r="AF159" i="2"/>
  <c r="AD160" i="2"/>
  <c r="AE160" i="2"/>
  <c r="AF160" i="2"/>
  <c r="AD161" i="2"/>
  <c r="AE161" i="2"/>
  <c r="AF161" i="2"/>
  <c r="AD162" i="2"/>
  <c r="AE162" i="2"/>
  <c r="AF162" i="2"/>
  <c r="AD163" i="2"/>
  <c r="AE163" i="2"/>
  <c r="AF163" i="2"/>
  <c r="AD164" i="2"/>
  <c r="AE164" i="2"/>
  <c r="AF164" i="2"/>
  <c r="AD165" i="2"/>
  <c r="AE165" i="2"/>
  <c r="AF165" i="2"/>
  <c r="AD166" i="2"/>
  <c r="AE166" i="2"/>
  <c r="AF166" i="2"/>
  <c r="AD167" i="2"/>
  <c r="AE167" i="2"/>
  <c r="AF167" i="2"/>
  <c r="AD168" i="2"/>
  <c r="AE168" i="2"/>
  <c r="AF168" i="2"/>
  <c r="AD169" i="2"/>
  <c r="AE169" i="2"/>
  <c r="AF169" i="2"/>
  <c r="AD170" i="2"/>
  <c r="AE170" i="2"/>
  <c r="AF170" i="2"/>
  <c r="AD171" i="2"/>
  <c r="AE171" i="2"/>
  <c r="AF171" i="2"/>
  <c r="AD172" i="2"/>
  <c r="AE172" i="2"/>
  <c r="AF172" i="2"/>
  <c r="AD173" i="2"/>
  <c r="AE173" i="2"/>
  <c r="AF173" i="2"/>
  <c r="AD174" i="2"/>
  <c r="AE174" i="2"/>
  <c r="AF174" i="2"/>
  <c r="AD175" i="2"/>
  <c r="AE175" i="2"/>
  <c r="AF175" i="2"/>
  <c r="AD176" i="2"/>
  <c r="AE176" i="2"/>
  <c r="AF176" i="2"/>
  <c r="AD177" i="2"/>
  <c r="AE177" i="2"/>
  <c r="AF177" i="2"/>
  <c r="AD178" i="2"/>
  <c r="AE178" i="2"/>
  <c r="AF178" i="2"/>
  <c r="AD179" i="2"/>
  <c r="AE179" i="2"/>
  <c r="AF179" i="2"/>
  <c r="AD180" i="2"/>
  <c r="AE180" i="2"/>
  <c r="AF180" i="2"/>
  <c r="AD181" i="2"/>
  <c r="AE181" i="2"/>
  <c r="AF181" i="2"/>
  <c r="AD182" i="2"/>
  <c r="AE182" i="2"/>
  <c r="AF182" i="2"/>
  <c r="AD183" i="2"/>
  <c r="AE183" i="2"/>
  <c r="AF183" i="2"/>
  <c r="AD184" i="2"/>
  <c r="AE184" i="2"/>
  <c r="AF184" i="2"/>
  <c r="AD185" i="2"/>
  <c r="AE185" i="2"/>
  <c r="AF185" i="2"/>
  <c r="AD186" i="2"/>
  <c r="AE186" i="2"/>
  <c r="AF186" i="2"/>
  <c r="AD187" i="2"/>
  <c r="AE187" i="2"/>
  <c r="AF187" i="2"/>
  <c r="AD188" i="2"/>
  <c r="AE188" i="2"/>
  <c r="AF188" i="2"/>
  <c r="AD189" i="2"/>
  <c r="AE189" i="2"/>
  <c r="AF189" i="2"/>
  <c r="AD190" i="2"/>
  <c r="AE190" i="2"/>
  <c r="AF190" i="2"/>
  <c r="AD191" i="2"/>
  <c r="AE191" i="2"/>
  <c r="AF191" i="2"/>
  <c r="AD192" i="2"/>
  <c r="AE192" i="2"/>
  <c r="AF192" i="2"/>
  <c r="AD193" i="2"/>
  <c r="AE193" i="2"/>
  <c r="AF193" i="2"/>
  <c r="AD194" i="2"/>
  <c r="AE194" i="2"/>
  <c r="AF194" i="2"/>
  <c r="AD195" i="2"/>
  <c r="AE195" i="2"/>
  <c r="AF195" i="2"/>
  <c r="AD196" i="2"/>
  <c r="AE196" i="2"/>
  <c r="AF196" i="2"/>
  <c r="AD197" i="2"/>
  <c r="AE197" i="2"/>
  <c r="AF197" i="2"/>
  <c r="AD198" i="2"/>
  <c r="AE198" i="2"/>
  <c r="AF198" i="2"/>
  <c r="AD199" i="2"/>
  <c r="AE199" i="2"/>
  <c r="AF199" i="2"/>
  <c r="AD200" i="2"/>
  <c r="AE200" i="2"/>
  <c r="AF200" i="2"/>
  <c r="AD201" i="2"/>
  <c r="AE201" i="2"/>
  <c r="AF201" i="2"/>
  <c r="AD202" i="2"/>
  <c r="AE202" i="2"/>
  <c r="AF202" i="2"/>
  <c r="AD203" i="2"/>
  <c r="AE203" i="2"/>
  <c r="AF2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N114" i="2"/>
  <c r="O114" i="2"/>
  <c r="P114" i="2"/>
  <c r="Q114" i="2"/>
  <c r="R114" i="2"/>
  <c r="S114" i="2"/>
  <c r="N122" i="2"/>
  <c r="O122" i="2"/>
  <c r="P122" i="2"/>
  <c r="Q122" i="2"/>
  <c r="R122" i="2"/>
  <c r="S122" i="2"/>
  <c r="N24" i="2"/>
  <c r="O24" i="2"/>
  <c r="P24" i="2"/>
  <c r="Q24" i="2"/>
  <c r="R24" i="2"/>
  <c r="S24" i="2"/>
  <c r="N17" i="2"/>
  <c r="O17" i="2"/>
  <c r="P17" i="2"/>
  <c r="Q17" i="2"/>
  <c r="R17" i="2"/>
  <c r="S17" i="2"/>
  <c r="N53" i="2"/>
  <c r="O53" i="2"/>
  <c r="P53" i="2"/>
  <c r="Q53" i="2"/>
  <c r="R53" i="2"/>
  <c r="S53" i="2"/>
  <c r="N73" i="2"/>
  <c r="O73" i="2"/>
  <c r="P73" i="2"/>
  <c r="Q73" i="2"/>
  <c r="R73" i="2"/>
  <c r="S73" i="2"/>
  <c r="N39" i="2"/>
  <c r="O39" i="2"/>
  <c r="P39" i="2"/>
  <c r="Q39" i="2"/>
  <c r="R39" i="2"/>
  <c r="S39" i="2"/>
  <c r="N13" i="2"/>
  <c r="O13" i="2"/>
  <c r="P13" i="2"/>
  <c r="Q13" i="2"/>
  <c r="R13" i="2"/>
  <c r="S13" i="2"/>
  <c r="N110" i="2"/>
  <c r="O110" i="2"/>
  <c r="P110" i="2"/>
  <c r="Q110" i="2"/>
  <c r="R110" i="2"/>
  <c r="S110" i="2"/>
  <c r="N85" i="2"/>
  <c r="O85" i="2"/>
  <c r="P85" i="2"/>
  <c r="Q85" i="2"/>
  <c r="R85" i="2"/>
  <c r="S85" i="2"/>
  <c r="N49" i="2"/>
  <c r="O49" i="2"/>
  <c r="P49" i="2"/>
  <c r="Q49" i="2"/>
  <c r="R49" i="2"/>
  <c r="S49" i="2"/>
  <c r="N75" i="2"/>
  <c r="O75" i="2"/>
  <c r="P75" i="2"/>
  <c r="Q75" i="2"/>
  <c r="R75" i="2"/>
  <c r="S75" i="2"/>
  <c r="N69" i="2"/>
  <c r="O69" i="2"/>
  <c r="P69" i="2"/>
  <c r="Q69" i="2"/>
  <c r="R69" i="2"/>
  <c r="S69" i="2"/>
  <c r="N29" i="2"/>
  <c r="O29" i="2"/>
  <c r="P29" i="2"/>
  <c r="Q29" i="2"/>
  <c r="R29" i="2"/>
  <c r="S29" i="2"/>
  <c r="N18" i="2"/>
  <c r="O18" i="2"/>
  <c r="P18" i="2"/>
  <c r="Q18" i="2"/>
  <c r="R18" i="2"/>
  <c r="S18" i="2"/>
  <c r="N57" i="2"/>
  <c r="O57" i="2"/>
  <c r="P57" i="2"/>
  <c r="Q57" i="2"/>
  <c r="R57" i="2"/>
  <c r="S57" i="2"/>
  <c r="N92" i="2"/>
  <c r="O92" i="2"/>
  <c r="P92" i="2"/>
  <c r="Q92" i="2"/>
  <c r="R92" i="2"/>
  <c r="S92" i="2"/>
  <c r="N117" i="2"/>
  <c r="O117" i="2"/>
  <c r="P117" i="2"/>
  <c r="Q117" i="2"/>
  <c r="R117" i="2"/>
  <c r="S117" i="2"/>
  <c r="N70" i="2"/>
  <c r="O70" i="2"/>
  <c r="P70" i="2"/>
  <c r="Q70" i="2"/>
  <c r="R70" i="2"/>
  <c r="S70" i="2"/>
  <c r="N116" i="2"/>
  <c r="O116" i="2"/>
  <c r="P116" i="2"/>
  <c r="Q116" i="2"/>
  <c r="R116" i="2"/>
  <c r="S116" i="2"/>
  <c r="N30" i="2"/>
  <c r="O30" i="2"/>
  <c r="P30" i="2"/>
  <c r="Q30" i="2"/>
  <c r="R30" i="2"/>
  <c r="S30" i="2"/>
  <c r="N19" i="2"/>
  <c r="O19" i="2"/>
  <c r="P19" i="2"/>
  <c r="Q19" i="2"/>
  <c r="R19" i="2"/>
  <c r="S19" i="2"/>
  <c r="N111" i="2"/>
  <c r="O111" i="2"/>
  <c r="P111" i="2"/>
  <c r="Q111" i="2"/>
  <c r="R111" i="2"/>
  <c r="S111" i="2"/>
  <c r="N81" i="2"/>
  <c r="O81" i="2"/>
  <c r="P81" i="2"/>
  <c r="Q81" i="2"/>
  <c r="R81" i="2"/>
  <c r="S81" i="2"/>
  <c r="N123" i="2"/>
  <c r="O123" i="2"/>
  <c r="P123" i="2"/>
  <c r="Q123" i="2"/>
  <c r="R123" i="2"/>
  <c r="S123" i="2"/>
  <c r="N33" i="2"/>
  <c r="O33" i="2"/>
  <c r="P33" i="2"/>
  <c r="Q33" i="2"/>
  <c r="R33" i="2"/>
  <c r="S33" i="2"/>
  <c r="N107" i="2"/>
  <c r="O107" i="2"/>
  <c r="P107" i="2"/>
  <c r="Q107" i="2"/>
  <c r="R107" i="2"/>
  <c r="S107" i="2"/>
  <c r="N34" i="2"/>
  <c r="O34" i="2"/>
  <c r="P34" i="2"/>
  <c r="Q34" i="2"/>
  <c r="R34" i="2"/>
  <c r="S34" i="2"/>
  <c r="N58" i="2"/>
  <c r="O58" i="2"/>
  <c r="P58" i="2"/>
  <c r="Q58" i="2"/>
  <c r="R58" i="2"/>
  <c r="S58" i="2"/>
  <c r="N41" i="2"/>
  <c r="O41" i="2"/>
  <c r="P41" i="2"/>
  <c r="Q41" i="2"/>
  <c r="R41" i="2"/>
  <c r="S41" i="2"/>
  <c r="N120" i="2"/>
  <c r="O120" i="2"/>
  <c r="P120" i="2"/>
  <c r="Q120" i="2"/>
  <c r="R120" i="2"/>
  <c r="S120" i="2"/>
  <c r="N82" i="2"/>
  <c r="O82" i="2"/>
  <c r="P82" i="2"/>
  <c r="Q82" i="2"/>
  <c r="R82" i="2"/>
  <c r="S82" i="2"/>
  <c r="N20" i="2"/>
  <c r="O20" i="2"/>
  <c r="P20" i="2"/>
  <c r="Q20" i="2"/>
  <c r="R20" i="2"/>
  <c r="S20" i="2"/>
  <c r="N37" i="2"/>
  <c r="O37" i="2"/>
  <c r="P37" i="2"/>
  <c r="Q37" i="2"/>
  <c r="R37" i="2"/>
  <c r="S37" i="2"/>
  <c r="N21" i="2"/>
  <c r="O21" i="2"/>
  <c r="P21" i="2"/>
  <c r="Q21" i="2"/>
  <c r="R21" i="2"/>
  <c r="S21" i="2"/>
  <c r="N3" i="2"/>
  <c r="O3" i="2"/>
  <c r="P3" i="2"/>
  <c r="Q3" i="2"/>
  <c r="R3" i="2"/>
  <c r="S3" i="2"/>
  <c r="N89" i="2"/>
  <c r="O89" i="2"/>
  <c r="P89" i="2"/>
  <c r="Q89" i="2"/>
  <c r="R89" i="2"/>
  <c r="S89" i="2"/>
  <c r="N9" i="2"/>
  <c r="O9" i="2"/>
  <c r="P9" i="2"/>
  <c r="Q9" i="2"/>
  <c r="R9" i="2"/>
  <c r="S9" i="2"/>
  <c r="N101" i="2"/>
  <c r="O101" i="2"/>
  <c r="P101" i="2"/>
  <c r="Q101" i="2"/>
  <c r="R101" i="2"/>
  <c r="S101" i="2"/>
  <c r="N46" i="2"/>
  <c r="O46" i="2"/>
  <c r="P46" i="2"/>
  <c r="Q46" i="2"/>
  <c r="R46" i="2"/>
  <c r="S46" i="2"/>
  <c r="N22" i="2"/>
  <c r="O22" i="2"/>
  <c r="P22" i="2"/>
  <c r="Q22" i="2"/>
  <c r="R22" i="2"/>
  <c r="S22" i="2"/>
  <c r="N54" i="2"/>
  <c r="O54" i="2"/>
  <c r="P54" i="2"/>
  <c r="Q54" i="2"/>
  <c r="R54" i="2"/>
  <c r="S54" i="2"/>
  <c r="N91" i="2"/>
  <c r="O91" i="2"/>
  <c r="P91" i="2"/>
  <c r="Q91" i="2"/>
  <c r="R91" i="2"/>
  <c r="S91" i="2"/>
  <c r="N100" i="2"/>
  <c r="O100" i="2"/>
  <c r="P100" i="2"/>
  <c r="Q100" i="2"/>
  <c r="R100" i="2"/>
  <c r="S100" i="2"/>
  <c r="N79" i="2"/>
  <c r="O79" i="2"/>
  <c r="P79" i="2"/>
  <c r="Q79" i="2"/>
  <c r="R79" i="2"/>
  <c r="S79" i="2"/>
  <c r="N26" i="2"/>
  <c r="O26" i="2"/>
  <c r="P26" i="2"/>
  <c r="Q26" i="2"/>
  <c r="R26" i="2"/>
  <c r="S26" i="2"/>
  <c r="N121" i="2"/>
  <c r="O121" i="2"/>
  <c r="P121" i="2"/>
  <c r="Q121" i="2"/>
  <c r="R121" i="2"/>
  <c r="S121" i="2"/>
  <c r="N98" i="2"/>
  <c r="O98" i="2"/>
  <c r="P98" i="2"/>
  <c r="Q98" i="2"/>
  <c r="R98" i="2"/>
  <c r="S98" i="2"/>
  <c r="N40" i="2"/>
  <c r="O40" i="2"/>
  <c r="P40" i="2"/>
  <c r="Q40" i="2"/>
  <c r="R40" i="2"/>
  <c r="S40" i="2"/>
  <c r="N65" i="2"/>
  <c r="O65" i="2"/>
  <c r="P65" i="2"/>
  <c r="Q65" i="2"/>
  <c r="R65" i="2"/>
  <c r="S65" i="2"/>
  <c r="N66" i="2"/>
  <c r="O66" i="2"/>
  <c r="P66" i="2"/>
  <c r="Q66" i="2"/>
  <c r="R66" i="2"/>
  <c r="S66" i="2"/>
  <c r="N42" i="2"/>
  <c r="O42" i="2"/>
  <c r="P42" i="2"/>
  <c r="Q42" i="2"/>
  <c r="R42" i="2"/>
  <c r="S42" i="2"/>
  <c r="N35" i="2"/>
  <c r="O35" i="2"/>
  <c r="P35" i="2"/>
  <c r="Q35" i="2"/>
  <c r="R35" i="2"/>
  <c r="S35" i="2"/>
  <c r="N10" i="2"/>
  <c r="O10" i="2"/>
  <c r="P10" i="2"/>
  <c r="Q10" i="2"/>
  <c r="R10" i="2"/>
  <c r="S10" i="2"/>
  <c r="N8" i="2"/>
  <c r="O8" i="2"/>
  <c r="P8" i="2"/>
  <c r="Q8" i="2"/>
  <c r="R8" i="2"/>
  <c r="S8" i="2"/>
  <c r="N14" i="2"/>
  <c r="O14" i="2"/>
  <c r="P14" i="2"/>
  <c r="Q14" i="2"/>
  <c r="R14" i="2"/>
  <c r="S14" i="2"/>
  <c r="N71" i="2"/>
  <c r="O71" i="2"/>
  <c r="P71" i="2"/>
  <c r="Q71" i="2"/>
  <c r="R71" i="2"/>
  <c r="S71" i="2"/>
  <c r="N61" i="2"/>
  <c r="O61" i="2"/>
  <c r="P61" i="2"/>
  <c r="Q61" i="2"/>
  <c r="R61" i="2"/>
  <c r="S61" i="2"/>
  <c r="N59" i="2"/>
  <c r="O59" i="2"/>
  <c r="P59" i="2"/>
  <c r="Q59" i="2"/>
  <c r="R59" i="2"/>
  <c r="S59" i="2"/>
  <c r="N36" i="2"/>
  <c r="O36" i="2"/>
  <c r="P36" i="2"/>
  <c r="Q36" i="2"/>
  <c r="R36" i="2"/>
  <c r="S36" i="2"/>
  <c r="N109" i="2"/>
  <c r="O109" i="2"/>
  <c r="P109" i="2"/>
  <c r="Q109" i="2"/>
  <c r="R109" i="2"/>
  <c r="S109" i="2"/>
  <c r="N55" i="2"/>
  <c r="O55" i="2"/>
  <c r="P55" i="2"/>
  <c r="Q55" i="2"/>
  <c r="R55" i="2"/>
  <c r="S55" i="2"/>
  <c r="N76" i="2"/>
  <c r="O76" i="2"/>
  <c r="P76" i="2"/>
  <c r="Q76" i="2"/>
  <c r="R76" i="2"/>
  <c r="S76" i="2"/>
  <c r="N86" i="2"/>
  <c r="O86" i="2"/>
  <c r="P86" i="2"/>
  <c r="Q86" i="2"/>
  <c r="R86" i="2"/>
  <c r="S86" i="2"/>
  <c r="N50" i="2"/>
  <c r="O50" i="2"/>
  <c r="P50" i="2"/>
  <c r="Q50" i="2"/>
  <c r="R50" i="2"/>
  <c r="S50" i="2"/>
  <c r="N93" i="2"/>
  <c r="O93" i="2"/>
  <c r="P93" i="2"/>
  <c r="Q93" i="2"/>
  <c r="R93" i="2"/>
  <c r="S93" i="2"/>
  <c r="N94" i="2"/>
  <c r="O94" i="2"/>
  <c r="P94" i="2"/>
  <c r="Q94" i="2"/>
  <c r="R94" i="2"/>
  <c r="S94" i="2"/>
  <c r="N31" i="2"/>
  <c r="O31" i="2"/>
  <c r="P31" i="2"/>
  <c r="Q31" i="2"/>
  <c r="R31" i="2"/>
  <c r="S31" i="2"/>
  <c r="N62" i="2"/>
  <c r="O62" i="2"/>
  <c r="P62" i="2"/>
  <c r="Q62" i="2"/>
  <c r="R62" i="2"/>
  <c r="S62" i="2"/>
  <c r="N38" i="2"/>
  <c r="O38" i="2"/>
  <c r="P38" i="2"/>
  <c r="Q38" i="2"/>
  <c r="R38" i="2"/>
  <c r="S38" i="2"/>
  <c r="N63" i="2"/>
  <c r="O63" i="2"/>
  <c r="P63" i="2"/>
  <c r="Q63" i="2"/>
  <c r="R63" i="2"/>
  <c r="S63" i="2"/>
  <c r="N4" i="2"/>
  <c r="O4" i="2"/>
  <c r="P4" i="2"/>
  <c r="Q4" i="2"/>
  <c r="R4" i="2"/>
  <c r="S4" i="2"/>
  <c r="N95" i="2"/>
  <c r="O95" i="2"/>
  <c r="P95" i="2"/>
  <c r="Q95" i="2"/>
  <c r="R95" i="2"/>
  <c r="S95" i="2"/>
  <c r="N43" i="2"/>
  <c r="O43" i="2"/>
  <c r="P43" i="2"/>
  <c r="Q43" i="2"/>
  <c r="R43" i="2"/>
  <c r="S43" i="2"/>
  <c r="N51" i="2"/>
  <c r="O51" i="2"/>
  <c r="P51" i="2"/>
  <c r="Q51" i="2"/>
  <c r="R51" i="2"/>
  <c r="S51" i="2"/>
  <c r="N77" i="2"/>
  <c r="O77" i="2"/>
  <c r="P77" i="2"/>
  <c r="Q77" i="2"/>
  <c r="R77" i="2"/>
  <c r="S77" i="2"/>
  <c r="N118" i="2"/>
  <c r="O118" i="2"/>
  <c r="P118" i="2"/>
  <c r="Q118" i="2"/>
  <c r="R118" i="2"/>
  <c r="S118" i="2"/>
  <c r="N11" i="2"/>
  <c r="O11" i="2"/>
  <c r="P11" i="2"/>
  <c r="Q11" i="2"/>
  <c r="R11" i="2"/>
  <c r="S11" i="2"/>
  <c r="N64" i="2"/>
  <c r="O64" i="2"/>
  <c r="P64" i="2"/>
  <c r="Q64" i="2"/>
  <c r="R64" i="2"/>
  <c r="S64" i="2"/>
  <c r="N12" i="2"/>
  <c r="O12" i="2"/>
  <c r="P12" i="2"/>
  <c r="Q12" i="2"/>
  <c r="R12" i="2"/>
  <c r="S12" i="2"/>
  <c r="N32" i="2"/>
  <c r="O32" i="2"/>
  <c r="P32" i="2"/>
  <c r="Q32" i="2"/>
  <c r="R32" i="2"/>
  <c r="S32" i="2"/>
  <c r="N87" i="2"/>
  <c r="O87" i="2"/>
  <c r="P87" i="2"/>
  <c r="Q87" i="2"/>
  <c r="R87" i="2"/>
  <c r="S87" i="2"/>
  <c r="N67" i="2"/>
  <c r="O67" i="2"/>
  <c r="P67" i="2"/>
  <c r="Q67" i="2"/>
  <c r="R67" i="2"/>
  <c r="S67" i="2"/>
  <c r="N80" i="2"/>
  <c r="O80" i="2"/>
  <c r="P80" i="2"/>
  <c r="Q80" i="2"/>
  <c r="R80" i="2"/>
  <c r="S80" i="2"/>
  <c r="N96" i="2"/>
  <c r="O96" i="2"/>
  <c r="P96" i="2"/>
  <c r="Q96" i="2"/>
  <c r="R96" i="2"/>
  <c r="S96" i="2"/>
  <c r="N44" i="2"/>
  <c r="O44" i="2"/>
  <c r="P44" i="2"/>
  <c r="Q44" i="2"/>
  <c r="R44" i="2"/>
  <c r="S44" i="2"/>
  <c r="N27" i="2"/>
  <c r="O27" i="2"/>
  <c r="P27" i="2"/>
  <c r="Q27" i="2"/>
  <c r="R27" i="2"/>
  <c r="S27" i="2"/>
  <c r="N5" i="2"/>
  <c r="O5" i="2"/>
  <c r="P5" i="2"/>
  <c r="Q5" i="2"/>
  <c r="R5" i="2"/>
  <c r="S5" i="2"/>
  <c r="N68" i="2"/>
  <c r="O68" i="2"/>
  <c r="P68" i="2"/>
  <c r="Q68" i="2"/>
  <c r="R68" i="2"/>
  <c r="S68" i="2"/>
  <c r="N16" i="2"/>
  <c r="O16" i="2"/>
  <c r="P16" i="2"/>
  <c r="Q16" i="2"/>
  <c r="R16" i="2"/>
  <c r="S16" i="2"/>
  <c r="N78" i="2"/>
  <c r="O78" i="2"/>
  <c r="P78" i="2"/>
  <c r="Q78" i="2"/>
  <c r="R78" i="2"/>
  <c r="S78" i="2"/>
  <c r="N97" i="2"/>
  <c r="O97" i="2"/>
  <c r="P97" i="2"/>
  <c r="Q97" i="2"/>
  <c r="R97" i="2"/>
  <c r="S97" i="2"/>
  <c r="N112" i="2"/>
  <c r="O112" i="2"/>
  <c r="P112" i="2"/>
  <c r="Q112" i="2"/>
  <c r="R112" i="2"/>
  <c r="S112" i="2"/>
  <c r="N83" i="2"/>
  <c r="O83" i="2"/>
  <c r="P83" i="2"/>
  <c r="Q83" i="2"/>
  <c r="R83" i="2"/>
  <c r="S83" i="2"/>
  <c r="N72" i="2"/>
  <c r="O72" i="2"/>
  <c r="P72" i="2"/>
  <c r="Q72" i="2"/>
  <c r="R72" i="2"/>
  <c r="S72" i="2"/>
  <c r="N108" i="2"/>
  <c r="O108" i="2"/>
  <c r="P108" i="2"/>
  <c r="Q108" i="2"/>
  <c r="R108" i="2"/>
  <c r="S108" i="2"/>
  <c r="N47" i="2"/>
  <c r="O47" i="2"/>
  <c r="P47" i="2"/>
  <c r="Q47" i="2"/>
  <c r="R47" i="2"/>
  <c r="S47" i="2"/>
  <c r="N48" i="2"/>
  <c r="O48" i="2"/>
  <c r="P48" i="2"/>
  <c r="Q48" i="2"/>
  <c r="R48" i="2"/>
  <c r="S48" i="2"/>
  <c r="N102" i="2"/>
  <c r="O102" i="2"/>
  <c r="P102" i="2"/>
  <c r="Q102" i="2"/>
  <c r="R102" i="2"/>
  <c r="S102" i="2"/>
  <c r="N103" i="2"/>
  <c r="O103" i="2"/>
  <c r="P103" i="2"/>
  <c r="Q103" i="2"/>
  <c r="R103" i="2"/>
  <c r="S103" i="2"/>
  <c r="N104" i="2"/>
  <c r="O104" i="2"/>
  <c r="P104" i="2"/>
  <c r="Q104" i="2"/>
  <c r="R104" i="2"/>
  <c r="S104" i="2"/>
  <c r="N105" i="2"/>
  <c r="O105" i="2"/>
  <c r="P105" i="2"/>
  <c r="Q105" i="2"/>
  <c r="R105" i="2"/>
  <c r="S105" i="2"/>
  <c r="N106" i="2"/>
  <c r="O106" i="2"/>
  <c r="P106" i="2"/>
  <c r="Q106" i="2"/>
  <c r="R106" i="2"/>
  <c r="S106" i="2"/>
  <c r="N52" i="2"/>
  <c r="O52" i="2"/>
  <c r="P52" i="2"/>
  <c r="Q52" i="2"/>
  <c r="R52" i="2"/>
  <c r="S52" i="2"/>
  <c r="N28" i="2"/>
  <c r="O28" i="2"/>
  <c r="P28" i="2"/>
  <c r="Q28" i="2"/>
  <c r="R28" i="2"/>
  <c r="S28" i="2"/>
  <c r="N115" i="2"/>
  <c r="O115" i="2"/>
  <c r="P115" i="2"/>
  <c r="Q115" i="2"/>
  <c r="R115" i="2"/>
  <c r="S115" i="2"/>
  <c r="N6" i="2"/>
  <c r="O6" i="2"/>
  <c r="P6" i="2"/>
  <c r="Q6" i="2"/>
  <c r="R6" i="2"/>
  <c r="S6" i="2"/>
  <c r="N84" i="2"/>
  <c r="O84" i="2"/>
  <c r="P84" i="2"/>
  <c r="Q84" i="2"/>
  <c r="R84" i="2"/>
  <c r="S84" i="2"/>
  <c r="N23" i="2"/>
  <c r="O23" i="2"/>
  <c r="P23" i="2"/>
  <c r="Q23" i="2"/>
  <c r="R23" i="2"/>
  <c r="S23" i="2"/>
  <c r="N7" i="2"/>
  <c r="O7" i="2"/>
  <c r="P7" i="2"/>
  <c r="Q7" i="2"/>
  <c r="R7" i="2"/>
  <c r="S7" i="2"/>
  <c r="N45" i="2"/>
  <c r="O45" i="2"/>
  <c r="P45" i="2"/>
  <c r="Q45" i="2"/>
  <c r="R45" i="2"/>
  <c r="S45" i="2"/>
  <c r="N60" i="2"/>
  <c r="O60" i="2"/>
  <c r="P60" i="2"/>
  <c r="Q60" i="2"/>
  <c r="R60" i="2"/>
  <c r="S60" i="2"/>
  <c r="N99" i="2"/>
  <c r="O99" i="2"/>
  <c r="P99" i="2"/>
  <c r="Q99" i="2"/>
  <c r="R99" i="2"/>
  <c r="S99" i="2"/>
  <c r="N56" i="2"/>
  <c r="O56" i="2"/>
  <c r="P56" i="2"/>
  <c r="Q56" i="2"/>
  <c r="R56" i="2"/>
  <c r="S56" i="2"/>
  <c r="N90" i="2"/>
  <c r="O90" i="2"/>
  <c r="P90" i="2"/>
  <c r="Q90" i="2"/>
  <c r="R90" i="2"/>
  <c r="S90" i="2"/>
  <c r="N74" i="2"/>
  <c r="O74" i="2"/>
  <c r="P74" i="2"/>
  <c r="Q74" i="2"/>
  <c r="R74" i="2"/>
  <c r="S74" i="2"/>
  <c r="N25" i="2"/>
  <c r="O25" i="2"/>
  <c r="P25" i="2"/>
  <c r="Q25" i="2"/>
  <c r="R25" i="2"/>
  <c r="S25" i="2"/>
  <c r="N113" i="2"/>
  <c r="O113" i="2"/>
  <c r="P113" i="2"/>
  <c r="Q113" i="2"/>
  <c r="R113" i="2"/>
  <c r="S113" i="2"/>
  <c r="N88" i="2"/>
  <c r="O88" i="2"/>
  <c r="P88" i="2"/>
  <c r="Q88" i="2"/>
  <c r="R88" i="2"/>
  <c r="S88" i="2"/>
  <c r="N15" i="2"/>
  <c r="O15" i="2"/>
  <c r="P15" i="2"/>
  <c r="Q15" i="2"/>
  <c r="R15" i="2"/>
  <c r="S15" i="2"/>
  <c r="N124" i="2"/>
  <c r="O124" i="2"/>
  <c r="P124" i="2"/>
  <c r="Q124" i="2"/>
  <c r="R124" i="2"/>
  <c r="S124" i="2"/>
  <c r="K125" i="2"/>
  <c r="L125" i="2"/>
  <c r="M125" i="2"/>
  <c r="N125" i="2"/>
  <c r="O125" i="2"/>
  <c r="P125" i="2"/>
  <c r="Q125" i="2"/>
  <c r="R125" i="2"/>
  <c r="S125" i="2"/>
  <c r="T125" i="2"/>
  <c r="U125" i="2"/>
  <c r="V125" i="2"/>
  <c r="K126" i="2"/>
  <c r="L126" i="2"/>
  <c r="M126" i="2"/>
  <c r="N126" i="2"/>
  <c r="O126" i="2"/>
  <c r="P126" i="2"/>
  <c r="Q126" i="2"/>
  <c r="R126" i="2"/>
  <c r="S126" i="2"/>
  <c r="T126" i="2"/>
  <c r="U126" i="2"/>
  <c r="V126" i="2"/>
  <c r="K127" i="2"/>
  <c r="L127" i="2"/>
  <c r="M127" i="2"/>
  <c r="N127" i="2"/>
  <c r="O127" i="2"/>
  <c r="P127" i="2"/>
  <c r="Q127" i="2"/>
  <c r="R127" i="2"/>
  <c r="S127" i="2"/>
  <c r="T127" i="2"/>
  <c r="U127" i="2"/>
  <c r="V127" i="2"/>
  <c r="K128" i="2"/>
  <c r="L128" i="2"/>
  <c r="M128" i="2"/>
  <c r="N128" i="2"/>
  <c r="O128" i="2"/>
  <c r="P128" i="2"/>
  <c r="Q128" i="2"/>
  <c r="R128" i="2"/>
  <c r="S128" i="2"/>
  <c r="T128" i="2"/>
  <c r="U128" i="2"/>
  <c r="V128" i="2"/>
  <c r="K129" i="2"/>
  <c r="L129" i="2"/>
  <c r="M129" i="2"/>
  <c r="N129" i="2"/>
  <c r="O129" i="2"/>
  <c r="P129" i="2"/>
  <c r="Q129" i="2"/>
  <c r="R129" i="2"/>
  <c r="S129" i="2"/>
  <c r="T129" i="2"/>
  <c r="U129" i="2"/>
  <c r="V129" i="2"/>
  <c r="K130" i="2"/>
  <c r="L130" i="2"/>
  <c r="M130" i="2"/>
  <c r="N130" i="2"/>
  <c r="O130" i="2"/>
  <c r="P130" i="2"/>
  <c r="Q130" i="2"/>
  <c r="R130" i="2"/>
  <c r="S130" i="2"/>
  <c r="T130" i="2"/>
  <c r="U130" i="2"/>
  <c r="V130" i="2"/>
  <c r="K131" i="2"/>
  <c r="L131" i="2"/>
  <c r="M131" i="2"/>
  <c r="N131" i="2"/>
  <c r="O131" i="2"/>
  <c r="P131" i="2"/>
  <c r="Q131" i="2"/>
  <c r="R131" i="2"/>
  <c r="S131" i="2"/>
  <c r="T131" i="2"/>
  <c r="U131" i="2"/>
  <c r="V131" i="2"/>
  <c r="K132" i="2"/>
  <c r="L132" i="2"/>
  <c r="M132" i="2"/>
  <c r="N132" i="2"/>
  <c r="O132" i="2"/>
  <c r="P132" i="2"/>
  <c r="Q132" i="2"/>
  <c r="R132" i="2"/>
  <c r="S132" i="2"/>
  <c r="T132" i="2"/>
  <c r="U132" i="2"/>
  <c r="V132" i="2"/>
  <c r="K133" i="2"/>
  <c r="L133" i="2"/>
  <c r="M133" i="2"/>
  <c r="N133" i="2"/>
  <c r="O133" i="2"/>
  <c r="P133" i="2"/>
  <c r="Q133" i="2"/>
  <c r="R133" i="2"/>
  <c r="S133" i="2"/>
  <c r="T133" i="2"/>
  <c r="U133" i="2"/>
  <c r="V133" i="2"/>
  <c r="K134" i="2"/>
  <c r="L134" i="2"/>
  <c r="M134" i="2"/>
  <c r="N134" i="2"/>
  <c r="O134" i="2"/>
  <c r="P134" i="2"/>
  <c r="Q134" i="2"/>
  <c r="R134" i="2"/>
  <c r="S134" i="2"/>
  <c r="T134" i="2"/>
  <c r="U134" i="2"/>
  <c r="V134" i="2"/>
  <c r="K135" i="2"/>
  <c r="L135" i="2"/>
  <c r="M135" i="2"/>
  <c r="N135" i="2"/>
  <c r="O135" i="2"/>
  <c r="P135" i="2"/>
  <c r="Q135" i="2"/>
  <c r="R135" i="2"/>
  <c r="S135" i="2"/>
  <c r="T135" i="2"/>
  <c r="U135" i="2"/>
  <c r="V135" i="2"/>
  <c r="K136" i="2"/>
  <c r="L136" i="2"/>
  <c r="M136" i="2"/>
  <c r="N136" i="2"/>
  <c r="O136" i="2"/>
  <c r="P136" i="2"/>
  <c r="Q136" i="2"/>
  <c r="R136" i="2"/>
  <c r="S136" i="2"/>
  <c r="T136" i="2"/>
  <c r="U136" i="2"/>
  <c r="V136" i="2"/>
  <c r="K137" i="2"/>
  <c r="L137" i="2"/>
  <c r="M137" i="2"/>
  <c r="N137" i="2"/>
  <c r="O137" i="2"/>
  <c r="P137" i="2"/>
  <c r="Q137" i="2"/>
  <c r="R137" i="2"/>
  <c r="S137" i="2"/>
  <c r="T137" i="2"/>
  <c r="U137" i="2"/>
  <c r="V137" i="2"/>
  <c r="K138" i="2"/>
  <c r="L138" i="2"/>
  <c r="M138" i="2"/>
  <c r="N138" i="2"/>
  <c r="O138" i="2"/>
  <c r="P138" i="2"/>
  <c r="Q138" i="2"/>
  <c r="R138" i="2"/>
  <c r="S138" i="2"/>
  <c r="T138" i="2"/>
  <c r="U138" i="2"/>
  <c r="V138" i="2"/>
  <c r="K139" i="2"/>
  <c r="L139" i="2"/>
  <c r="M139" i="2"/>
  <c r="N139" i="2"/>
  <c r="O139" i="2"/>
  <c r="P139" i="2"/>
  <c r="Q139" i="2"/>
  <c r="R139" i="2"/>
  <c r="S139" i="2"/>
  <c r="T139" i="2"/>
  <c r="U139" i="2"/>
  <c r="V139" i="2"/>
  <c r="K140" i="2"/>
  <c r="L140" i="2"/>
  <c r="M140" i="2"/>
  <c r="N140" i="2"/>
  <c r="O140" i="2"/>
  <c r="P140" i="2"/>
  <c r="Q140" i="2"/>
  <c r="R140" i="2"/>
  <c r="S140" i="2"/>
  <c r="T140" i="2"/>
  <c r="U140" i="2"/>
  <c r="V140" i="2"/>
  <c r="K141" i="2"/>
  <c r="L141" i="2"/>
  <c r="M141" i="2"/>
  <c r="N141" i="2"/>
  <c r="O141" i="2"/>
  <c r="P141" i="2"/>
  <c r="Q141" i="2"/>
  <c r="R141" i="2"/>
  <c r="S141" i="2"/>
  <c r="T141" i="2"/>
  <c r="U141" i="2"/>
  <c r="V141" i="2"/>
  <c r="K142" i="2"/>
  <c r="L142" i="2"/>
  <c r="M142" i="2"/>
  <c r="N142" i="2"/>
  <c r="O142" i="2"/>
  <c r="P142" i="2"/>
  <c r="Q142" i="2"/>
  <c r="R142" i="2"/>
  <c r="S142" i="2"/>
  <c r="T142" i="2"/>
  <c r="U142" i="2"/>
  <c r="V142" i="2"/>
  <c r="K143" i="2"/>
  <c r="L143" i="2"/>
  <c r="M143" i="2"/>
  <c r="N143" i="2"/>
  <c r="O143" i="2"/>
  <c r="P143" i="2"/>
  <c r="Q143" i="2"/>
  <c r="R143" i="2"/>
  <c r="S143" i="2"/>
  <c r="T143" i="2"/>
  <c r="U143" i="2"/>
  <c r="V143" i="2"/>
  <c r="K144" i="2"/>
  <c r="L144" i="2"/>
  <c r="M144" i="2"/>
  <c r="N144" i="2"/>
  <c r="O144" i="2"/>
  <c r="P144" i="2"/>
  <c r="Q144" i="2"/>
  <c r="R144" i="2"/>
  <c r="S144" i="2"/>
  <c r="T144" i="2"/>
  <c r="U144" i="2"/>
  <c r="V144" i="2"/>
  <c r="K145" i="2"/>
  <c r="L145" i="2"/>
  <c r="M145" i="2"/>
  <c r="N145" i="2"/>
  <c r="O145" i="2"/>
  <c r="P145" i="2"/>
  <c r="Q145" i="2"/>
  <c r="R145" i="2"/>
  <c r="S145" i="2"/>
  <c r="T145" i="2"/>
  <c r="U145" i="2"/>
  <c r="V145" i="2"/>
  <c r="K146" i="2"/>
  <c r="L146" i="2"/>
  <c r="M146" i="2"/>
  <c r="N146" i="2"/>
  <c r="O146" i="2"/>
  <c r="P146" i="2"/>
  <c r="Q146" i="2"/>
  <c r="R146" i="2"/>
  <c r="S146" i="2"/>
  <c r="T146" i="2"/>
  <c r="U146" i="2"/>
  <c r="V146" i="2"/>
  <c r="K147" i="2"/>
  <c r="L147" i="2"/>
  <c r="M147" i="2"/>
  <c r="N147" i="2"/>
  <c r="O147" i="2"/>
  <c r="P147" i="2"/>
  <c r="Q147" i="2"/>
  <c r="R147" i="2"/>
  <c r="S147" i="2"/>
  <c r="T147" i="2"/>
  <c r="U147" i="2"/>
  <c r="V147" i="2"/>
  <c r="K148" i="2"/>
  <c r="L148" i="2"/>
  <c r="M148" i="2"/>
  <c r="N148" i="2"/>
  <c r="O148" i="2"/>
  <c r="P148" i="2"/>
  <c r="Q148" i="2"/>
  <c r="R148" i="2"/>
  <c r="S148" i="2"/>
  <c r="T148" i="2"/>
  <c r="U148" i="2"/>
  <c r="V148" i="2"/>
  <c r="K149" i="2"/>
  <c r="L149" i="2"/>
  <c r="M149" i="2"/>
  <c r="N149" i="2"/>
  <c r="O149" i="2"/>
  <c r="P149" i="2"/>
  <c r="Q149" i="2"/>
  <c r="R149" i="2"/>
  <c r="S149" i="2"/>
  <c r="T149" i="2"/>
  <c r="U149" i="2"/>
  <c r="V149" i="2"/>
  <c r="K150" i="2"/>
  <c r="L150" i="2"/>
  <c r="M150" i="2"/>
  <c r="N150" i="2"/>
  <c r="O150" i="2"/>
  <c r="P150" i="2"/>
  <c r="Q150" i="2"/>
  <c r="R150" i="2"/>
  <c r="S150" i="2"/>
  <c r="T150" i="2"/>
  <c r="U150" i="2"/>
  <c r="V150" i="2"/>
  <c r="K151" i="2"/>
  <c r="L151" i="2"/>
  <c r="M151" i="2"/>
  <c r="N151" i="2"/>
  <c r="O151" i="2"/>
  <c r="P151" i="2"/>
  <c r="Q151" i="2"/>
  <c r="R151" i="2"/>
  <c r="S151" i="2"/>
  <c r="T151" i="2"/>
  <c r="U151" i="2"/>
  <c r="V151" i="2"/>
  <c r="K152" i="2"/>
  <c r="L152" i="2"/>
  <c r="M152" i="2"/>
  <c r="N152" i="2"/>
  <c r="O152" i="2"/>
  <c r="P152" i="2"/>
  <c r="Q152" i="2"/>
  <c r="R152" i="2"/>
  <c r="S152" i="2"/>
  <c r="T152" i="2"/>
  <c r="U152" i="2"/>
  <c r="V152" i="2"/>
  <c r="K153" i="2"/>
  <c r="L153" i="2"/>
  <c r="M153" i="2"/>
  <c r="N153" i="2"/>
  <c r="O153" i="2"/>
  <c r="P153" i="2"/>
  <c r="Q153" i="2"/>
  <c r="R153" i="2"/>
  <c r="S153" i="2"/>
  <c r="T153" i="2"/>
  <c r="U153" i="2"/>
  <c r="V153" i="2"/>
  <c r="K154" i="2"/>
  <c r="L154" i="2"/>
  <c r="M154" i="2"/>
  <c r="N154" i="2"/>
  <c r="O154" i="2"/>
  <c r="P154" i="2"/>
  <c r="Q154" i="2"/>
  <c r="R154" i="2"/>
  <c r="S154" i="2"/>
  <c r="T154" i="2"/>
  <c r="U154" i="2"/>
  <c r="V154" i="2"/>
  <c r="K155" i="2"/>
  <c r="L155" i="2"/>
  <c r="M155" i="2"/>
  <c r="N155" i="2"/>
  <c r="O155" i="2"/>
  <c r="P155" i="2"/>
  <c r="Q155" i="2"/>
  <c r="R155" i="2"/>
  <c r="S155" i="2"/>
  <c r="T155" i="2"/>
  <c r="U155" i="2"/>
  <c r="V155" i="2"/>
  <c r="K156" i="2"/>
  <c r="L156" i="2"/>
  <c r="M156" i="2"/>
  <c r="N156" i="2"/>
  <c r="O156" i="2"/>
  <c r="P156" i="2"/>
  <c r="Q156" i="2"/>
  <c r="R156" i="2"/>
  <c r="S156" i="2"/>
  <c r="T156" i="2"/>
  <c r="U156" i="2"/>
  <c r="V156" i="2"/>
  <c r="K157" i="2"/>
  <c r="L157" i="2"/>
  <c r="M157" i="2"/>
  <c r="N157" i="2"/>
  <c r="O157" i="2"/>
  <c r="P157" i="2"/>
  <c r="Q157" i="2"/>
  <c r="R157" i="2"/>
  <c r="S157" i="2"/>
  <c r="T157" i="2"/>
  <c r="U157" i="2"/>
  <c r="V157" i="2"/>
  <c r="K158" i="2"/>
  <c r="L158" i="2"/>
  <c r="M158" i="2"/>
  <c r="N158" i="2"/>
  <c r="O158" i="2"/>
  <c r="P158" i="2"/>
  <c r="Q158" i="2"/>
  <c r="R158" i="2"/>
  <c r="S158" i="2"/>
  <c r="T158" i="2"/>
  <c r="U158" i="2"/>
  <c r="V158" i="2"/>
  <c r="K159" i="2"/>
  <c r="L159" i="2"/>
  <c r="M159" i="2"/>
  <c r="N159" i="2"/>
  <c r="O159" i="2"/>
  <c r="P159" i="2"/>
  <c r="Q159" i="2"/>
  <c r="R159" i="2"/>
  <c r="S159" i="2"/>
  <c r="T159" i="2"/>
  <c r="U159" i="2"/>
  <c r="V159" i="2"/>
  <c r="K160" i="2"/>
  <c r="L160" i="2"/>
  <c r="M160" i="2"/>
  <c r="N160" i="2"/>
  <c r="O160" i="2"/>
  <c r="P160" i="2"/>
  <c r="Q160" i="2"/>
  <c r="R160" i="2"/>
  <c r="S160" i="2"/>
  <c r="T160" i="2"/>
  <c r="U160" i="2"/>
  <c r="V160" i="2"/>
  <c r="K161" i="2"/>
  <c r="L161" i="2"/>
  <c r="M161" i="2"/>
  <c r="N161" i="2"/>
  <c r="O161" i="2"/>
  <c r="P161" i="2"/>
  <c r="Q161" i="2"/>
  <c r="R161" i="2"/>
  <c r="S161" i="2"/>
  <c r="T161" i="2"/>
  <c r="U161" i="2"/>
  <c r="V161" i="2"/>
  <c r="K162" i="2"/>
  <c r="L162" i="2"/>
  <c r="M162" i="2"/>
  <c r="N162" i="2"/>
  <c r="O162" i="2"/>
  <c r="P162" i="2"/>
  <c r="Q162" i="2"/>
  <c r="R162" i="2"/>
  <c r="S162" i="2"/>
  <c r="T162" i="2"/>
  <c r="U162" i="2"/>
  <c r="V162" i="2"/>
  <c r="K163" i="2"/>
  <c r="L163" i="2"/>
  <c r="M163" i="2"/>
  <c r="N163" i="2"/>
  <c r="O163" i="2"/>
  <c r="P163" i="2"/>
  <c r="Q163" i="2"/>
  <c r="R163" i="2"/>
  <c r="S163" i="2"/>
  <c r="T163" i="2"/>
  <c r="U163" i="2"/>
  <c r="V163" i="2"/>
  <c r="K164" i="2"/>
  <c r="L164" i="2"/>
  <c r="M164" i="2"/>
  <c r="N164" i="2"/>
  <c r="O164" i="2"/>
  <c r="P164" i="2"/>
  <c r="Q164" i="2"/>
  <c r="R164" i="2"/>
  <c r="S164" i="2"/>
  <c r="T164" i="2"/>
  <c r="U164" i="2"/>
  <c r="V164" i="2"/>
  <c r="K165" i="2"/>
  <c r="L165" i="2"/>
  <c r="M165" i="2"/>
  <c r="N165" i="2"/>
  <c r="O165" i="2"/>
  <c r="P165" i="2"/>
  <c r="Q165" i="2"/>
  <c r="R165" i="2"/>
  <c r="S165" i="2"/>
  <c r="T165" i="2"/>
  <c r="U165" i="2"/>
  <c r="V165" i="2"/>
  <c r="K166" i="2"/>
  <c r="L166" i="2"/>
  <c r="M166" i="2"/>
  <c r="N166" i="2"/>
  <c r="O166" i="2"/>
  <c r="P166" i="2"/>
  <c r="Q166" i="2"/>
  <c r="R166" i="2"/>
  <c r="S166" i="2"/>
  <c r="T166" i="2"/>
  <c r="U166" i="2"/>
  <c r="V166" i="2"/>
  <c r="K167" i="2"/>
  <c r="L167" i="2"/>
  <c r="M167" i="2"/>
  <c r="N167" i="2"/>
  <c r="O167" i="2"/>
  <c r="P167" i="2"/>
  <c r="Q167" i="2"/>
  <c r="R167" i="2"/>
  <c r="S167" i="2"/>
  <c r="T167" i="2"/>
  <c r="U167" i="2"/>
  <c r="V167" i="2"/>
  <c r="K168" i="2"/>
  <c r="L168" i="2"/>
  <c r="M168" i="2"/>
  <c r="N168" i="2"/>
  <c r="O168" i="2"/>
  <c r="P168" i="2"/>
  <c r="Q168" i="2"/>
  <c r="R168" i="2"/>
  <c r="S168" i="2"/>
  <c r="T168" i="2"/>
  <c r="U168" i="2"/>
  <c r="V168" i="2"/>
  <c r="K169" i="2"/>
  <c r="L169" i="2"/>
  <c r="M169" i="2"/>
  <c r="N169" i="2"/>
  <c r="O169" i="2"/>
  <c r="P169" i="2"/>
  <c r="Q169" i="2"/>
  <c r="R169" i="2"/>
  <c r="S169" i="2"/>
  <c r="T169" i="2"/>
  <c r="U169" i="2"/>
  <c r="V169" i="2"/>
  <c r="K170" i="2"/>
  <c r="L170" i="2"/>
  <c r="M170" i="2"/>
  <c r="N170" i="2"/>
  <c r="O170" i="2"/>
  <c r="P170" i="2"/>
  <c r="Q170" i="2"/>
  <c r="R170" i="2"/>
  <c r="S170" i="2"/>
  <c r="T170" i="2"/>
  <c r="U170" i="2"/>
  <c r="V170" i="2"/>
  <c r="K171" i="2"/>
  <c r="L171" i="2"/>
  <c r="M171" i="2"/>
  <c r="N171" i="2"/>
  <c r="O171" i="2"/>
  <c r="P171" i="2"/>
  <c r="Q171" i="2"/>
  <c r="R171" i="2"/>
  <c r="S171" i="2"/>
  <c r="T171" i="2"/>
  <c r="U171" i="2"/>
  <c r="V171" i="2"/>
  <c r="K172" i="2"/>
  <c r="L172" i="2"/>
  <c r="M172" i="2"/>
  <c r="N172" i="2"/>
  <c r="O172" i="2"/>
  <c r="P172" i="2"/>
  <c r="Q172" i="2"/>
  <c r="R172" i="2"/>
  <c r="S172" i="2"/>
  <c r="T172" i="2"/>
  <c r="U172" i="2"/>
  <c r="V172" i="2"/>
  <c r="K173" i="2"/>
  <c r="L173" i="2"/>
  <c r="M173" i="2"/>
  <c r="N173" i="2"/>
  <c r="O173" i="2"/>
  <c r="P173" i="2"/>
  <c r="Q173" i="2"/>
  <c r="R173" i="2"/>
  <c r="S173" i="2"/>
  <c r="T173" i="2"/>
  <c r="U173" i="2"/>
  <c r="V173" i="2"/>
  <c r="K174" i="2"/>
  <c r="L174" i="2"/>
  <c r="M174" i="2"/>
  <c r="N174" i="2"/>
  <c r="O174" i="2"/>
  <c r="P174" i="2"/>
  <c r="Q174" i="2"/>
  <c r="R174" i="2"/>
  <c r="S174" i="2"/>
  <c r="T174" i="2"/>
  <c r="U174" i="2"/>
  <c r="V174" i="2"/>
  <c r="K175" i="2"/>
  <c r="L175" i="2"/>
  <c r="M175" i="2"/>
  <c r="N175" i="2"/>
  <c r="O175" i="2"/>
  <c r="P175" i="2"/>
  <c r="Q175" i="2"/>
  <c r="R175" i="2"/>
  <c r="S175" i="2"/>
  <c r="T175" i="2"/>
  <c r="U175" i="2"/>
  <c r="V175" i="2"/>
  <c r="K176" i="2"/>
  <c r="L176" i="2"/>
  <c r="M176" i="2"/>
  <c r="N176" i="2"/>
  <c r="O176" i="2"/>
  <c r="P176" i="2"/>
  <c r="Q176" i="2"/>
  <c r="R176" i="2"/>
  <c r="S176" i="2"/>
  <c r="T176" i="2"/>
  <c r="U176" i="2"/>
  <c r="V176" i="2"/>
  <c r="K177" i="2"/>
  <c r="L177" i="2"/>
  <c r="M177" i="2"/>
  <c r="N177" i="2"/>
  <c r="O177" i="2"/>
  <c r="P177" i="2"/>
  <c r="Q177" i="2"/>
  <c r="R177" i="2"/>
  <c r="S177" i="2"/>
  <c r="T177" i="2"/>
  <c r="U177" i="2"/>
  <c r="V177" i="2"/>
  <c r="K178" i="2"/>
  <c r="L178" i="2"/>
  <c r="M178" i="2"/>
  <c r="N178" i="2"/>
  <c r="O178" i="2"/>
  <c r="P178" i="2"/>
  <c r="Q178" i="2"/>
  <c r="R178" i="2"/>
  <c r="S178" i="2"/>
  <c r="T178" i="2"/>
  <c r="U178" i="2"/>
  <c r="V178" i="2"/>
  <c r="K179" i="2"/>
  <c r="L179" i="2"/>
  <c r="M179" i="2"/>
  <c r="N179" i="2"/>
  <c r="O179" i="2"/>
  <c r="P179" i="2"/>
  <c r="Q179" i="2"/>
  <c r="R179" i="2"/>
  <c r="S179" i="2"/>
  <c r="T179" i="2"/>
  <c r="U179" i="2"/>
  <c r="V179" i="2"/>
  <c r="K180" i="2"/>
  <c r="L180" i="2"/>
  <c r="M180" i="2"/>
  <c r="N180" i="2"/>
  <c r="O180" i="2"/>
  <c r="P180" i="2"/>
  <c r="Q180" i="2"/>
  <c r="R180" i="2"/>
  <c r="S180" i="2"/>
  <c r="T180" i="2"/>
  <c r="U180" i="2"/>
  <c r="V180" i="2"/>
  <c r="K181" i="2"/>
  <c r="L181" i="2"/>
  <c r="M181" i="2"/>
  <c r="N181" i="2"/>
  <c r="O181" i="2"/>
  <c r="P181" i="2"/>
  <c r="Q181" i="2"/>
  <c r="R181" i="2"/>
  <c r="S181" i="2"/>
  <c r="T181" i="2"/>
  <c r="U181" i="2"/>
  <c r="V181" i="2"/>
  <c r="K182" i="2"/>
  <c r="L182" i="2"/>
  <c r="M182" i="2"/>
  <c r="N182" i="2"/>
  <c r="O182" i="2"/>
  <c r="P182" i="2"/>
  <c r="Q182" i="2"/>
  <c r="R182" i="2"/>
  <c r="S182" i="2"/>
  <c r="T182" i="2"/>
  <c r="U182" i="2"/>
  <c r="V182" i="2"/>
  <c r="K183" i="2"/>
  <c r="L183" i="2"/>
  <c r="M183" i="2"/>
  <c r="N183" i="2"/>
  <c r="O183" i="2"/>
  <c r="P183" i="2"/>
  <c r="Q183" i="2"/>
  <c r="R183" i="2"/>
  <c r="S183" i="2"/>
  <c r="T183" i="2"/>
  <c r="U183" i="2"/>
  <c r="V183" i="2"/>
  <c r="K184" i="2"/>
  <c r="L184" i="2"/>
  <c r="M184" i="2"/>
  <c r="N184" i="2"/>
  <c r="O184" i="2"/>
  <c r="P184" i="2"/>
  <c r="Q184" i="2"/>
  <c r="R184" i="2"/>
  <c r="S184" i="2"/>
  <c r="T184" i="2"/>
  <c r="U184" i="2"/>
  <c r="V184" i="2"/>
  <c r="K185" i="2"/>
  <c r="L185" i="2"/>
  <c r="M185" i="2"/>
  <c r="N185" i="2"/>
  <c r="O185" i="2"/>
  <c r="P185" i="2"/>
  <c r="Q185" i="2"/>
  <c r="R185" i="2"/>
  <c r="S185" i="2"/>
  <c r="T185" i="2"/>
  <c r="U185" i="2"/>
  <c r="V185" i="2"/>
  <c r="K186" i="2"/>
  <c r="L186" i="2"/>
  <c r="M186" i="2"/>
  <c r="N186" i="2"/>
  <c r="O186" i="2"/>
  <c r="P186" i="2"/>
  <c r="Q186" i="2"/>
  <c r="R186" i="2"/>
  <c r="S186" i="2"/>
  <c r="T186" i="2"/>
  <c r="U186" i="2"/>
  <c r="V186" i="2"/>
  <c r="K187" i="2"/>
  <c r="L187" i="2"/>
  <c r="M187" i="2"/>
  <c r="N187" i="2"/>
  <c r="O187" i="2"/>
  <c r="P187" i="2"/>
  <c r="Q187" i="2"/>
  <c r="R187" i="2"/>
  <c r="S187" i="2"/>
  <c r="T187" i="2"/>
  <c r="U187" i="2"/>
  <c r="V187" i="2"/>
  <c r="K188" i="2"/>
  <c r="L188" i="2"/>
  <c r="M188" i="2"/>
  <c r="N188" i="2"/>
  <c r="O188" i="2"/>
  <c r="P188" i="2"/>
  <c r="Q188" i="2"/>
  <c r="R188" i="2"/>
  <c r="S188" i="2"/>
  <c r="T188" i="2"/>
  <c r="U188" i="2"/>
  <c r="V188" i="2"/>
  <c r="K189" i="2"/>
  <c r="L189" i="2"/>
  <c r="M189" i="2"/>
  <c r="N189" i="2"/>
  <c r="O189" i="2"/>
  <c r="P189" i="2"/>
  <c r="Q189" i="2"/>
  <c r="R189" i="2"/>
  <c r="S189" i="2"/>
  <c r="T189" i="2"/>
  <c r="U189" i="2"/>
  <c r="V189" i="2"/>
  <c r="K190" i="2"/>
  <c r="L190" i="2"/>
  <c r="M190" i="2"/>
  <c r="N190" i="2"/>
  <c r="O190" i="2"/>
  <c r="P190" i="2"/>
  <c r="Q190" i="2"/>
  <c r="R190" i="2"/>
  <c r="S190" i="2"/>
  <c r="T190" i="2"/>
  <c r="U190" i="2"/>
  <c r="V190" i="2"/>
  <c r="K191" i="2"/>
  <c r="L191" i="2"/>
  <c r="M191" i="2"/>
  <c r="N191" i="2"/>
  <c r="O191" i="2"/>
  <c r="P191" i="2"/>
  <c r="Q191" i="2"/>
  <c r="R191" i="2"/>
  <c r="S191" i="2"/>
  <c r="T191" i="2"/>
  <c r="U191" i="2"/>
  <c r="V191" i="2"/>
  <c r="K192" i="2"/>
  <c r="L192" i="2"/>
  <c r="M192" i="2"/>
  <c r="N192" i="2"/>
  <c r="O192" i="2"/>
  <c r="P192" i="2"/>
  <c r="Q192" i="2"/>
  <c r="R192" i="2"/>
  <c r="S192" i="2"/>
  <c r="T192" i="2"/>
  <c r="U192" i="2"/>
  <c r="V192" i="2"/>
  <c r="K193" i="2"/>
  <c r="L193" i="2"/>
  <c r="M193" i="2"/>
  <c r="N193" i="2"/>
  <c r="O193" i="2"/>
  <c r="P193" i="2"/>
  <c r="Q193" i="2"/>
  <c r="R193" i="2"/>
  <c r="S193" i="2"/>
  <c r="T193" i="2"/>
  <c r="U193" i="2"/>
  <c r="V193" i="2"/>
  <c r="K194" i="2"/>
  <c r="L194" i="2"/>
  <c r="M194" i="2"/>
  <c r="N194" i="2"/>
  <c r="O194" i="2"/>
  <c r="P194" i="2"/>
  <c r="Q194" i="2"/>
  <c r="R194" i="2"/>
  <c r="S194" i="2"/>
  <c r="T194" i="2"/>
  <c r="U194" i="2"/>
  <c r="V194" i="2"/>
  <c r="K195" i="2"/>
  <c r="L195" i="2"/>
  <c r="M195" i="2"/>
  <c r="N195" i="2"/>
  <c r="O195" i="2"/>
  <c r="P195" i="2"/>
  <c r="Q195" i="2"/>
  <c r="R195" i="2"/>
  <c r="S195" i="2"/>
  <c r="T195" i="2"/>
  <c r="U195" i="2"/>
  <c r="V195" i="2"/>
  <c r="K196" i="2"/>
  <c r="L196" i="2"/>
  <c r="M196" i="2"/>
  <c r="N196" i="2"/>
  <c r="O196" i="2"/>
  <c r="P196" i="2"/>
  <c r="Q196" i="2"/>
  <c r="R196" i="2"/>
  <c r="S196" i="2"/>
  <c r="T196" i="2"/>
  <c r="U196" i="2"/>
  <c r="V196" i="2"/>
  <c r="K197" i="2"/>
  <c r="L197" i="2"/>
  <c r="M197" i="2"/>
  <c r="N197" i="2"/>
  <c r="O197" i="2"/>
  <c r="P197" i="2"/>
  <c r="Q197" i="2"/>
  <c r="R197" i="2"/>
  <c r="S197" i="2"/>
  <c r="T197" i="2"/>
  <c r="U197" i="2"/>
  <c r="V197" i="2"/>
  <c r="K198" i="2"/>
  <c r="L198" i="2"/>
  <c r="M198" i="2"/>
  <c r="N198" i="2"/>
  <c r="O198" i="2"/>
  <c r="P198" i="2"/>
  <c r="Q198" i="2"/>
  <c r="R198" i="2"/>
  <c r="S198" i="2"/>
  <c r="T198" i="2"/>
  <c r="U198" i="2"/>
  <c r="V198" i="2"/>
  <c r="K199" i="2"/>
  <c r="L199" i="2"/>
  <c r="M199" i="2"/>
  <c r="N199" i="2"/>
  <c r="O199" i="2"/>
  <c r="P199" i="2"/>
  <c r="Q199" i="2"/>
  <c r="R199" i="2"/>
  <c r="S199" i="2"/>
  <c r="T199" i="2"/>
  <c r="U199" i="2"/>
  <c r="V199" i="2"/>
  <c r="K200" i="2"/>
  <c r="L200" i="2"/>
  <c r="M200" i="2"/>
  <c r="N200" i="2"/>
  <c r="O200" i="2"/>
  <c r="P200" i="2"/>
  <c r="Q200" i="2"/>
  <c r="R200" i="2"/>
  <c r="S200" i="2"/>
  <c r="T200" i="2"/>
  <c r="U200" i="2"/>
  <c r="V200" i="2"/>
  <c r="K201" i="2"/>
  <c r="L201" i="2"/>
  <c r="M201" i="2"/>
  <c r="N201" i="2"/>
  <c r="O201" i="2"/>
  <c r="P201" i="2"/>
  <c r="Q201" i="2"/>
  <c r="R201" i="2"/>
  <c r="S201" i="2"/>
  <c r="T201" i="2"/>
  <c r="U201" i="2"/>
  <c r="V201" i="2"/>
  <c r="K202" i="2"/>
  <c r="L202" i="2"/>
  <c r="M202" i="2"/>
  <c r="N202" i="2"/>
  <c r="O202" i="2"/>
  <c r="P202" i="2"/>
  <c r="Q202" i="2"/>
  <c r="R202" i="2"/>
  <c r="S202" i="2"/>
  <c r="T202" i="2"/>
  <c r="U202" i="2"/>
  <c r="V202" i="2"/>
  <c r="K203" i="2"/>
  <c r="L203" i="2"/>
  <c r="M203" i="2"/>
  <c r="N203" i="2"/>
  <c r="O203" i="2"/>
  <c r="P203" i="2"/>
  <c r="Q203" i="2"/>
  <c r="R203" i="2"/>
  <c r="S203" i="2"/>
  <c r="T203" i="2"/>
  <c r="U203" i="2"/>
  <c r="V203"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AE119" i="2"/>
  <c r="AF119" i="2"/>
  <c r="AD119" i="2"/>
  <c r="S119" i="2"/>
  <c r="R119" i="2"/>
  <c r="Q119" i="2"/>
  <c r="P119" i="2"/>
  <c r="O119" i="2"/>
  <c r="N119" i="2"/>
  <c r="C114" i="2"/>
  <c r="C122" i="2"/>
  <c r="C24" i="2"/>
  <c r="C17" i="2"/>
  <c r="C53" i="2"/>
  <c r="C73" i="2"/>
  <c r="C39" i="2"/>
  <c r="C13" i="2"/>
  <c r="C110" i="2"/>
  <c r="C85" i="2"/>
  <c r="C49" i="2"/>
  <c r="C75" i="2"/>
  <c r="C69" i="2"/>
  <c r="C29" i="2"/>
  <c r="C18" i="2"/>
  <c r="C57" i="2"/>
  <c r="C92" i="2"/>
  <c r="C117" i="2"/>
  <c r="C70" i="2"/>
  <c r="C116" i="2"/>
  <c r="C30" i="2"/>
  <c r="C19" i="2"/>
  <c r="C111" i="2"/>
  <c r="C81" i="2"/>
  <c r="C123" i="2"/>
  <c r="C33" i="2"/>
  <c r="C107" i="2"/>
  <c r="C34" i="2"/>
  <c r="C58" i="2"/>
  <c r="C41" i="2"/>
  <c r="C120" i="2"/>
  <c r="C82" i="2"/>
  <c r="C20" i="2"/>
  <c r="C37" i="2"/>
  <c r="C21" i="2"/>
  <c r="C3" i="2"/>
  <c r="C89" i="2"/>
  <c r="C9" i="2"/>
  <c r="C101" i="2"/>
  <c r="C46" i="2"/>
  <c r="C22" i="2"/>
  <c r="C54" i="2"/>
  <c r="C91" i="2"/>
  <c r="C100" i="2"/>
  <c r="C79" i="2"/>
  <c r="C26" i="2"/>
  <c r="C121" i="2"/>
  <c r="C98" i="2"/>
  <c r="C40" i="2"/>
  <c r="C65" i="2"/>
  <c r="C66" i="2"/>
  <c r="C42" i="2"/>
  <c r="C35" i="2"/>
  <c r="C10" i="2"/>
  <c r="C8" i="2"/>
  <c r="C14" i="2"/>
  <c r="C71" i="2"/>
  <c r="C61" i="2"/>
  <c r="C59" i="2"/>
  <c r="C36" i="2"/>
  <c r="C109" i="2"/>
  <c r="C55" i="2"/>
  <c r="C76" i="2"/>
  <c r="C86" i="2"/>
  <c r="C50" i="2"/>
  <c r="C93" i="2"/>
  <c r="C94" i="2"/>
  <c r="C31" i="2"/>
  <c r="C62" i="2"/>
  <c r="C38" i="2"/>
  <c r="C63" i="2"/>
  <c r="C4" i="2"/>
  <c r="C95" i="2"/>
  <c r="C43" i="2"/>
  <c r="C51" i="2"/>
  <c r="C77" i="2"/>
  <c r="C118" i="2"/>
  <c r="C11" i="2"/>
  <c r="C64" i="2"/>
  <c r="C12" i="2"/>
  <c r="C32" i="2"/>
  <c r="C87" i="2"/>
  <c r="C67" i="2"/>
  <c r="C80" i="2"/>
  <c r="C96" i="2"/>
  <c r="C44" i="2"/>
  <c r="C27" i="2"/>
  <c r="C5" i="2"/>
  <c r="C68" i="2"/>
  <c r="C16" i="2"/>
  <c r="C78" i="2"/>
  <c r="C97" i="2"/>
  <c r="C112" i="2"/>
  <c r="C83" i="2"/>
  <c r="C72" i="2"/>
  <c r="C108" i="2"/>
  <c r="C47" i="2"/>
  <c r="C48" i="2"/>
  <c r="C102" i="2"/>
  <c r="C103" i="2"/>
  <c r="C104" i="2"/>
  <c r="C105" i="2"/>
  <c r="C106" i="2"/>
  <c r="C52" i="2"/>
  <c r="C28" i="2"/>
  <c r="C115" i="2"/>
  <c r="C6" i="2"/>
  <c r="C84" i="2"/>
  <c r="C23" i="2"/>
  <c r="C7" i="2"/>
  <c r="C45" i="2"/>
  <c r="C60" i="2"/>
  <c r="C99" i="2"/>
  <c r="C56" i="2"/>
  <c r="C90" i="2"/>
  <c r="C74" i="2"/>
  <c r="C25" i="2"/>
  <c r="C113" i="2"/>
  <c r="C88" i="2"/>
  <c r="C15"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119" i="2"/>
  <c r="G116" i="2"/>
  <c r="D114" i="2"/>
  <c r="D122" i="2"/>
  <c r="D24" i="2"/>
  <c r="D17" i="2"/>
  <c r="D53" i="2"/>
  <c r="D73" i="2"/>
  <c r="D39" i="2"/>
  <c r="D13" i="2"/>
  <c r="D110" i="2"/>
  <c r="D85" i="2"/>
  <c r="D49" i="2"/>
  <c r="D75" i="2"/>
  <c r="D69" i="2"/>
  <c r="D29" i="2"/>
  <c r="D18" i="2"/>
  <c r="D57" i="2"/>
  <c r="D92" i="2"/>
  <c r="D117" i="2"/>
  <c r="D70" i="2"/>
  <c r="D116" i="2"/>
  <c r="D30" i="2"/>
  <c r="D19" i="2"/>
  <c r="D111" i="2"/>
  <c r="D81" i="2"/>
  <c r="D123" i="2"/>
  <c r="D33" i="2"/>
  <c r="D107" i="2"/>
  <c r="D34" i="2"/>
  <c r="D58" i="2"/>
  <c r="D41" i="2"/>
  <c r="D120" i="2"/>
  <c r="D82" i="2"/>
  <c r="D20" i="2"/>
  <c r="D37" i="2"/>
  <c r="D21" i="2"/>
  <c r="D3" i="2"/>
  <c r="D89" i="2"/>
  <c r="D9" i="2"/>
  <c r="D101" i="2"/>
  <c r="D46" i="2"/>
  <c r="D22" i="2"/>
  <c r="D54" i="2"/>
  <c r="D91" i="2"/>
  <c r="D100" i="2"/>
  <c r="D79" i="2"/>
  <c r="D26" i="2"/>
  <c r="D121" i="2"/>
  <c r="D98" i="2"/>
  <c r="D40" i="2"/>
  <c r="D65" i="2"/>
  <c r="D66" i="2"/>
  <c r="D42" i="2"/>
  <c r="D35" i="2"/>
  <c r="D10" i="2"/>
  <c r="D8" i="2"/>
  <c r="D14" i="2"/>
  <c r="D71" i="2"/>
  <c r="D61" i="2"/>
  <c r="D59" i="2"/>
  <c r="D36" i="2"/>
  <c r="D109" i="2"/>
  <c r="D55" i="2"/>
  <c r="D76" i="2"/>
  <c r="D86" i="2"/>
  <c r="D50" i="2"/>
  <c r="D93" i="2"/>
  <c r="D94" i="2"/>
  <c r="D31" i="2"/>
  <c r="D62" i="2"/>
  <c r="D38" i="2"/>
  <c r="D63" i="2"/>
  <c r="D4" i="2"/>
  <c r="D95" i="2"/>
  <c r="D43" i="2"/>
  <c r="D51" i="2"/>
  <c r="D77" i="2"/>
  <c r="D118" i="2"/>
  <c r="D11" i="2"/>
  <c r="D64" i="2"/>
  <c r="D12" i="2"/>
  <c r="D32" i="2"/>
  <c r="D87" i="2"/>
  <c r="D67" i="2"/>
  <c r="D80" i="2"/>
  <c r="D96" i="2"/>
  <c r="D44" i="2"/>
  <c r="D27" i="2"/>
  <c r="D5" i="2"/>
  <c r="D68" i="2"/>
  <c r="D16" i="2"/>
  <c r="D78" i="2"/>
  <c r="D97" i="2"/>
  <c r="D112" i="2"/>
  <c r="D83" i="2"/>
  <c r="D72" i="2"/>
  <c r="D108" i="2"/>
  <c r="D47" i="2"/>
  <c r="D48" i="2"/>
  <c r="D102" i="2"/>
  <c r="D103" i="2"/>
  <c r="D104" i="2"/>
  <c r="D105" i="2"/>
  <c r="D106" i="2"/>
  <c r="D52" i="2"/>
  <c r="D28" i="2"/>
  <c r="D115" i="2"/>
  <c r="D6" i="2"/>
  <c r="D84" i="2"/>
  <c r="D23" i="2"/>
  <c r="D7" i="2"/>
  <c r="D45" i="2"/>
  <c r="D60" i="2"/>
  <c r="D99" i="2"/>
  <c r="D56" i="2"/>
  <c r="D90" i="2"/>
  <c r="D74" i="2"/>
  <c r="D25" i="2"/>
  <c r="D113" i="2"/>
  <c r="D88" i="2"/>
  <c r="D15"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119" i="2"/>
  <c r="E119" i="2" l="1"/>
  <c r="E114" i="2"/>
  <c r="E122" i="2"/>
  <c r="E24" i="2"/>
  <c r="E17" i="2"/>
  <c r="E53" i="2"/>
  <c r="E73" i="2"/>
  <c r="E39" i="2"/>
  <c r="E13" i="2"/>
  <c r="E110" i="2"/>
  <c r="E85" i="2"/>
  <c r="E49" i="2"/>
  <c r="E75" i="2"/>
  <c r="E69" i="2"/>
  <c r="E29" i="2"/>
  <c r="E18" i="2"/>
  <c r="E57" i="2"/>
  <c r="E92" i="2"/>
  <c r="E117" i="2"/>
  <c r="E70" i="2"/>
  <c r="E116" i="2"/>
  <c r="E30" i="2"/>
  <c r="E19" i="2"/>
  <c r="E111" i="2"/>
  <c r="E81" i="2"/>
  <c r="E123" i="2"/>
  <c r="E33" i="2"/>
  <c r="E107" i="2"/>
  <c r="E34" i="2"/>
  <c r="E58" i="2"/>
  <c r="E41" i="2"/>
  <c r="E120" i="2"/>
  <c r="E82" i="2"/>
  <c r="E20" i="2"/>
  <c r="E37" i="2"/>
  <c r="E21" i="2"/>
  <c r="E3" i="2"/>
  <c r="E89" i="2"/>
  <c r="E9" i="2"/>
  <c r="E101" i="2"/>
  <c r="E46" i="2"/>
  <c r="E22" i="2"/>
  <c r="E54" i="2"/>
  <c r="E91" i="2"/>
  <c r="E100" i="2"/>
  <c r="E79" i="2"/>
  <c r="E26" i="2"/>
  <c r="E121" i="2"/>
  <c r="E98" i="2"/>
  <c r="E40" i="2"/>
  <c r="E65" i="2"/>
  <c r="E66" i="2"/>
  <c r="E42" i="2"/>
  <c r="E35" i="2"/>
  <c r="E10" i="2"/>
  <c r="E8" i="2"/>
  <c r="E14" i="2"/>
  <c r="E71" i="2"/>
  <c r="E61" i="2"/>
  <c r="E59" i="2"/>
  <c r="E36" i="2"/>
  <c r="E109" i="2"/>
  <c r="E55" i="2"/>
  <c r="E76" i="2"/>
  <c r="E86" i="2"/>
  <c r="E50" i="2"/>
  <c r="E93" i="2"/>
  <c r="E94" i="2"/>
  <c r="E31" i="2"/>
  <c r="E62" i="2"/>
  <c r="E38" i="2"/>
  <c r="E63" i="2"/>
  <c r="E4" i="2"/>
  <c r="E95" i="2"/>
  <c r="E43" i="2"/>
  <c r="E51" i="2"/>
  <c r="E77" i="2"/>
  <c r="E118" i="2"/>
  <c r="E11" i="2"/>
  <c r="E64" i="2"/>
  <c r="E12" i="2"/>
  <c r="E32" i="2"/>
  <c r="E87" i="2"/>
  <c r="E67" i="2"/>
  <c r="E80" i="2"/>
  <c r="E96" i="2"/>
  <c r="E44" i="2"/>
  <c r="E27" i="2"/>
  <c r="E5" i="2"/>
  <c r="E68" i="2"/>
  <c r="E16" i="2"/>
  <c r="E78" i="2"/>
  <c r="E97" i="2"/>
  <c r="E112" i="2"/>
  <c r="E83" i="2"/>
  <c r="E72" i="2"/>
  <c r="E108" i="2"/>
  <c r="E47" i="2"/>
  <c r="E48" i="2"/>
  <c r="E102" i="2"/>
  <c r="E103" i="2"/>
  <c r="E104" i="2"/>
  <c r="E105" i="2"/>
  <c r="E106" i="2"/>
  <c r="E52" i="2"/>
  <c r="E28" i="2"/>
  <c r="E115" i="2"/>
  <c r="E6" i="2"/>
  <c r="E84" i="2"/>
  <c r="E23" i="2"/>
  <c r="E7" i="2"/>
  <c r="E45" i="2"/>
  <c r="E60" i="2"/>
  <c r="E99" i="2"/>
  <c r="E56" i="2"/>
  <c r="E90" i="2"/>
  <c r="E74" i="2"/>
  <c r="E25" i="2"/>
  <c r="E113" i="2"/>
  <c r="E88" i="2"/>
  <c r="E15"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F119" i="2"/>
  <c r="F114" i="2"/>
  <c r="F122" i="2"/>
  <c r="F24" i="2"/>
  <c r="F17" i="2"/>
  <c r="F53" i="2"/>
  <c r="F73" i="2"/>
  <c r="F39" i="2"/>
  <c r="F13" i="2"/>
  <c r="F110" i="2"/>
  <c r="F85" i="2"/>
  <c r="F49" i="2"/>
  <c r="F75" i="2"/>
  <c r="F69" i="2"/>
  <c r="F29" i="2"/>
  <c r="F18" i="2"/>
  <c r="F57" i="2"/>
  <c r="F92" i="2"/>
  <c r="F117" i="2"/>
  <c r="F70" i="2"/>
  <c r="F116" i="2"/>
  <c r="F30" i="2"/>
  <c r="F19" i="2"/>
  <c r="F111" i="2"/>
  <c r="F81" i="2"/>
  <c r="F123" i="2"/>
  <c r="F33" i="2"/>
  <c r="F107" i="2"/>
  <c r="F34" i="2"/>
  <c r="F58" i="2"/>
  <c r="F41" i="2"/>
  <c r="F120" i="2"/>
  <c r="F82" i="2"/>
  <c r="F20" i="2"/>
  <c r="F37" i="2"/>
  <c r="F21" i="2"/>
  <c r="F3" i="2"/>
  <c r="F89" i="2"/>
  <c r="F9" i="2"/>
  <c r="F101" i="2"/>
  <c r="F46" i="2"/>
  <c r="F22" i="2"/>
  <c r="F54" i="2"/>
  <c r="F91" i="2"/>
  <c r="F100" i="2"/>
  <c r="F79" i="2"/>
  <c r="F26" i="2"/>
  <c r="F121" i="2"/>
  <c r="F98" i="2"/>
  <c r="F40" i="2"/>
  <c r="F65" i="2"/>
  <c r="F66" i="2"/>
  <c r="F42" i="2"/>
  <c r="F35" i="2"/>
  <c r="F10" i="2"/>
  <c r="F8" i="2"/>
  <c r="F14" i="2"/>
  <c r="F71" i="2"/>
  <c r="F61" i="2"/>
  <c r="F59" i="2"/>
  <c r="F36" i="2"/>
  <c r="F109" i="2"/>
  <c r="F55" i="2"/>
  <c r="F76" i="2"/>
  <c r="F86" i="2"/>
  <c r="F50" i="2"/>
  <c r="F93" i="2"/>
  <c r="F94" i="2"/>
  <c r="F31" i="2"/>
  <c r="F62" i="2"/>
  <c r="F38" i="2"/>
  <c r="F63" i="2"/>
  <c r="F4" i="2"/>
  <c r="F95" i="2"/>
  <c r="F43" i="2"/>
  <c r="F51" i="2"/>
  <c r="F77" i="2"/>
  <c r="F118" i="2"/>
  <c r="F11" i="2"/>
  <c r="F64" i="2"/>
  <c r="F12" i="2"/>
  <c r="F32" i="2"/>
  <c r="F87" i="2"/>
  <c r="F67" i="2"/>
  <c r="F80" i="2"/>
  <c r="F96" i="2"/>
  <c r="F44" i="2"/>
  <c r="F27" i="2"/>
  <c r="F5" i="2"/>
  <c r="F68" i="2"/>
  <c r="F16" i="2"/>
  <c r="F78" i="2"/>
  <c r="F97" i="2"/>
  <c r="F112" i="2"/>
  <c r="F83" i="2"/>
  <c r="F72" i="2"/>
  <c r="F108" i="2"/>
  <c r="F47" i="2"/>
  <c r="F48" i="2"/>
  <c r="F102" i="2"/>
  <c r="F103" i="2"/>
  <c r="F104" i="2"/>
  <c r="F105" i="2"/>
  <c r="F106" i="2"/>
  <c r="F52" i="2"/>
  <c r="F28" i="2"/>
  <c r="F115" i="2"/>
  <c r="F6" i="2"/>
  <c r="F84" i="2"/>
  <c r="F23" i="2"/>
  <c r="F7" i="2"/>
  <c r="F45" i="2"/>
  <c r="F60" i="2"/>
  <c r="F99" i="2"/>
  <c r="F56" i="2"/>
  <c r="F90" i="2"/>
  <c r="F74" i="2"/>
  <c r="F25" i="2"/>
  <c r="F113" i="2"/>
  <c r="F88" i="2"/>
  <c r="F15"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03"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14" i="2"/>
  <c r="G122" i="2"/>
  <c r="G24" i="2"/>
  <c r="G17" i="2"/>
  <c r="G53" i="2"/>
  <c r="G73" i="2"/>
  <c r="G39" i="2"/>
  <c r="G13" i="2"/>
  <c r="G110" i="2"/>
  <c r="G85" i="2"/>
  <c r="G49" i="2"/>
  <c r="G75" i="2"/>
  <c r="G69" i="2"/>
  <c r="G29" i="2"/>
  <c r="G18" i="2"/>
  <c r="G57" i="2"/>
  <c r="G92" i="2"/>
  <c r="G117" i="2"/>
  <c r="G70" i="2"/>
  <c r="G30" i="2"/>
  <c r="G19" i="2"/>
  <c r="G111" i="2"/>
  <c r="G81" i="2"/>
  <c r="G123" i="2"/>
  <c r="G33" i="2"/>
  <c r="G107" i="2"/>
  <c r="G34" i="2"/>
  <c r="G58" i="2"/>
  <c r="G41" i="2"/>
  <c r="G120" i="2"/>
  <c r="G82" i="2"/>
  <c r="G20" i="2"/>
  <c r="G37" i="2"/>
  <c r="G21" i="2"/>
  <c r="G3" i="2"/>
  <c r="G89" i="2"/>
  <c r="G9" i="2"/>
  <c r="G101" i="2"/>
  <c r="G46" i="2"/>
  <c r="G22" i="2"/>
  <c r="G54" i="2"/>
  <c r="G91" i="2"/>
  <c r="G100" i="2"/>
  <c r="G79" i="2"/>
  <c r="G26" i="2"/>
  <c r="G121" i="2"/>
  <c r="G98" i="2"/>
  <c r="G40" i="2"/>
  <c r="G65" i="2"/>
  <c r="G66" i="2"/>
  <c r="G42" i="2"/>
  <c r="G35" i="2"/>
  <c r="G10" i="2"/>
  <c r="G8" i="2"/>
  <c r="G14" i="2"/>
  <c r="G71" i="2"/>
  <c r="G61" i="2"/>
  <c r="G59" i="2"/>
  <c r="G36" i="2"/>
  <c r="G109" i="2"/>
  <c r="G55" i="2"/>
  <c r="G76" i="2"/>
  <c r="G86" i="2"/>
  <c r="G50" i="2"/>
  <c r="G93" i="2"/>
  <c r="G94" i="2"/>
  <c r="G31" i="2"/>
  <c r="G62" i="2"/>
  <c r="G38" i="2"/>
  <c r="G63" i="2"/>
  <c r="G4" i="2"/>
  <c r="G95" i="2"/>
  <c r="G43" i="2"/>
  <c r="G51" i="2"/>
  <c r="G77" i="2"/>
  <c r="G118" i="2"/>
  <c r="G11" i="2"/>
  <c r="G64" i="2"/>
  <c r="G12" i="2"/>
  <c r="G32" i="2"/>
  <c r="G87" i="2"/>
  <c r="G67" i="2"/>
  <c r="G80" i="2"/>
  <c r="G96" i="2"/>
  <c r="G44" i="2"/>
  <c r="G27" i="2"/>
  <c r="G5" i="2"/>
  <c r="G68" i="2"/>
  <c r="G16" i="2"/>
  <c r="G78" i="2"/>
  <c r="G97" i="2"/>
  <c r="G112" i="2"/>
  <c r="G83" i="2"/>
  <c r="G72" i="2"/>
  <c r="G108" i="2"/>
  <c r="G47" i="2"/>
  <c r="G48" i="2"/>
  <c r="G102" i="2"/>
  <c r="G103" i="2"/>
  <c r="G104" i="2"/>
  <c r="G105" i="2"/>
  <c r="G106" i="2"/>
  <c r="G52" i="2"/>
  <c r="G28" i="2"/>
  <c r="G115" i="2"/>
  <c r="G6" i="2"/>
  <c r="G84" i="2"/>
  <c r="G23" i="2"/>
  <c r="G7" i="2"/>
  <c r="G45" i="2"/>
  <c r="G60" i="2"/>
  <c r="G99" i="2"/>
  <c r="G56" i="2"/>
  <c r="G90" i="2"/>
  <c r="G74" i="2"/>
  <c r="G25" i="2"/>
  <c r="G113" i="2"/>
  <c r="G88" i="2"/>
  <c r="G15"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119"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V1505" i="5"/>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V922" i="5"/>
  <c r="Q922" i="5"/>
  <c r="AB921" i="5"/>
  <c r="V921" i="5"/>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V268" i="5"/>
  <c r="Q268" i="5"/>
  <c r="AB267" i="5"/>
  <c r="V267" i="5"/>
  <c r="Q267" i="5"/>
  <c r="AB266" i="5"/>
  <c r="V266" i="5"/>
  <c r="Q266" i="5"/>
  <c r="AB265" i="5"/>
  <c r="V265" i="5"/>
  <c r="Q265" i="5"/>
  <c r="AB264" i="5"/>
  <c r="V264" i="5"/>
  <c r="Q264" i="5"/>
  <c r="AB263" i="5"/>
  <c r="V263" i="5"/>
  <c r="Q263" i="5"/>
  <c r="AB262" i="5"/>
  <c r="V262" i="5"/>
  <c r="Z5"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80"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18" i="3" l="1"/>
  <c r="Z201" i="2"/>
  <c r="Z187" i="2"/>
  <c r="F186" i="3"/>
  <c r="F85" i="3"/>
  <c r="F111" i="3"/>
  <c r="Z195" i="2"/>
  <c r="F8" i="3"/>
  <c r="Z27" i="2"/>
  <c r="F173" i="3"/>
  <c r="F184" i="3"/>
  <c r="Z163" i="2"/>
  <c r="F177" i="3"/>
  <c r="F180" i="3"/>
  <c r="F182" i="3"/>
  <c r="Z180" i="2"/>
  <c r="F100" i="3"/>
  <c r="Z40" i="2"/>
  <c r="Z202" i="2"/>
  <c r="F78" i="3"/>
  <c r="F178" i="3"/>
  <c r="F113" i="3"/>
  <c r="F188" i="3"/>
  <c r="F190" i="3"/>
  <c r="F6" i="3"/>
  <c r="F82" i="3"/>
  <c r="Z96" i="2"/>
  <c r="F96" i="3"/>
  <c r="F76" i="3"/>
  <c r="F75" i="3"/>
  <c r="F46" i="3"/>
  <c r="F86" i="3"/>
  <c r="F88" i="3"/>
  <c r="F89" i="3"/>
  <c r="F83" i="3"/>
  <c r="F24" i="3"/>
  <c r="F26" i="3"/>
  <c r="F74" i="3"/>
  <c r="F18" i="3"/>
  <c r="F23" i="3"/>
  <c r="F142" i="3"/>
  <c r="F137" i="3"/>
  <c r="Z30" i="2"/>
  <c r="F87" i="3"/>
  <c r="F84" i="3"/>
  <c r="F80" i="3"/>
  <c r="F2" i="3"/>
  <c r="F37" i="3"/>
  <c r="F22" i="3"/>
  <c r="F7" i="3"/>
  <c r="Z17" i="2"/>
  <c r="F12" i="3"/>
  <c r="F51" i="3"/>
  <c r="F48" i="3"/>
  <c r="F14" i="3"/>
  <c r="F146" i="3"/>
  <c r="F69" i="3"/>
  <c r="F19" i="3"/>
  <c r="F41" i="3"/>
  <c r="Z207" i="2"/>
  <c r="F149" i="3"/>
  <c r="F90" i="3"/>
  <c r="F31" i="3"/>
  <c r="Z192" i="2"/>
  <c r="F198" i="3"/>
  <c r="F199" i="3"/>
  <c r="F91" i="3"/>
  <c r="Z194" i="2"/>
  <c r="Z166" i="2"/>
  <c r="Z21" i="2"/>
  <c r="Z209" i="2"/>
  <c r="F179" i="3"/>
  <c r="Z206" i="2"/>
  <c r="Z217" i="2"/>
  <c r="F81" i="3"/>
  <c r="F174" i="3"/>
  <c r="Z219" i="2"/>
  <c r="F15" i="3"/>
  <c r="Z213" i="2"/>
  <c r="Z203" i="2"/>
  <c r="Z170" i="2"/>
  <c r="Z215" i="2"/>
  <c r="Z164" i="2"/>
  <c r="Z200" i="2"/>
  <c r="Z218" i="2"/>
  <c r="Z199" i="2"/>
  <c r="Z186" i="2"/>
  <c r="Z208" i="2"/>
  <c r="Z198" i="2"/>
  <c r="F145" i="3"/>
  <c r="F197" i="3"/>
  <c r="F170" i="3"/>
  <c r="Z60" i="2"/>
  <c r="F136" i="3"/>
  <c r="F163" i="3"/>
  <c r="F168" i="3"/>
  <c r="F176" i="3"/>
  <c r="F106" i="3"/>
  <c r="F158" i="3"/>
  <c r="F172" i="3"/>
  <c r="F10" i="3"/>
  <c r="F119" i="3"/>
  <c r="F79" i="3"/>
  <c r="F59" i="3"/>
  <c r="F127" i="3"/>
  <c r="F128" i="3"/>
  <c r="F40" i="3"/>
  <c r="F57" i="3"/>
  <c r="Z189" i="2"/>
  <c r="Z162" i="2"/>
  <c r="Z190" i="2"/>
  <c r="F156" i="3"/>
  <c r="F70" i="3"/>
  <c r="F93" i="3"/>
  <c r="F148" i="3"/>
  <c r="F55" i="3"/>
  <c r="F60" i="3"/>
  <c r="F63" i="3"/>
  <c r="F62" i="3"/>
  <c r="F162" i="3"/>
  <c r="F153" i="3"/>
  <c r="F105" i="3"/>
  <c r="F132" i="3"/>
  <c r="F11" i="3"/>
  <c r="F107" i="3"/>
  <c r="F66" i="3"/>
  <c r="F30" i="3"/>
  <c r="F124" i="3"/>
  <c r="F154" i="3"/>
  <c r="F110" i="3"/>
  <c r="F34" i="3"/>
  <c r="F13" i="3"/>
  <c r="F195" i="3"/>
  <c r="F43" i="3"/>
  <c r="Z14" i="2"/>
  <c r="F189" i="3"/>
  <c r="W210" i="2"/>
  <c r="F209" i="3"/>
  <c r="F160" i="3"/>
  <c r="W204" i="2"/>
  <c r="F203" i="3"/>
  <c r="F21" i="3"/>
  <c r="F50" i="3"/>
  <c r="F155" i="3"/>
  <c r="W213" i="2"/>
  <c r="F212" i="3"/>
  <c r="F164" i="3"/>
  <c r="F58" i="3"/>
  <c r="W219" i="2"/>
  <c r="F218" i="3"/>
  <c r="F143" i="3"/>
  <c r="F92" i="3"/>
  <c r="F130" i="3"/>
  <c r="F133" i="3"/>
  <c r="F73" i="3"/>
  <c r="Z112" i="2"/>
  <c r="F97" i="3"/>
  <c r="F16" i="3"/>
  <c r="W211" i="2"/>
  <c r="F210" i="3"/>
  <c r="W203" i="2"/>
  <c r="F202" i="3"/>
  <c r="Z136" i="2"/>
  <c r="F144" i="3"/>
  <c r="Z61" i="2"/>
  <c r="F150" i="3"/>
  <c r="Z31" i="2"/>
  <c r="F161" i="3"/>
  <c r="F71" i="3"/>
  <c r="F165" i="3"/>
  <c r="F56" i="3"/>
  <c r="W206" i="2"/>
  <c r="F205" i="3"/>
  <c r="F112" i="3"/>
  <c r="F54" i="3"/>
  <c r="F175" i="3"/>
  <c r="Z182" i="2"/>
  <c r="F25" i="3"/>
  <c r="Z23" i="2"/>
  <c r="Z7" i="2"/>
  <c r="F115" i="3"/>
  <c r="F116" i="3"/>
  <c r="F129" i="3"/>
  <c r="Z66" i="2"/>
  <c r="Z35" i="2"/>
  <c r="F139" i="3"/>
  <c r="F140" i="3"/>
  <c r="W215" i="2"/>
  <c r="F214" i="3"/>
  <c r="W216" i="2"/>
  <c r="F215" i="3"/>
  <c r="Z94" i="2"/>
  <c r="W214" i="2"/>
  <c r="F213" i="3"/>
  <c r="W207" i="2"/>
  <c r="F206" i="3"/>
  <c r="F20" i="3"/>
  <c r="Z122" i="2"/>
  <c r="F131" i="3"/>
  <c r="F135" i="3"/>
  <c r="F141" i="3"/>
  <c r="Z36" i="2"/>
  <c r="F157" i="3"/>
  <c r="F64" i="3"/>
  <c r="F159" i="3"/>
  <c r="W205" i="2"/>
  <c r="F204" i="3"/>
  <c r="F187" i="3"/>
  <c r="F3" i="3"/>
  <c r="F101" i="3"/>
  <c r="Z165" i="2"/>
  <c r="F181" i="3"/>
  <c r="F95" i="3"/>
  <c r="F102" i="3"/>
  <c r="F29" i="3"/>
  <c r="F32" i="3"/>
  <c r="F123" i="3"/>
  <c r="F44" i="3"/>
  <c r="F151" i="3"/>
  <c r="F192" i="3"/>
  <c r="F61" i="3"/>
  <c r="W218" i="2"/>
  <c r="F217" i="3"/>
  <c r="Z188" i="2"/>
  <c r="W209" i="2"/>
  <c r="F208" i="3"/>
  <c r="F45" i="3"/>
  <c r="F109" i="3"/>
  <c r="F122" i="3"/>
  <c r="F36" i="3"/>
  <c r="F103" i="3"/>
  <c r="F94" i="3"/>
  <c r="F17" i="3"/>
  <c r="F114" i="3"/>
  <c r="F28" i="3"/>
  <c r="F125" i="3"/>
  <c r="F39" i="3"/>
  <c r="F138" i="3"/>
  <c r="F147" i="3"/>
  <c r="F49" i="3"/>
  <c r="F67" i="3"/>
  <c r="F68" i="3"/>
  <c r="W217" i="2"/>
  <c r="F216" i="3"/>
  <c r="F117" i="3"/>
  <c r="Z33" i="2"/>
  <c r="F5" i="3"/>
  <c r="W212" i="2"/>
  <c r="F211" i="3"/>
  <c r="Z161" i="2"/>
  <c r="W208" i="2"/>
  <c r="F207" i="3"/>
  <c r="F77" i="3"/>
  <c r="F98" i="3"/>
  <c r="F99" i="3"/>
  <c r="F27" i="3"/>
  <c r="F120" i="3"/>
  <c r="F121" i="3"/>
  <c r="F38" i="3"/>
  <c r="F42" i="3"/>
  <c r="F53" i="3"/>
  <c r="F65" i="3"/>
  <c r="F196" i="3"/>
  <c r="F72" i="3"/>
  <c r="Z45" i="2"/>
  <c r="F126" i="3"/>
  <c r="F47" i="3"/>
  <c r="Z69" i="2"/>
  <c r="F4" i="3"/>
  <c r="F200" i="3"/>
  <c r="F9" i="3"/>
  <c r="Z181" i="2"/>
  <c r="F104" i="3"/>
  <c r="Z183" i="2"/>
  <c r="F108" i="3"/>
  <c r="F33" i="3"/>
  <c r="F35" i="3"/>
  <c r="F134" i="3"/>
  <c r="F152" i="3"/>
  <c r="F191" i="3"/>
  <c r="F52" i="3"/>
  <c r="F193" i="3"/>
  <c r="F194" i="3"/>
  <c r="F166" i="3"/>
  <c r="Z126" i="2"/>
  <c r="Z193" i="2"/>
  <c r="Z19" i="2"/>
  <c r="Z67" i="2"/>
  <c r="Z48" i="2"/>
  <c r="Z9" i="2"/>
  <c r="Z22" i="2"/>
  <c r="Z129" i="2"/>
  <c r="Z197" i="2"/>
  <c r="Z6" i="2"/>
  <c r="Z20" i="2"/>
  <c r="Z159" i="2"/>
  <c r="Z184" i="2"/>
  <c r="Z138" i="2"/>
  <c r="Z143" i="2"/>
  <c r="Z53" i="2"/>
  <c r="Z191" i="2"/>
  <c r="Z185" i="2"/>
  <c r="Z8" i="2"/>
  <c r="Z196" i="2"/>
  <c r="Z119" i="2"/>
  <c r="Z62" i="2"/>
  <c r="Z81" i="2"/>
  <c r="Z178" i="2"/>
  <c r="Z128" i="2"/>
  <c r="Z75" i="2"/>
  <c r="Z3" i="2"/>
  <c r="Z90" i="2"/>
  <c r="Z175" i="2"/>
  <c r="Z43" i="2"/>
  <c r="Z118" i="2"/>
  <c r="Z65" i="2"/>
  <c r="Z11" i="2"/>
  <c r="Z83" i="2"/>
  <c r="Z46" i="2"/>
  <c r="Z76" i="2"/>
  <c r="Z68" i="2"/>
  <c r="Z114" i="2"/>
  <c r="Z47" i="2"/>
  <c r="Z102" i="2"/>
  <c r="Z104" i="2"/>
  <c r="Z115" i="2"/>
  <c r="Z84" i="2"/>
  <c r="Z167" i="2"/>
  <c r="Z88" i="2"/>
  <c r="Z10" i="2"/>
  <c r="Z133" i="2"/>
  <c r="Z145" i="2"/>
  <c r="Z153" i="2"/>
  <c r="Z92" i="2"/>
  <c r="Z120" i="2"/>
  <c r="Z89" i="2"/>
  <c r="Z15" i="2"/>
  <c r="Z154" i="2"/>
  <c r="Z54" i="2"/>
  <c r="Z140" i="2"/>
  <c r="Z173" i="2"/>
  <c r="Z71" i="2"/>
  <c r="Z59" i="2"/>
  <c r="Z177" i="2"/>
  <c r="Z95" i="2"/>
  <c r="Z157" i="2"/>
  <c r="Z64" i="2"/>
  <c r="Z160" i="2"/>
  <c r="Z158" i="2"/>
  <c r="Z77" i="2"/>
  <c r="Z134" i="2"/>
  <c r="Z18" i="2"/>
  <c r="Z56" i="2"/>
  <c r="Z113" i="2"/>
  <c r="Z121" i="2"/>
  <c r="Z137" i="2"/>
  <c r="Z12" i="2"/>
  <c r="Z78" i="2"/>
  <c r="Z13" i="2"/>
  <c r="Z97" i="2"/>
  <c r="Z72" i="2"/>
  <c r="Z32" i="2"/>
  <c r="Z16" i="2"/>
  <c r="Z107" i="2"/>
  <c r="Z91" i="2"/>
  <c r="Z146" i="2"/>
  <c r="Z151" i="2"/>
  <c r="Z63" i="2"/>
  <c r="Z4" i="2"/>
  <c r="Z152" i="2"/>
  <c r="Z51" i="2"/>
  <c r="Z127" i="2"/>
  <c r="Z176" i="2"/>
  <c r="Z132" i="2"/>
  <c r="Z73" i="2"/>
  <c r="Z105" i="2"/>
  <c r="Z123" i="2"/>
  <c r="Z41" i="2"/>
  <c r="Z131" i="2"/>
  <c r="Z135" i="2"/>
  <c r="Z139" i="2"/>
  <c r="Z141" i="2"/>
  <c r="Z147" i="2"/>
  <c r="Z38" i="2"/>
  <c r="Z34" i="2"/>
  <c r="Z49" i="2"/>
  <c r="Z116" i="2"/>
  <c r="Z52" i="2"/>
  <c r="Z99" i="2"/>
  <c r="Z125" i="2"/>
  <c r="Z26" i="2"/>
  <c r="Z172" i="2"/>
  <c r="Z174" i="2"/>
  <c r="Z50" i="2"/>
  <c r="Z149" i="2"/>
  <c r="Z79" i="2"/>
  <c r="Z148" i="2"/>
  <c r="Z70" i="2"/>
  <c r="Z25" i="2"/>
  <c r="Z124" i="2"/>
  <c r="Z55" i="2"/>
  <c r="Z156" i="2"/>
  <c r="Z74" i="2"/>
  <c r="Z58" i="2"/>
  <c r="Z24" i="2"/>
  <c r="Z117" i="2"/>
  <c r="Z111" i="2"/>
  <c r="Z168" i="2"/>
  <c r="Z98" i="2"/>
  <c r="Z144" i="2"/>
  <c r="Z130" i="2"/>
  <c r="Z29" i="2"/>
  <c r="Z82" i="2"/>
  <c r="Z101" i="2"/>
  <c r="Z42" i="2"/>
  <c r="Z142" i="2"/>
  <c r="Z85" i="2"/>
  <c r="Z57" i="2"/>
  <c r="Z169" i="2"/>
  <c r="Z100" i="2"/>
  <c r="Z109" i="2"/>
  <c r="Z86" i="2"/>
  <c r="Z155" i="2"/>
  <c r="Z179" i="2"/>
  <c r="Z87" i="2"/>
  <c r="Z103" i="2"/>
  <c r="Z28" i="2"/>
  <c r="Z44" i="2"/>
  <c r="Z39" i="2"/>
  <c r="Z110" i="2"/>
  <c r="Z108" i="2"/>
  <c r="Z106" i="2"/>
  <c r="Z37" i="2"/>
  <c r="Z171" i="2"/>
  <c r="Z93" i="2"/>
  <c r="Z150" i="2"/>
  <c r="W23" i="2" l="1"/>
  <c r="W7" i="2"/>
  <c r="W45" i="2"/>
  <c r="W60" i="2"/>
  <c r="W99" i="2"/>
  <c r="W56" i="2"/>
  <c r="W90" i="2"/>
  <c r="W74" i="2"/>
  <c r="W25" i="2"/>
  <c r="W113" i="2"/>
  <c r="W88" i="2"/>
  <c r="W15"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6" i="2"/>
  <c r="W84" i="2"/>
  <c r="W115" i="2"/>
  <c r="W114" i="2" l="1"/>
  <c r="W122" i="2"/>
  <c r="W24" i="2"/>
  <c r="W17" i="2"/>
  <c r="W53" i="2"/>
  <c r="W73" i="2"/>
  <c r="W39" i="2"/>
  <c r="W13" i="2"/>
  <c r="W110" i="2"/>
  <c r="W85" i="2"/>
  <c r="W49" i="2"/>
  <c r="W75" i="2"/>
  <c r="W69" i="2"/>
  <c r="W29" i="2"/>
  <c r="W18" i="2"/>
  <c r="W57" i="2"/>
  <c r="W92" i="2"/>
  <c r="W117" i="2"/>
  <c r="W70" i="2"/>
  <c r="W116" i="2"/>
  <c r="W30" i="2"/>
  <c r="W19" i="2"/>
  <c r="W111" i="2"/>
  <c r="W81" i="2"/>
  <c r="W123" i="2"/>
  <c r="W33" i="2"/>
  <c r="W107" i="2"/>
  <c r="W34" i="2"/>
  <c r="W58" i="2"/>
  <c r="W41" i="2"/>
  <c r="W120" i="2"/>
  <c r="W82" i="2"/>
  <c r="W20" i="2"/>
  <c r="W37" i="2"/>
  <c r="W21" i="2"/>
  <c r="W3" i="2"/>
  <c r="W89" i="2"/>
  <c r="W9" i="2"/>
  <c r="W101" i="2"/>
  <c r="W46" i="2"/>
  <c r="W22" i="2"/>
  <c r="W54" i="2"/>
  <c r="W91" i="2"/>
  <c r="W100" i="2"/>
  <c r="W79" i="2"/>
  <c r="W26" i="2"/>
  <c r="W121" i="2"/>
  <c r="W98" i="2"/>
  <c r="W40" i="2"/>
  <c r="W65" i="2"/>
  <c r="W66" i="2"/>
  <c r="W42" i="2"/>
  <c r="W35" i="2"/>
  <c r="W10" i="2"/>
  <c r="W8" i="2"/>
  <c r="W14" i="2"/>
  <c r="W71" i="2"/>
  <c r="W61" i="2"/>
  <c r="W59" i="2"/>
  <c r="W36" i="2"/>
  <c r="W109" i="2"/>
  <c r="W55" i="2"/>
  <c r="W76" i="2"/>
  <c r="W86" i="2"/>
  <c r="W50" i="2"/>
  <c r="W93" i="2"/>
  <c r="W94" i="2"/>
  <c r="W31" i="2"/>
  <c r="W62" i="2"/>
  <c r="W38" i="2"/>
  <c r="W63" i="2"/>
  <c r="W4" i="2"/>
  <c r="W95" i="2"/>
  <c r="W43" i="2"/>
  <c r="W51" i="2"/>
  <c r="W77" i="2"/>
  <c r="W118" i="2"/>
  <c r="W11" i="2"/>
  <c r="W64" i="2"/>
  <c r="W12" i="2"/>
  <c r="W32" i="2"/>
  <c r="W87" i="2"/>
  <c r="W67" i="2"/>
  <c r="W80" i="2"/>
  <c r="W96" i="2"/>
  <c r="W44" i="2"/>
  <c r="W27" i="2"/>
  <c r="W5" i="2"/>
  <c r="W68" i="2"/>
  <c r="W16" i="2"/>
  <c r="W78" i="2"/>
  <c r="W97" i="2"/>
  <c r="W112" i="2"/>
  <c r="W83" i="2"/>
  <c r="W72" i="2"/>
  <c r="W108" i="2"/>
  <c r="W47" i="2"/>
  <c r="W48" i="2"/>
  <c r="W102" i="2"/>
  <c r="W103" i="2"/>
  <c r="W104" i="2"/>
  <c r="W105" i="2"/>
  <c r="W106" i="2"/>
  <c r="W52" i="2"/>
  <c r="W28" i="2"/>
  <c r="W119" i="2"/>
  <c r="V2" i="2"/>
  <c r="U2" i="2"/>
  <c r="T2" i="2"/>
  <c r="S2" i="2"/>
  <c r="R2" i="2"/>
  <c r="Q2" i="2"/>
  <c r="Y206" i="2" l="1"/>
  <c r="Y210" i="2"/>
  <c r="Y214" i="2"/>
  <c r="Y218" i="2"/>
  <c r="Y207" i="2"/>
  <c r="Y211" i="2"/>
  <c r="Y219" i="2"/>
  <c r="Y215" i="2"/>
  <c r="Y213" i="2"/>
  <c r="Y204" i="2"/>
  <c r="Y208" i="2"/>
  <c r="Y212" i="2"/>
  <c r="Y216" i="2"/>
  <c r="Y217" i="2"/>
  <c r="Y205" i="2"/>
  <c r="Y209"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AC208" i="2" l="1"/>
  <c r="AC210" i="2"/>
  <c r="H205" i="2"/>
  <c r="H209" i="2"/>
  <c r="H213" i="2"/>
  <c r="H217" i="2"/>
  <c r="H206" i="2"/>
  <c r="H210" i="2"/>
  <c r="H214" i="2"/>
  <c r="H218" i="2"/>
  <c r="H212" i="2"/>
  <c r="H216" i="2"/>
  <c r="H215" i="2"/>
  <c r="H203" i="2"/>
  <c r="H207" i="2"/>
  <c r="H211" i="2"/>
  <c r="H219" i="2"/>
  <c r="H208" i="2"/>
  <c r="H204" i="2"/>
  <c r="H192"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I205" i="2"/>
  <c r="H204" i="3" s="1"/>
  <c r="I209" i="2"/>
  <c r="H208" i="3" s="1"/>
  <c r="I213" i="2"/>
  <c r="H212" i="3" s="1"/>
  <c r="I217" i="2"/>
  <c r="H216" i="3" s="1"/>
  <c r="I206" i="2"/>
  <c r="H205" i="3" s="1"/>
  <c r="I214" i="2"/>
  <c r="H213" i="3" s="1"/>
  <c r="I218" i="2"/>
  <c r="H217" i="3" s="1"/>
  <c r="I210" i="2"/>
  <c r="H209" i="3" s="1"/>
  <c r="I204" i="2"/>
  <c r="H203" i="3" s="1"/>
  <c r="I216" i="2"/>
  <c r="H215" i="3" s="1"/>
  <c r="I203" i="2"/>
  <c r="I207" i="2"/>
  <c r="H206" i="3" s="1"/>
  <c r="I211" i="2"/>
  <c r="H210" i="3" s="1"/>
  <c r="I215" i="2"/>
  <c r="H214" i="3" s="1"/>
  <c r="I219" i="2"/>
  <c r="H218" i="3" s="1"/>
  <c r="I208" i="2"/>
  <c r="H207" i="3" s="1"/>
  <c r="I212" i="2"/>
  <c r="H211" i="3" s="1"/>
  <c r="J213" i="2"/>
  <c r="J205" i="2"/>
  <c r="J209" i="2"/>
  <c r="J217" i="2"/>
  <c r="J206" i="2"/>
  <c r="J210" i="2"/>
  <c r="J214" i="2"/>
  <c r="J218" i="2"/>
  <c r="J219" i="2"/>
  <c r="J212" i="2"/>
  <c r="J216" i="2"/>
  <c r="J215" i="2"/>
  <c r="J204" i="2"/>
  <c r="J203" i="2"/>
  <c r="J207" i="2"/>
  <c r="J211" i="2"/>
  <c r="J208"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203" i="2"/>
  <c r="Y203" i="2" l="1"/>
  <c r="G202" i="3"/>
  <c r="M202" i="3" l="1"/>
  <c r="AB203" i="2"/>
  <c r="P202" i="3" s="1"/>
  <c r="AA203" i="2"/>
  <c r="O202" i="3" l="1"/>
  <c r="H163" i="2" l="1"/>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3" i="2"/>
  <c r="H194" i="2"/>
  <c r="H195" i="2"/>
  <c r="H196" i="2"/>
  <c r="H197" i="2"/>
  <c r="H198" i="2"/>
  <c r="H199" i="2"/>
  <c r="H200" i="2"/>
  <c r="H201" i="2"/>
  <c r="H202" i="2"/>
  <c r="I182" i="2" l="1"/>
  <c r="H181" i="3" s="1"/>
  <c r="I186" i="2"/>
  <c r="H185" i="3" s="1"/>
  <c r="I187" i="2"/>
  <c r="H186" i="3" s="1"/>
  <c r="I191" i="2"/>
  <c r="H190" i="3" s="1"/>
  <c r="I180" i="2"/>
  <c r="H179" i="3" s="1"/>
  <c r="I184" i="2"/>
  <c r="H183" i="3" s="1"/>
  <c r="I185" i="2"/>
  <c r="H184" i="3" s="1"/>
  <c r="I188" i="2"/>
  <c r="H187" i="3" s="1"/>
  <c r="I189" i="2"/>
  <c r="H188" i="3" s="1"/>
  <c r="I190" i="2"/>
  <c r="H189" i="3" s="1"/>
  <c r="I192" i="2"/>
  <c r="H191" i="3" s="1"/>
  <c r="I194" i="2"/>
  <c r="H193" i="3" s="1"/>
  <c r="I195" i="2"/>
  <c r="H194" i="3" s="1"/>
  <c r="I196" i="2"/>
  <c r="H195" i="3" s="1"/>
  <c r="I197" i="2"/>
  <c r="H196" i="3" s="1"/>
  <c r="I199" i="2"/>
  <c r="H198" i="3" s="1"/>
  <c r="I200" i="2"/>
  <c r="H199" i="3" s="1"/>
  <c r="I201" i="2"/>
  <c r="H200" i="3" s="1"/>
  <c r="I181" i="2"/>
  <c r="H180" i="3" s="1"/>
  <c r="I193" i="2"/>
  <c r="H192" i="3" s="1"/>
  <c r="I202"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188" i="2" l="1"/>
  <c r="J184" i="2"/>
  <c r="J197" i="2"/>
  <c r="J193" i="2"/>
  <c r="J180" i="2"/>
  <c r="J196" i="2"/>
  <c r="J190" i="2"/>
  <c r="J186" i="2"/>
  <c r="J181" i="2"/>
  <c r="J200" i="2"/>
  <c r="J201" i="2"/>
  <c r="J194" i="2"/>
  <c r="J189" i="2"/>
  <c r="J191" i="2"/>
  <c r="J195" i="2"/>
  <c r="J185" i="2"/>
  <c r="J202" i="2"/>
  <c r="J199" i="2"/>
  <c r="J182" i="2"/>
  <c r="J192" i="2"/>
  <c r="J187" i="2"/>
  <c r="L181" i="3" l="1"/>
  <c r="L185" i="3"/>
  <c r="L186" i="3"/>
  <c r="L190" i="3"/>
  <c r="L179" i="3"/>
  <c r="L183" i="3"/>
  <c r="L184" i="3"/>
  <c r="L187" i="3"/>
  <c r="L188" i="3"/>
  <c r="L189" i="3"/>
  <c r="L191" i="3"/>
  <c r="L193" i="3"/>
  <c r="L194" i="3"/>
  <c r="L195" i="3"/>
  <c r="L196" i="3"/>
  <c r="L198" i="3"/>
  <c r="L199" i="3"/>
  <c r="L200" i="3"/>
  <c r="L180" i="3"/>
  <c r="L192" i="3"/>
  <c r="L201" i="3"/>
  <c r="X188" i="2" l="1"/>
  <c r="G187" i="3" s="1"/>
  <c r="X184" i="2"/>
  <c r="G183" i="3" s="1"/>
  <c r="X197" i="2"/>
  <c r="G196" i="3" s="1"/>
  <c r="X193" i="2"/>
  <c r="G192" i="3" s="1"/>
  <c r="X180" i="2"/>
  <c r="G179" i="3" s="1"/>
  <c r="X196" i="2"/>
  <c r="G195" i="3" s="1"/>
  <c r="X190" i="2"/>
  <c r="G189" i="3" s="1"/>
  <c r="X186" i="2"/>
  <c r="G185" i="3" s="1"/>
  <c r="X181" i="2"/>
  <c r="G180" i="3" s="1"/>
  <c r="X200" i="2"/>
  <c r="G199" i="3" s="1"/>
  <c r="X201" i="2"/>
  <c r="G200" i="3" s="1"/>
  <c r="X194" i="2"/>
  <c r="G193" i="3" s="1"/>
  <c r="X189" i="2"/>
  <c r="G188" i="3" s="1"/>
  <c r="X191" i="2"/>
  <c r="G190" i="3" s="1"/>
  <c r="X195" i="2"/>
  <c r="G194" i="3" s="1"/>
  <c r="X185" i="2"/>
  <c r="G184" i="3" s="1"/>
  <c r="X202" i="2"/>
  <c r="G201" i="3" s="1"/>
  <c r="X199" i="2"/>
  <c r="G198" i="3" s="1"/>
  <c r="X182" i="2"/>
  <c r="G181" i="3" s="1"/>
  <c r="X192" i="2"/>
  <c r="G191" i="3" s="1"/>
  <c r="X187" i="2"/>
  <c r="G186" i="3" s="1"/>
  <c r="Y193" i="2" l="1"/>
  <c r="Y181" i="2"/>
  <c r="Y197" i="2"/>
  <c r="Y186" i="2"/>
  <c r="Y196" i="2"/>
  <c r="Y192" i="2"/>
  <c r="Y185" i="2"/>
  <c r="Y199" i="2"/>
  <c r="Y194" i="2"/>
  <c r="Y190" i="2"/>
  <c r="Y201" i="2"/>
  <c r="Y180" i="2"/>
  <c r="Y184" i="2"/>
  <c r="Y188" i="2"/>
  <c r="Y195" i="2"/>
  <c r="Y200" i="2"/>
  <c r="Y182" i="2"/>
  <c r="Y187" i="2"/>
  <c r="Y202" i="2"/>
  <c r="Y189" i="2"/>
  <c r="Y191" i="2"/>
  <c r="AA202" i="2" l="1"/>
  <c r="M201" i="3"/>
  <c r="AA200" i="2"/>
  <c r="M199" i="3"/>
  <c r="AA201" i="2"/>
  <c r="M200" i="3"/>
  <c r="AA199" i="2"/>
  <c r="M198" i="3"/>
  <c r="AA191" i="2"/>
  <c r="M190" i="3"/>
  <c r="AA189" i="2"/>
  <c r="M188" i="3"/>
  <c r="AA187" i="2"/>
  <c r="M186" i="3"/>
  <c r="AA182" i="2"/>
  <c r="M181" i="3"/>
  <c r="AA195" i="2"/>
  <c r="M194" i="3"/>
  <c r="AA188" i="2"/>
  <c r="M187" i="3"/>
  <c r="AA184" i="2"/>
  <c r="M183" i="3"/>
  <c r="AA180" i="2"/>
  <c r="M179" i="3"/>
  <c r="AA190" i="2"/>
  <c r="M189" i="3"/>
  <c r="AA194" i="2"/>
  <c r="M193" i="3"/>
  <c r="AA185" i="2"/>
  <c r="M184" i="3"/>
  <c r="AA192" i="2"/>
  <c r="M191" i="3"/>
  <c r="AA196" i="2"/>
  <c r="M195" i="3"/>
  <c r="AA186" i="2"/>
  <c r="M185" i="3"/>
  <c r="AA197" i="2"/>
  <c r="M196" i="3"/>
  <c r="AA181" i="2"/>
  <c r="M180" i="3"/>
  <c r="AA193" i="2"/>
  <c r="M192" i="3"/>
  <c r="AB188" i="2"/>
  <c r="P187" i="3" s="1"/>
  <c r="AB181" i="2"/>
  <c r="P180" i="3" s="1"/>
  <c r="AB180" i="2"/>
  <c r="P179" i="3" s="1"/>
  <c r="AB192" i="2"/>
  <c r="P191" i="3" s="1"/>
  <c r="AB182" i="2"/>
  <c r="P181" i="3" s="1"/>
  <c r="AB201" i="2"/>
  <c r="P200" i="3" s="1"/>
  <c r="AB197" i="2" l="1"/>
  <c r="P196" i="3" s="1"/>
  <c r="O196" i="3"/>
  <c r="AC197" i="2"/>
  <c r="B196" i="3" s="1"/>
  <c r="AB191" i="2"/>
  <c r="P190" i="3" s="1"/>
  <c r="O190" i="3"/>
  <c r="AB185" i="2"/>
  <c r="P184" i="3" s="1"/>
  <c r="O184" i="3"/>
  <c r="AB193" i="2"/>
  <c r="P192" i="3" s="1"/>
  <c r="O192" i="3"/>
  <c r="AB184" i="2"/>
  <c r="P183" i="3" s="1"/>
  <c r="AC184" i="2"/>
  <c r="B183" i="3" s="1"/>
  <c r="O183" i="3"/>
  <c r="AB200" i="2"/>
  <c r="P199" i="3" s="1"/>
  <c r="AC200" i="2"/>
  <c r="B199" i="3" s="1"/>
  <c r="O199" i="3"/>
  <c r="AB186" i="2"/>
  <c r="P185" i="3" s="1"/>
  <c r="O185" i="3"/>
  <c r="AC180" i="2"/>
  <c r="B179" i="3" s="1"/>
  <c r="O179" i="3"/>
  <c r="AB196" i="2"/>
  <c r="P195" i="3" s="1"/>
  <c r="AC196" i="2"/>
  <c r="B195" i="3" s="1"/>
  <c r="O195" i="3"/>
  <c r="AB187" i="2"/>
  <c r="P186" i="3" s="1"/>
  <c r="O186" i="3"/>
  <c r="AC182" i="2"/>
  <c r="B181" i="3" s="1"/>
  <c r="O181" i="3"/>
  <c r="O200" i="3"/>
  <c r="O187" i="3"/>
  <c r="AC188" i="2"/>
  <c r="B187" i="3" s="1"/>
  <c r="AB199" i="2"/>
  <c r="P198" i="3" s="1"/>
  <c r="O198" i="3"/>
  <c r="AB202" i="2"/>
  <c r="P201" i="3" s="1"/>
  <c r="O201" i="3"/>
  <c r="O191" i="3"/>
  <c r="AB194" i="2"/>
  <c r="P193" i="3" s="1"/>
  <c r="O193" i="3"/>
  <c r="AB195" i="2"/>
  <c r="P194" i="3" s="1"/>
  <c r="O194" i="3"/>
  <c r="O180" i="3"/>
  <c r="AB189" i="2"/>
  <c r="P188" i="3" s="1"/>
  <c r="AC189" i="2"/>
  <c r="B188" i="3" s="1"/>
  <c r="O188" i="3"/>
  <c r="AB190"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164" i="3" l="1"/>
  <c r="I161" i="3" l="1"/>
  <c r="I166" i="3" l="1"/>
  <c r="I130" i="3"/>
  <c r="I129" i="3"/>
  <c r="I141" i="3"/>
  <c r="I127" i="3"/>
  <c r="I138" i="3"/>
  <c r="I160" i="3"/>
  <c r="I155" i="3"/>
  <c r="I174" i="3"/>
  <c r="I124" i="3"/>
  <c r="I154" i="3"/>
  <c r="I137" i="3"/>
  <c r="I133" i="3"/>
  <c r="I139" i="3"/>
  <c r="I169" i="3"/>
  <c r="I135" i="3"/>
  <c r="I134" i="3" l="1"/>
  <c r="I168" i="3"/>
  <c r="I167" i="3"/>
  <c r="I165" i="3"/>
  <c r="I149" i="3"/>
  <c r="I150" i="3"/>
  <c r="I151" i="3"/>
  <c r="I163" i="3"/>
  <c r="I125" i="3"/>
  <c r="I126" i="3"/>
  <c r="I157" i="3"/>
  <c r="I162" i="3"/>
  <c r="I159" i="3"/>
  <c r="I131" i="3"/>
  <c r="I142" i="3"/>
  <c r="I136" i="3"/>
  <c r="I152" i="3"/>
  <c r="I158" i="3"/>
  <c r="I147" i="3"/>
  <c r="I146" i="3"/>
  <c r="I153" i="3"/>
  <c r="I143" i="3"/>
  <c r="I145" i="3"/>
  <c r="I140" i="3"/>
  <c r="I144" i="3"/>
  <c r="I182" i="3"/>
  <c r="I148" i="3"/>
  <c r="I156" i="3" l="1"/>
  <c r="I170" i="3"/>
  <c r="I132" i="3"/>
  <c r="I197" i="3"/>
  <c r="I128" i="3"/>
  <c r="L172" i="3" l="1"/>
  <c r="L176" i="3"/>
  <c r="L178" i="3"/>
  <c r="L171" i="3"/>
  <c r="L177" i="3"/>
  <c r="L175" i="3"/>
  <c r="L173" i="3" l="1"/>
  <c r="L164" i="3" l="1"/>
  <c r="L161" i="3" l="1"/>
  <c r="L166" i="3" l="1"/>
  <c r="L134" i="3"/>
  <c r="L130" i="3"/>
  <c r="L129" i="3"/>
  <c r="L141" i="3"/>
  <c r="L127" i="3"/>
  <c r="L156" i="3"/>
  <c r="L138" i="3"/>
  <c r="L160" i="3"/>
  <c r="L155" i="3"/>
  <c r="L174" i="3"/>
  <c r="L124" i="3"/>
  <c r="L154" i="3"/>
  <c r="L137" i="3"/>
  <c r="L197" i="3"/>
  <c r="L133" i="3"/>
  <c r="L139" i="3"/>
  <c r="L170" i="3"/>
  <c r="L169" i="3"/>
  <c r="L135" i="3"/>
  <c r="L167" i="3" l="1"/>
  <c r="L168" i="3"/>
  <c r="L165" i="3"/>
  <c r="L153" i="3"/>
  <c r="L150" i="3"/>
  <c r="L149" i="3"/>
  <c r="L151" i="3"/>
  <c r="L143" i="3"/>
  <c r="L125" i="3"/>
  <c r="L126" i="3"/>
  <c r="L157" i="3"/>
  <c r="L128" i="3"/>
  <c r="L163" i="3"/>
  <c r="L131" i="3"/>
  <c r="L132" i="3"/>
  <c r="L142" i="3"/>
  <c r="L162" i="3"/>
  <c r="L152" i="3"/>
  <c r="L159" i="3"/>
  <c r="L158" i="3"/>
  <c r="L147" i="3"/>
  <c r="L136" i="3"/>
  <c r="L145" i="3"/>
  <c r="L140" i="3"/>
  <c r="L144" i="3"/>
  <c r="L146" i="3"/>
  <c r="L182" i="3"/>
  <c r="L148" i="3"/>
  <c r="I173" i="2" l="1"/>
  <c r="I177" i="2"/>
  <c r="I179" i="2"/>
  <c r="I172" i="2"/>
  <c r="I178" i="2"/>
  <c r="I176" i="2"/>
  <c r="I174" i="2" l="1"/>
  <c r="H175" i="3"/>
  <c r="H177" i="3"/>
  <c r="H171" i="3"/>
  <c r="H178" i="3"/>
  <c r="H176" i="3"/>
  <c r="H172" i="3"/>
  <c r="H173" i="3" l="1"/>
  <c r="I165" i="2" l="1"/>
  <c r="H164" i="3" l="1"/>
  <c r="I167" i="2" l="1"/>
  <c r="I175" i="2"/>
  <c r="I198" i="2"/>
  <c r="I171" i="2"/>
  <c r="I170" i="2"/>
  <c r="J168" i="2" l="1"/>
  <c r="I168" i="2"/>
  <c r="J169" i="2"/>
  <c r="I169" i="2"/>
  <c r="J166" i="2"/>
  <c r="I166" i="2"/>
  <c r="H174" i="3"/>
  <c r="H166" i="3"/>
  <c r="H169" i="3"/>
  <c r="I163" i="2"/>
  <c r="I164" i="2"/>
  <c r="I183" i="2"/>
  <c r="H170" i="3" l="1"/>
  <c r="H165" i="3"/>
  <c r="X166" i="2"/>
  <c r="H168" i="3"/>
  <c r="X169" i="2"/>
  <c r="G168" i="3" s="1"/>
  <c r="H167" i="3"/>
  <c r="X168" i="2"/>
  <c r="G167" i="3" s="1"/>
  <c r="H162" i="3"/>
  <c r="H163" i="3"/>
  <c r="H182" i="3"/>
  <c r="J170" i="2"/>
  <c r="X170" i="2" s="1"/>
  <c r="G169" i="3" s="1"/>
  <c r="J178" i="2"/>
  <c r="X178" i="2" s="1"/>
  <c r="J171" i="2"/>
  <c r="X171" i="2" s="1"/>
  <c r="G170" i="3" s="1"/>
  <c r="J167" i="2"/>
  <c r="X167" i="2" s="1"/>
  <c r="J174" i="2"/>
  <c r="X174" i="2" s="1"/>
  <c r="J164" i="2"/>
  <c r="X164" i="2" s="1"/>
  <c r="J165" i="2"/>
  <c r="X165" i="2" s="1"/>
  <c r="J172" i="2"/>
  <c r="X172" i="2" s="1"/>
  <c r="J177" i="2"/>
  <c r="X177" i="2" s="1"/>
  <c r="J198" i="2"/>
  <c r="X198" i="2" s="1"/>
  <c r="G197" i="3" s="1"/>
  <c r="J175" i="2"/>
  <c r="X175" i="2" s="1"/>
  <c r="J176" i="2"/>
  <c r="X176" i="2" s="1"/>
  <c r="J173" i="2"/>
  <c r="X173" i="2" s="1"/>
  <c r="J163" i="2"/>
  <c r="X163" i="2" s="1"/>
  <c r="Y163" i="2" l="1"/>
  <c r="AB163" i="2" s="1"/>
  <c r="P162" i="3" s="1"/>
  <c r="G162" i="3"/>
  <c r="Y173" i="2"/>
  <c r="AB173" i="2" s="1"/>
  <c r="P172" i="3" s="1"/>
  <c r="G172" i="3"/>
  <c r="Y176" i="2"/>
  <c r="AB176" i="2" s="1"/>
  <c r="P175" i="3" s="1"/>
  <c r="G175" i="3"/>
  <c r="Y175" i="2"/>
  <c r="AB175" i="2" s="1"/>
  <c r="P174" i="3" s="1"/>
  <c r="G174" i="3"/>
  <c r="Y177" i="2"/>
  <c r="AB177" i="2" s="1"/>
  <c r="P176" i="3" s="1"/>
  <c r="G176" i="3"/>
  <c r="Y172" i="2"/>
  <c r="AB172" i="2" s="1"/>
  <c r="P171" i="3" s="1"/>
  <c r="G171" i="3"/>
  <c r="Y165" i="2"/>
  <c r="AB165" i="2" s="1"/>
  <c r="P164" i="3" s="1"/>
  <c r="G164" i="3"/>
  <c r="Y164" i="2"/>
  <c r="AB164" i="2" s="1"/>
  <c r="P163" i="3" s="1"/>
  <c r="G163" i="3"/>
  <c r="Y174" i="2"/>
  <c r="AB174" i="2" s="1"/>
  <c r="P173" i="3" s="1"/>
  <c r="G173" i="3"/>
  <c r="Y167" i="2"/>
  <c r="AB167" i="2" s="1"/>
  <c r="P166" i="3" s="1"/>
  <c r="G166" i="3"/>
  <c r="Y178" i="2"/>
  <c r="AB178" i="2" s="1"/>
  <c r="P177" i="3" s="1"/>
  <c r="G177" i="3"/>
  <c r="Y166" i="2"/>
  <c r="AB166" i="2" s="1"/>
  <c r="P165" i="3" s="1"/>
  <c r="G165" i="3"/>
  <c r="Y170" i="2"/>
  <c r="M169" i="3" s="1"/>
  <c r="Y171" i="2"/>
  <c r="M170" i="3" s="1"/>
  <c r="Y169" i="2"/>
  <c r="M168" i="3" s="1"/>
  <c r="Y168" i="2"/>
  <c r="M167" i="3" s="1"/>
  <c r="J183" i="2"/>
  <c r="X183" i="2" s="1"/>
  <c r="J179" i="2"/>
  <c r="X179" i="2" s="1"/>
  <c r="Y198" i="2"/>
  <c r="AB170" i="2" l="1"/>
  <c r="P169" i="3" s="1"/>
  <c r="AA198" i="2"/>
  <c r="M197" i="3"/>
  <c r="AB171" i="2"/>
  <c r="Y179" i="2"/>
  <c r="AB179" i="2" s="1"/>
  <c r="P178" i="3" s="1"/>
  <c r="G178" i="3"/>
  <c r="Y183" i="2"/>
  <c r="AB183" i="2" s="1"/>
  <c r="G182" i="3"/>
  <c r="AA166" i="2"/>
  <c r="O165" i="3" s="1"/>
  <c r="M165" i="3"/>
  <c r="AA178" i="2"/>
  <c r="O177" i="3" s="1"/>
  <c r="M177" i="3"/>
  <c r="AA167" i="2"/>
  <c r="O166" i="3" s="1"/>
  <c r="M166" i="3"/>
  <c r="AA174" i="2"/>
  <c r="O173" i="3" s="1"/>
  <c r="M173" i="3"/>
  <c r="AA164" i="2"/>
  <c r="O163" i="3" s="1"/>
  <c r="M163" i="3"/>
  <c r="AA165" i="2"/>
  <c r="O164" i="3" s="1"/>
  <c r="M164" i="3"/>
  <c r="AA172" i="2"/>
  <c r="O171" i="3" s="1"/>
  <c r="M171" i="3"/>
  <c r="AA177" i="2"/>
  <c r="O176" i="3" s="1"/>
  <c r="M176" i="3"/>
  <c r="AA175" i="2"/>
  <c r="O174" i="3" s="1"/>
  <c r="M174" i="3"/>
  <c r="AA176" i="2"/>
  <c r="O175" i="3" s="1"/>
  <c r="M175" i="3"/>
  <c r="AA173" i="2"/>
  <c r="O172" i="3" s="1"/>
  <c r="M172" i="3"/>
  <c r="AA163" i="2"/>
  <c r="O162" i="3" s="1"/>
  <c r="M162" i="3"/>
  <c r="AA168" i="2"/>
  <c r="AA169" i="2"/>
  <c r="AB169" i="2"/>
  <c r="P168" i="3" s="1"/>
  <c r="AA171" i="2"/>
  <c r="AB168" i="2"/>
  <c r="P167" i="3" s="1"/>
  <c r="AA170" i="2"/>
  <c r="AB198" i="2"/>
  <c r="AA183" i="2" l="1"/>
  <c r="O182" i="3" s="1"/>
  <c r="M182" i="3"/>
  <c r="AA179" i="2"/>
  <c r="O178" i="3" s="1"/>
  <c r="M178" i="3"/>
  <c r="O169" i="3"/>
  <c r="O168" i="3"/>
  <c r="O167" i="3"/>
  <c r="P170" i="3"/>
  <c r="P182" i="3"/>
  <c r="AC185" i="2"/>
  <c r="B184" i="3" s="1"/>
  <c r="AC202" i="2"/>
  <c r="B201" i="3" s="1"/>
  <c r="AC177" i="2"/>
  <c r="B176" i="3" s="1"/>
  <c r="AC171" i="2"/>
  <c r="B170" i="3" s="1"/>
  <c r="AC172" i="2"/>
  <c r="B171" i="3" s="1"/>
  <c r="AC164" i="2"/>
  <c r="B163" i="3" s="1"/>
  <c r="AC163" i="2"/>
  <c r="B162" i="3" s="1"/>
  <c r="AC170" i="2"/>
  <c r="B169" i="3" s="1"/>
  <c r="O197" i="3"/>
  <c r="AC213" i="2" l="1"/>
  <c r="B212" i="3" s="1"/>
  <c r="AC209" i="2"/>
  <c r="B208" i="3" s="1"/>
  <c r="AC217" i="2"/>
  <c r="B216" i="3" s="1"/>
  <c r="AC216" i="2"/>
  <c r="B215" i="3" s="1"/>
  <c r="AC219" i="2"/>
  <c r="B218" i="3" s="1"/>
  <c r="AC194" i="2"/>
  <c r="B193" i="3" s="1"/>
  <c r="AC179" i="2"/>
  <c r="B178" i="3" s="1"/>
  <c r="O170" i="3"/>
  <c r="P197" i="3"/>
  <c r="H137" i="2" l="1"/>
  <c r="H138" i="2"/>
  <c r="H139" i="2"/>
  <c r="H140" i="2"/>
  <c r="H141" i="2"/>
  <c r="H147" i="2"/>
  <c r="H149" i="2"/>
  <c r="H152" i="2"/>
  <c r="H154" i="2"/>
  <c r="H159" i="2"/>
  <c r="H151" i="2" l="1"/>
  <c r="H148" i="2"/>
  <c r="H157" i="2"/>
  <c r="H127" i="2"/>
  <c r="H158" i="2"/>
  <c r="H146" i="2"/>
  <c r="H160" i="2"/>
  <c r="H153" i="2"/>
  <c r="H133" i="2"/>
  <c r="H142" i="2"/>
  <c r="H136" i="2"/>
  <c r="H155" i="2"/>
  <c r="H143" i="2"/>
  <c r="H130" i="2"/>
  <c r="H161" i="2"/>
  <c r="H144" i="2"/>
  <c r="H132" i="2"/>
  <c r="H126" i="2"/>
  <c r="H150" i="2"/>
  <c r="H156" i="2"/>
  <c r="H131" i="2"/>
  <c r="H135" i="2"/>
  <c r="H134" i="2"/>
  <c r="H145" i="2"/>
  <c r="H128" i="2"/>
  <c r="H125" i="2"/>
  <c r="H162" i="2"/>
  <c r="H129" i="2"/>
  <c r="I162" i="2" l="1"/>
  <c r="H161" i="3" s="1"/>
  <c r="I148" i="2" l="1"/>
  <c r="H147" i="3" s="1"/>
  <c r="I132" i="2"/>
  <c r="H131" i="3" s="1"/>
  <c r="I145" i="2"/>
  <c r="H144" i="3" s="1"/>
  <c r="I160" i="2"/>
  <c r="H159" i="3" s="1"/>
  <c r="I127" i="2"/>
  <c r="H126" i="3" s="1"/>
  <c r="I135" i="2"/>
  <c r="H134" i="3" s="1"/>
  <c r="I131" i="2"/>
  <c r="H130" i="3" s="1"/>
  <c r="I130" i="2"/>
  <c r="H129" i="3" s="1"/>
  <c r="I159" i="2"/>
  <c r="H158" i="3" s="1"/>
  <c r="I142" i="2"/>
  <c r="H141" i="3" s="1"/>
  <c r="I126" i="2"/>
  <c r="H125" i="3" s="1"/>
  <c r="I133" i="2"/>
  <c r="H132" i="3" s="1"/>
  <c r="I128" i="2"/>
  <c r="H127" i="3" s="1"/>
  <c r="I141" i="2"/>
  <c r="H140" i="3" s="1"/>
  <c r="I150" i="2"/>
  <c r="H149" i="3" s="1"/>
  <c r="I158" i="2"/>
  <c r="H157" i="3" s="1"/>
  <c r="I157" i="2"/>
  <c r="H156" i="3" s="1"/>
  <c r="I139" i="2"/>
  <c r="H138" i="3" s="1"/>
  <c r="I161" i="2"/>
  <c r="H160" i="3" s="1"/>
  <c r="I156" i="2"/>
  <c r="H155" i="3" s="1"/>
  <c r="I144" i="2"/>
  <c r="H143" i="3" s="1"/>
  <c r="I143" i="2"/>
  <c r="H142" i="3" s="1"/>
  <c r="I125" i="2"/>
  <c r="H124" i="3" s="1"/>
  <c r="I155" i="2"/>
  <c r="H154" i="3" s="1"/>
  <c r="I154" i="2"/>
  <c r="H153" i="3" s="1"/>
  <c r="I138" i="2"/>
  <c r="H137" i="3" s="1"/>
  <c r="I153" i="2"/>
  <c r="H152" i="3" s="1"/>
  <c r="I137" i="2"/>
  <c r="H136" i="3" s="1"/>
  <c r="I151" i="2"/>
  <c r="H150" i="3" s="1"/>
  <c r="I134" i="2"/>
  <c r="H133" i="3" s="1"/>
  <c r="I147" i="2"/>
  <c r="H146" i="3" s="1"/>
  <c r="I146" i="2"/>
  <c r="H145" i="3" s="1"/>
  <c r="I140" i="2"/>
  <c r="H139" i="3" s="1"/>
  <c r="I152" i="2"/>
  <c r="H151" i="3" s="1"/>
  <c r="I136" i="2"/>
  <c r="H135" i="3" s="1"/>
  <c r="H197" i="3" l="1"/>
  <c r="I149" i="2"/>
  <c r="H148" i="3" s="1"/>
  <c r="I129" i="2"/>
  <c r="H128" i="3" s="1"/>
  <c r="J133" i="2" l="1"/>
  <c r="X133" i="2" s="1"/>
  <c r="J142" i="2"/>
  <c r="X142" i="2" s="1"/>
  <c r="J135" i="2"/>
  <c r="X135" i="2" s="1"/>
  <c r="J155" i="2"/>
  <c r="X155" i="2" s="1"/>
  <c r="J156" i="2"/>
  <c r="X156" i="2" s="1"/>
  <c r="J153" i="2"/>
  <c r="X153" i="2" s="1"/>
  <c r="J125" i="2"/>
  <c r="X125" i="2" s="1"/>
  <c r="J136" i="2"/>
  <c r="X136" i="2" s="1"/>
  <c r="J128" i="2"/>
  <c r="X128" i="2" s="1"/>
  <c r="J130" i="2"/>
  <c r="X130" i="2" s="1"/>
  <c r="J145" i="2"/>
  <c r="X145" i="2" s="1"/>
  <c r="J127" i="2"/>
  <c r="X127" i="2" s="1"/>
  <c r="J139" i="2"/>
  <c r="X139" i="2" s="1"/>
  <c r="J158" i="2"/>
  <c r="X158" i="2" s="1"/>
  <c r="J140" i="2"/>
  <c r="X140" i="2" s="1"/>
  <c r="J129" i="2"/>
  <c r="X129" i="2" s="1"/>
  <c r="J126" i="2"/>
  <c r="X126" i="2" s="1"/>
  <c r="J134" i="2"/>
  <c r="X134" i="2" s="1"/>
  <c r="J162" i="2"/>
  <c r="X162" i="2" s="1"/>
  <c r="J147" i="2"/>
  <c r="X147" i="2" s="1"/>
  <c r="J141" i="2"/>
  <c r="X141" i="2" s="1"/>
  <c r="J161" i="2"/>
  <c r="X161" i="2" s="1"/>
  <c r="J137" i="2"/>
  <c r="X137" i="2" s="1"/>
  <c r="J131" i="2"/>
  <c r="X131" i="2" s="1"/>
  <c r="J157" i="2"/>
  <c r="X157" i="2" s="1"/>
  <c r="J138" i="2"/>
  <c r="X138" i="2" s="1"/>
  <c r="J151" i="2"/>
  <c r="X151" i="2" s="1"/>
  <c r="J146" i="2"/>
  <c r="X146" i="2" s="1"/>
  <c r="J150" i="2"/>
  <c r="X150" i="2" s="1"/>
  <c r="J148" i="2"/>
  <c r="X148" i="2" s="1"/>
  <c r="J143" i="2"/>
  <c r="X143" i="2" s="1"/>
  <c r="J154" i="2"/>
  <c r="X154" i="2" s="1"/>
  <c r="J160" i="2"/>
  <c r="X160" i="2" s="1"/>
  <c r="J149" i="2"/>
  <c r="X149" i="2" s="1"/>
  <c r="J132" i="2"/>
  <c r="X132" i="2" s="1"/>
  <c r="J152" i="2"/>
  <c r="X152" i="2" s="1"/>
  <c r="J144" i="2"/>
  <c r="X144" i="2" s="1"/>
  <c r="J159" i="2"/>
  <c r="X159" i="2" s="1"/>
  <c r="Y161" i="2" l="1"/>
  <c r="G160" i="3"/>
  <c r="G161" i="3"/>
  <c r="Y162" i="2"/>
  <c r="G126" i="3"/>
  <c r="Y127" i="2"/>
  <c r="Y142" i="2"/>
  <c r="G141" i="3"/>
  <c r="G155" i="3"/>
  <c r="Y156" i="2"/>
  <c r="G133" i="3"/>
  <c r="Y134" i="2"/>
  <c r="Y153" i="2"/>
  <c r="G152" i="3"/>
  <c r="G132" i="3"/>
  <c r="Y133" i="2"/>
  <c r="Y137" i="2"/>
  <c r="G136" i="3"/>
  <c r="Y145" i="2"/>
  <c r="G144" i="3"/>
  <c r="Y147" i="2"/>
  <c r="AA147" i="2" s="1"/>
  <c r="O146" i="3" s="1"/>
  <c r="G146" i="3"/>
  <c r="Y155" i="2"/>
  <c r="G154" i="3"/>
  <c r="Y139" i="2"/>
  <c r="G138" i="3"/>
  <c r="Y159" i="2"/>
  <c r="G158" i="3"/>
  <c r="Y150" i="2"/>
  <c r="G149" i="3"/>
  <c r="Y141" i="2"/>
  <c r="G140" i="3"/>
  <c r="Y130" i="2"/>
  <c r="G129" i="3"/>
  <c r="G134" i="3"/>
  <c r="Y135" i="2"/>
  <c r="Y152" i="2"/>
  <c r="G151" i="3"/>
  <c r="G156" i="3"/>
  <c r="Y157" i="2"/>
  <c r="Y126" i="2"/>
  <c r="G125" i="3"/>
  <c r="G127" i="3"/>
  <c r="Y128" i="2"/>
  <c r="Y131" i="2"/>
  <c r="G130" i="3"/>
  <c r="Y160" i="2"/>
  <c r="G159" i="3"/>
  <c r="G145" i="3"/>
  <c r="Y146" i="2"/>
  <c r="Y151" i="2"/>
  <c r="G150" i="3"/>
  <c r="Y129" i="2"/>
  <c r="G128" i="3"/>
  <c r="Y132" i="2"/>
  <c r="G131" i="3"/>
  <c r="G142" i="3"/>
  <c r="Y143" i="2"/>
  <c r="Y140" i="2"/>
  <c r="G139" i="3"/>
  <c r="Y138" i="2"/>
  <c r="G137" i="3"/>
  <c r="Y148" i="2"/>
  <c r="G147" i="3"/>
  <c r="G135" i="3"/>
  <c r="Y136" i="2"/>
  <c r="Y149" i="2"/>
  <c r="G148" i="3"/>
  <c r="Y144" i="2"/>
  <c r="G143" i="3"/>
  <c r="Y154" i="2"/>
  <c r="G153" i="3"/>
  <c r="Y158" i="2"/>
  <c r="G157" i="3"/>
  <c r="Y125" i="2"/>
  <c r="G124" i="3"/>
  <c r="AB135" i="2" l="1"/>
  <c r="P134" i="3" s="1"/>
  <c r="AA135" i="2"/>
  <c r="M134" i="3"/>
  <c r="AB143" i="2"/>
  <c r="P142" i="3" s="1"/>
  <c r="M142" i="3"/>
  <c r="AA143" i="2"/>
  <c r="AB159" i="2"/>
  <c r="P158" i="3" s="1"/>
  <c r="M158" i="3"/>
  <c r="AA159" i="2"/>
  <c r="AB147" i="2"/>
  <c r="P146" i="3" s="1"/>
  <c r="M146" i="3"/>
  <c r="AB137" i="2"/>
  <c r="P136" i="3" s="1"/>
  <c r="AA137" i="2"/>
  <c r="M136" i="3"/>
  <c r="AB127" i="2"/>
  <c r="P126" i="3" s="1"/>
  <c r="AA127" i="2"/>
  <c r="M126" i="3"/>
  <c r="AB128" i="2"/>
  <c r="P127" i="3" s="1"/>
  <c r="M127" i="3"/>
  <c r="AA128" i="2"/>
  <c r="AB156" i="2"/>
  <c r="P155" i="3" s="1"/>
  <c r="AA156" i="2"/>
  <c r="M155" i="3"/>
  <c r="AB144" i="2"/>
  <c r="P143" i="3" s="1"/>
  <c r="M143" i="3"/>
  <c r="AA144" i="2"/>
  <c r="AB140" i="2"/>
  <c r="P139" i="3" s="1"/>
  <c r="AA140" i="2"/>
  <c r="M139" i="3"/>
  <c r="AB149" i="2"/>
  <c r="P148" i="3" s="1"/>
  <c r="AA149" i="2"/>
  <c r="M148" i="3"/>
  <c r="AB158" i="2"/>
  <c r="P157" i="3" s="1"/>
  <c r="AA158" i="2"/>
  <c r="M157" i="3"/>
  <c r="AA6" i="2"/>
  <c r="AB138" i="2"/>
  <c r="P137" i="3" s="1"/>
  <c r="M137" i="3"/>
  <c r="AA138" i="2"/>
  <c r="AA3" i="2"/>
  <c r="AB162" i="2"/>
  <c r="P161" i="3" s="1"/>
  <c r="AA162" i="2"/>
  <c r="M161" i="3"/>
  <c r="AA5" i="2"/>
  <c r="AB132" i="2"/>
  <c r="P131" i="3" s="1"/>
  <c r="M131" i="3"/>
  <c r="AA132" i="2"/>
  <c r="AB151" i="2"/>
  <c r="P150" i="3" s="1"/>
  <c r="AA151" i="2"/>
  <c r="M150" i="3"/>
  <c r="AB126" i="2"/>
  <c r="P125" i="3" s="1"/>
  <c r="AA126" i="2"/>
  <c r="M125" i="3"/>
  <c r="AB130" i="2"/>
  <c r="P129" i="3" s="1"/>
  <c r="AA130" i="2"/>
  <c r="M129" i="3"/>
  <c r="AA7" i="2"/>
  <c r="AB161" i="2"/>
  <c r="P160" i="3" s="1"/>
  <c r="AA161" i="2"/>
  <c r="M160" i="3"/>
  <c r="AB157" i="2"/>
  <c r="P156" i="3" s="1"/>
  <c r="AA157" i="2"/>
  <c r="M156" i="3"/>
  <c r="AB160" i="2"/>
  <c r="P159" i="3" s="1"/>
  <c r="M159" i="3"/>
  <c r="AA160" i="2"/>
  <c r="AB141" i="2"/>
  <c r="P140" i="3" s="1"/>
  <c r="AA141" i="2"/>
  <c r="M140" i="3"/>
  <c r="AB139" i="2"/>
  <c r="P138" i="3" s="1"/>
  <c r="M138" i="3"/>
  <c r="AA139" i="2"/>
  <c r="AA4" i="2"/>
  <c r="AB146" i="2"/>
  <c r="P145" i="3" s="1"/>
  <c r="AA146" i="2"/>
  <c r="M145" i="3"/>
  <c r="AB131" i="2"/>
  <c r="P130" i="3" s="1"/>
  <c r="AA131" i="2"/>
  <c r="M130" i="3"/>
  <c r="AB152" i="2"/>
  <c r="P151" i="3" s="1"/>
  <c r="M151" i="3"/>
  <c r="AA152" i="2"/>
  <c r="AB145" i="2"/>
  <c r="P144" i="3" s="1"/>
  <c r="AA145" i="2"/>
  <c r="M144" i="3"/>
  <c r="AB153" i="2"/>
  <c r="P152" i="3" s="1"/>
  <c r="AA153" i="2"/>
  <c r="M152" i="3"/>
  <c r="AB125" i="2"/>
  <c r="P124" i="3" s="1"/>
  <c r="AA125" i="2"/>
  <c r="M124" i="3"/>
  <c r="AB129" i="2"/>
  <c r="P128" i="3" s="1"/>
  <c r="AA129" i="2"/>
  <c r="M128" i="3"/>
  <c r="AB142" i="2"/>
  <c r="P141" i="3" s="1"/>
  <c r="AA142" i="2"/>
  <c r="M141" i="3"/>
  <c r="AB150" i="2"/>
  <c r="P149" i="3" s="1"/>
  <c r="AA150" i="2"/>
  <c r="M149" i="3"/>
  <c r="AB155" i="2"/>
  <c r="P154" i="3" s="1"/>
  <c r="AA155" i="2"/>
  <c r="M154" i="3"/>
  <c r="AB154" i="2"/>
  <c r="P153" i="3" s="1"/>
  <c r="M153" i="3"/>
  <c r="AA154" i="2"/>
  <c r="AB148" i="2"/>
  <c r="P147" i="3" s="1"/>
  <c r="AA148" i="2"/>
  <c r="M147" i="3"/>
  <c r="AB136" i="2"/>
  <c r="P135" i="3" s="1"/>
  <c r="AA136" i="2"/>
  <c r="M135" i="3"/>
  <c r="AB133" i="2"/>
  <c r="P132" i="3" s="1"/>
  <c r="AA133" i="2"/>
  <c r="M132" i="3"/>
  <c r="AB134" i="2"/>
  <c r="P133" i="3" s="1"/>
  <c r="AA134" i="2"/>
  <c r="M133" i="3"/>
  <c r="AC192" i="2" l="1"/>
  <c r="B191" i="3" s="1"/>
  <c r="AC191" i="2"/>
  <c r="B190" i="3" s="1"/>
  <c r="AC183" i="2"/>
  <c r="B182" i="3" s="1"/>
  <c r="AC201" i="2"/>
  <c r="B200" i="3" s="1"/>
  <c r="AC193" i="2"/>
  <c r="B192" i="3" s="1"/>
  <c r="AC176" i="2"/>
  <c r="B175" i="3" s="1"/>
  <c r="AC181" i="2"/>
  <c r="B180" i="3" s="1"/>
  <c r="AC174" i="2"/>
  <c r="B173" i="3" s="1"/>
  <c r="AC203" i="2"/>
  <c r="B202" i="3" s="1"/>
  <c r="AC186" i="2"/>
  <c r="B185" i="3" s="1"/>
  <c r="AC187" i="2"/>
  <c r="B186" i="3" s="1"/>
  <c r="AC178" i="2"/>
  <c r="B177" i="3" s="1"/>
  <c r="AC169" i="2"/>
  <c r="B168" i="3" s="1"/>
  <c r="AC175" i="2"/>
  <c r="B174" i="3" s="1"/>
  <c r="AC195" i="2"/>
  <c r="B194" i="3" s="1"/>
  <c r="AC199" i="2"/>
  <c r="B198" i="3" s="1"/>
  <c r="AC168" i="2"/>
  <c r="B167" i="3" s="1"/>
  <c r="AC165" i="2"/>
  <c r="B164" i="3" s="1"/>
  <c r="AC198" i="2"/>
  <c r="B197" i="3" s="1"/>
  <c r="AC167" i="2"/>
  <c r="B166" i="3" s="1"/>
  <c r="AC190" i="2"/>
  <c r="B189" i="3" s="1"/>
  <c r="AC173" i="2"/>
  <c r="B172" i="3" s="1"/>
  <c r="AC166" i="2"/>
  <c r="B165" i="3" s="1"/>
  <c r="O112" i="3"/>
  <c r="AC129" i="2"/>
  <c r="B128" i="3" s="1"/>
  <c r="O128" i="3"/>
  <c r="O153" i="3"/>
  <c r="AC154" i="2"/>
  <c r="B153" i="3" s="1"/>
  <c r="O141" i="3"/>
  <c r="AC142" i="2"/>
  <c r="B141" i="3" s="1"/>
  <c r="O140" i="3"/>
  <c r="AC141" i="2"/>
  <c r="B140" i="3" s="1"/>
  <c r="O125" i="3"/>
  <c r="AC126" i="2"/>
  <c r="B125" i="3" s="1"/>
  <c r="O157" i="3"/>
  <c r="AC158" i="2"/>
  <c r="B157" i="3" s="1"/>
  <c r="O126" i="3"/>
  <c r="AC127" i="2"/>
  <c r="B126" i="3" s="1"/>
  <c r="AC153" i="2"/>
  <c r="B152" i="3" s="1"/>
  <c r="O152" i="3"/>
  <c r="O151" i="3"/>
  <c r="AC152" i="2"/>
  <c r="B151" i="3" s="1"/>
  <c r="O161" i="3"/>
  <c r="AC162" i="2"/>
  <c r="B161" i="3" s="1"/>
  <c r="O159" i="3"/>
  <c r="AC160" i="2"/>
  <c r="B159" i="3" s="1"/>
  <c r="O135" i="3"/>
  <c r="AC136" i="2"/>
  <c r="B135" i="3" s="1"/>
  <c r="O150" i="3"/>
  <c r="AC151" i="2"/>
  <c r="B150" i="3" s="1"/>
  <c r="O158" i="3"/>
  <c r="AC159" i="2"/>
  <c r="B158" i="3" s="1"/>
  <c r="O130" i="3"/>
  <c r="AC131" i="2"/>
  <c r="B130" i="3" s="1"/>
  <c r="O144" i="3"/>
  <c r="AC145" i="2"/>
  <c r="B144" i="3" s="1"/>
  <c r="O131" i="3"/>
  <c r="AC132" i="2"/>
  <c r="B131" i="3" s="1"/>
  <c r="O134" i="3"/>
  <c r="AC135" i="2"/>
  <c r="B134" i="3" s="1"/>
  <c r="O132" i="3"/>
  <c r="AC133" i="2"/>
  <c r="B132" i="3" s="1"/>
  <c r="O154" i="3"/>
  <c r="AC155" i="2"/>
  <c r="B154" i="3" s="1"/>
  <c r="O137" i="3"/>
  <c r="AC138" i="2"/>
  <c r="B137" i="3" s="1"/>
  <c r="O156" i="3"/>
  <c r="AC157" i="2"/>
  <c r="B156" i="3" s="1"/>
  <c r="O160" i="3"/>
  <c r="AC161" i="2"/>
  <c r="B160" i="3" s="1"/>
  <c r="O38" i="3"/>
  <c r="O143" i="3"/>
  <c r="AC144" i="2"/>
  <c r="B143" i="3" s="1"/>
  <c r="O74" i="3"/>
  <c r="O147" i="3"/>
  <c r="AC148" i="2"/>
  <c r="B147" i="3" s="1"/>
  <c r="O149" i="3"/>
  <c r="AC150" i="2"/>
  <c r="B149" i="3" s="1"/>
  <c r="O124" i="3"/>
  <c r="AC125" i="2"/>
  <c r="B124" i="3" s="1"/>
  <c r="O148" i="3"/>
  <c r="AC149" i="2"/>
  <c r="B148" i="3" s="1"/>
  <c r="O127" i="3"/>
  <c r="AC128" i="2"/>
  <c r="B127" i="3" s="1"/>
  <c r="O145" i="3"/>
  <c r="AC146" i="2"/>
  <c r="B145" i="3" s="1"/>
  <c r="AC147" i="2"/>
  <c r="B146" i="3" s="1"/>
  <c r="O109" i="3"/>
  <c r="O133" i="3"/>
  <c r="AC134" i="2"/>
  <c r="B133" i="3" s="1"/>
  <c r="O138" i="3"/>
  <c r="AC139" i="2"/>
  <c r="B138" i="3" s="1"/>
  <c r="O155" i="3"/>
  <c r="AC156" i="2"/>
  <c r="B155" i="3" s="1"/>
  <c r="AC143" i="2"/>
  <c r="B142" i="3" s="1"/>
  <c r="O142" i="3"/>
  <c r="O129" i="3"/>
  <c r="AC130" i="2"/>
  <c r="B129" i="3" s="1"/>
  <c r="O90" i="3"/>
  <c r="O139" i="3"/>
  <c r="AC140" i="2"/>
  <c r="B139" i="3" s="1"/>
  <c r="O136" i="3"/>
  <c r="AC137" i="2"/>
  <c r="B136" i="3" s="1"/>
  <c r="T20" i="2" l="1"/>
  <c r="T58" i="2"/>
  <c r="T34" i="2"/>
  <c r="T33" i="2"/>
  <c r="T123" i="2"/>
  <c r="T81" i="2"/>
  <c r="T111" i="2"/>
  <c r="T70" i="2"/>
  <c r="T18" i="2"/>
  <c r="T75" i="2"/>
  <c r="T49" i="2"/>
  <c r="T85" i="2"/>
  <c r="T13" i="2"/>
  <c r="T53" i="2"/>
  <c r="T24" i="2"/>
  <c r="T122" i="2"/>
  <c r="T106" i="2"/>
  <c r="T105" i="2"/>
  <c r="T104" i="2"/>
  <c r="T103" i="2"/>
  <c r="T124" i="2"/>
  <c r="T37" i="2"/>
  <c r="T102" i="2"/>
  <c r="T48" i="2"/>
  <c r="T82" i="2"/>
  <c r="T120" i="2"/>
  <c r="T47" i="2"/>
  <c r="T41" i="2"/>
  <c r="T108" i="2"/>
  <c r="T72" i="2"/>
  <c r="T83" i="2"/>
  <c r="T15" i="2"/>
  <c r="T112" i="2"/>
  <c r="T107" i="2"/>
  <c r="T88" i="2"/>
  <c r="T113" i="2"/>
  <c r="T78" i="2"/>
  <c r="T16" i="2"/>
  <c r="T25" i="2"/>
  <c r="T74" i="2"/>
  <c r="T68" i="2"/>
  <c r="T5" i="2"/>
  <c r="T27" i="2"/>
  <c r="T44" i="2"/>
  <c r="T96" i="2"/>
  <c r="T90" i="2"/>
  <c r="T80" i="2"/>
  <c r="T67" i="2"/>
  <c r="T87" i="2"/>
  <c r="T32" i="2"/>
  <c r="T19" i="2"/>
  <c r="T64" i="2"/>
  <c r="T30" i="2"/>
  <c r="T56" i="2"/>
  <c r="T99" i="2"/>
  <c r="T11" i="2"/>
  <c r="T118" i="2"/>
  <c r="T77" i="2"/>
  <c r="T51" i="2"/>
  <c r="T60" i="2"/>
  <c r="T43" i="2"/>
  <c r="T95" i="2"/>
  <c r="T4" i="2"/>
  <c r="T116" i="2"/>
  <c r="T117" i="2"/>
  <c r="T63" i="2"/>
  <c r="T92" i="2"/>
  <c r="T38" i="2"/>
  <c r="T62" i="2"/>
  <c r="T57" i="2"/>
  <c r="T31" i="2"/>
  <c r="T94" i="2"/>
  <c r="T29" i="2"/>
  <c r="T93" i="2"/>
  <c r="T69" i="2"/>
  <c r="T50" i="2"/>
  <c r="T86" i="2"/>
  <c r="T76" i="2"/>
  <c r="T55" i="2"/>
  <c r="T109" i="2"/>
  <c r="T36" i="2"/>
  <c r="T59" i="2"/>
  <c r="T61" i="2"/>
  <c r="T71" i="2"/>
  <c r="T45" i="2"/>
  <c r="T14" i="2"/>
  <c r="T8" i="2"/>
  <c r="T110" i="2"/>
  <c r="T10" i="2"/>
  <c r="T35" i="2"/>
  <c r="T42" i="2"/>
  <c r="T7" i="2"/>
  <c r="T66" i="2"/>
  <c r="T65" i="2"/>
  <c r="T39" i="2"/>
  <c r="T23" i="2"/>
  <c r="T40" i="2"/>
  <c r="T73" i="2"/>
  <c r="T84" i="2"/>
  <c r="T98" i="2"/>
  <c r="T121" i="2"/>
  <c r="T6" i="2"/>
  <c r="T26" i="2"/>
  <c r="T17" i="2"/>
  <c r="T79" i="2"/>
  <c r="T100" i="2"/>
  <c r="T115" i="2"/>
  <c r="T91" i="2"/>
  <c r="T54" i="2"/>
  <c r="T22" i="2"/>
  <c r="T46" i="2"/>
  <c r="T28" i="2"/>
  <c r="T101" i="2"/>
  <c r="T9" i="2"/>
  <c r="T114" i="2"/>
  <c r="T89" i="2"/>
  <c r="T52" i="2"/>
  <c r="T3" i="2"/>
  <c r="T21" i="2"/>
  <c r="T119" i="2"/>
  <c r="U12" i="2" l="1"/>
  <c r="L82" i="3" s="1"/>
  <c r="T12" i="2"/>
  <c r="U97" i="2"/>
  <c r="L94" i="3" s="1"/>
  <c r="T97" i="2"/>
  <c r="U114" i="2"/>
  <c r="L3" i="3" s="1"/>
  <c r="U8" i="2"/>
  <c r="L57" i="3" s="1"/>
  <c r="U86" i="2"/>
  <c r="L66" i="3" s="1"/>
  <c r="U115" i="2"/>
  <c r="L108" i="3" s="1"/>
  <c r="U30" i="2"/>
  <c r="L23" i="3" s="1"/>
  <c r="U67" i="2"/>
  <c r="L85" i="3" s="1"/>
  <c r="U25" i="2"/>
  <c r="L119" i="3" s="1"/>
  <c r="U102" i="2"/>
  <c r="L101" i="3" s="1"/>
  <c r="U101" i="2"/>
  <c r="L41" i="3" s="1"/>
  <c r="U54" i="2"/>
  <c r="L44" i="3" s="1"/>
  <c r="U39" i="2"/>
  <c r="L9" i="3" s="1"/>
  <c r="U10" i="2"/>
  <c r="L56" i="3" s="1"/>
  <c r="U90" i="2"/>
  <c r="L117" i="3" s="1"/>
  <c r="U100" i="2"/>
  <c r="L46" i="3" s="1"/>
  <c r="U121" i="2"/>
  <c r="L49" i="3" s="1"/>
  <c r="U98" i="2"/>
  <c r="L50" i="3" s="1"/>
  <c r="U61" i="2"/>
  <c r="L60" i="3" s="1"/>
  <c r="U109" i="2"/>
  <c r="L63" i="3" s="1"/>
  <c r="U44" i="2"/>
  <c r="L88" i="3" s="1"/>
  <c r="U22" i="2"/>
  <c r="L43" i="3" s="1"/>
  <c r="U26" i="2"/>
  <c r="L48" i="3" s="1"/>
  <c r="U73" i="2"/>
  <c r="L8" i="3" s="1"/>
  <c r="U35" i="2"/>
  <c r="L55" i="3" s="1"/>
  <c r="U110" i="2"/>
  <c r="L11" i="3" s="1"/>
  <c r="U77" i="2"/>
  <c r="L78" i="3" s="1"/>
  <c r="U74" i="2"/>
  <c r="L118" i="3" s="1"/>
  <c r="U83" i="2"/>
  <c r="L96" i="3" s="1"/>
  <c r="U48" i="2"/>
  <c r="L100" i="3" s="1"/>
  <c r="U103" i="2"/>
  <c r="L102" i="3" s="1"/>
  <c r="U46" i="2"/>
  <c r="L42" i="3" s="1"/>
  <c r="U117" i="2"/>
  <c r="L20" i="3" s="1"/>
  <c r="U88" i="2"/>
  <c r="L121" i="3" s="1"/>
  <c r="U21" i="2"/>
  <c r="L37" i="3" s="1"/>
  <c r="U89" i="2"/>
  <c r="L39" i="3" s="1"/>
  <c r="U65" i="2"/>
  <c r="L52" i="3" s="1"/>
  <c r="U76" i="2"/>
  <c r="L65" i="3" s="1"/>
  <c r="U50" i="2"/>
  <c r="L67" i="3" s="1"/>
  <c r="U17" i="2"/>
  <c r="L6" i="3" s="1"/>
  <c r="U59" i="2"/>
  <c r="L61" i="3" s="1"/>
  <c r="U55" i="2"/>
  <c r="L64" i="3" s="1"/>
  <c r="U69" i="2"/>
  <c r="L15" i="3" s="1"/>
  <c r="U29" i="2"/>
  <c r="L16" i="3" s="1"/>
  <c r="U92" i="2"/>
  <c r="L19" i="3" s="1"/>
  <c r="U116" i="2"/>
  <c r="L22" i="3" s="1"/>
  <c r="U95" i="2"/>
  <c r="L75" i="3" s="1"/>
  <c r="U87" i="2"/>
  <c r="L84" i="3" s="1"/>
  <c r="U41" i="2"/>
  <c r="L32" i="3" s="1"/>
  <c r="U47" i="2"/>
  <c r="L99" i="3" s="1"/>
  <c r="U120" i="2"/>
  <c r="L33" i="3" s="1"/>
  <c r="U91" i="2"/>
  <c r="L45" i="3" s="1"/>
  <c r="U14" i="2"/>
  <c r="L58" i="3" s="1"/>
  <c r="U36" i="2"/>
  <c r="L62" i="3" s="1"/>
  <c r="U94" i="2"/>
  <c r="L69" i="3" s="1"/>
  <c r="U63" i="2"/>
  <c r="L73" i="3" s="1"/>
  <c r="U51" i="2"/>
  <c r="L77" i="3" s="1"/>
  <c r="U16" i="2"/>
  <c r="L92" i="3" s="1"/>
  <c r="U79" i="2"/>
  <c r="L47" i="3" s="1"/>
  <c r="U40" i="2"/>
  <c r="L51" i="3" s="1"/>
  <c r="U66" i="2"/>
  <c r="L53" i="3" s="1"/>
  <c r="U93" i="2"/>
  <c r="L68" i="3" s="1"/>
  <c r="U43" i="2"/>
  <c r="L76" i="3" s="1"/>
  <c r="U57" i="2"/>
  <c r="L18" i="3" s="1"/>
  <c r="U19" i="2"/>
  <c r="L24" i="3" s="1"/>
  <c r="U96" i="2"/>
  <c r="L87" i="3" s="1"/>
  <c r="U78" i="2"/>
  <c r="L93" i="3" s="1"/>
  <c r="U107" i="2"/>
  <c r="L29" i="3" s="1"/>
  <c r="U82" i="2"/>
  <c r="L34" i="3" s="1"/>
  <c r="U104" i="2"/>
  <c r="L103" i="3" s="1"/>
  <c r="U24" i="2"/>
  <c r="L5" i="3" s="1"/>
  <c r="U60" i="2"/>
  <c r="L114" i="3" s="1"/>
  <c r="U11" i="2"/>
  <c r="L80" i="3" s="1"/>
  <c r="U32" i="2"/>
  <c r="L83" i="3" s="1"/>
  <c r="U80" i="2"/>
  <c r="L86" i="3" s="1"/>
  <c r="U42" i="2"/>
  <c r="L54" i="3" s="1"/>
  <c r="U71" i="2"/>
  <c r="L59" i="3" s="1"/>
  <c r="U31" i="2"/>
  <c r="L70" i="3" s="1"/>
  <c r="U62" i="2"/>
  <c r="L71" i="3" s="1"/>
  <c r="U38" i="2"/>
  <c r="L72" i="3" s="1"/>
  <c r="U118" i="2"/>
  <c r="L79" i="3" s="1"/>
  <c r="U64" i="2"/>
  <c r="L81" i="3" s="1"/>
  <c r="U108" i="2"/>
  <c r="L98" i="3" s="1"/>
  <c r="U124" i="2"/>
  <c r="L123" i="3" s="1"/>
  <c r="U99" i="2"/>
  <c r="L115" i="3" s="1"/>
  <c r="U113" i="2"/>
  <c r="L120" i="3" s="1"/>
  <c r="U72" i="2"/>
  <c r="L97" i="3" s="1"/>
  <c r="U122" i="2"/>
  <c r="L4" i="3" s="1"/>
  <c r="U13" i="2"/>
  <c r="L10" i="3" s="1"/>
  <c r="U85" i="2"/>
  <c r="L12" i="3" s="1"/>
  <c r="U75" i="2"/>
  <c r="L14" i="3" s="1"/>
  <c r="U81" i="2"/>
  <c r="L26" i="3" s="1"/>
  <c r="U33" i="2"/>
  <c r="L28" i="3" s="1"/>
  <c r="U34" i="2"/>
  <c r="L30" i="3" s="1"/>
  <c r="U23" i="2"/>
  <c r="L111" i="3" s="1"/>
  <c r="U45" i="2"/>
  <c r="L113" i="3" s="1"/>
  <c r="U56" i="2"/>
  <c r="L116" i="3" s="1"/>
  <c r="U15" i="2"/>
  <c r="L122" i="3" s="1"/>
  <c r="U27" i="2"/>
  <c r="L89" i="3" s="1"/>
  <c r="U112" i="2"/>
  <c r="L95" i="3" s="1"/>
  <c r="U106" i="2"/>
  <c r="L105" i="3" s="1"/>
  <c r="U53" i="2"/>
  <c r="L7" i="3" s="1"/>
  <c r="U49" i="2"/>
  <c r="L13" i="3" s="1"/>
  <c r="U70" i="2"/>
  <c r="L21" i="3" s="1"/>
  <c r="U111" i="2"/>
  <c r="L25" i="3" s="1"/>
  <c r="U123" i="2"/>
  <c r="L27" i="3" s="1"/>
  <c r="U58" i="2"/>
  <c r="L31" i="3" s="1"/>
  <c r="U20" i="2"/>
  <c r="L35" i="3" s="1"/>
  <c r="U28" i="2"/>
  <c r="L107" i="3" s="1"/>
  <c r="U68" i="2"/>
  <c r="L91" i="3" s="1"/>
  <c r="V5" i="2" l="1"/>
  <c r="U5" i="2"/>
  <c r="V6" i="2"/>
  <c r="U6" i="2"/>
  <c r="V37" i="2"/>
  <c r="U37" i="2"/>
  <c r="U9" i="2"/>
  <c r="V4" i="2"/>
  <c r="U4" i="2"/>
  <c r="U84" i="2"/>
  <c r="V3" i="2"/>
  <c r="U3" i="2"/>
  <c r="V105" i="2"/>
  <c r="U105" i="2"/>
  <c r="U52" i="2"/>
  <c r="V7" i="2"/>
  <c r="U7" i="2"/>
  <c r="U18" i="2"/>
  <c r="U119" i="2"/>
  <c r="V124" i="2"/>
  <c r="L17" i="3" l="1"/>
  <c r="L104" i="3"/>
  <c r="L2" i="3"/>
  <c r="L112" i="3"/>
  <c r="L38" i="3"/>
  <c r="L40" i="3"/>
  <c r="L110" i="3"/>
  <c r="L109" i="3"/>
  <c r="L36" i="3"/>
  <c r="L106" i="3"/>
  <c r="L74" i="3"/>
  <c r="L90" i="3"/>
  <c r="V88" i="2"/>
  <c r="V113" i="2"/>
  <c r="V25" i="2"/>
  <c r="V74" i="2"/>
  <c r="V90" i="2"/>
  <c r="V15" i="2"/>
  <c r="V99" i="2"/>
  <c r="V56" i="2"/>
  <c r="V103" i="2"/>
  <c r="V45" i="2"/>
  <c r="V104" i="2"/>
  <c r="V60" i="2"/>
  <c r="V102" i="2"/>
  <c r="V23" i="2"/>
  <c r="V84" i="2"/>
  <c r="V115" i="2"/>
  <c r="V52" i="2"/>
  <c r="V28" i="2"/>
  <c r="V106" i="2"/>
  <c r="V48" i="2"/>
  <c r="V47" i="2"/>
  <c r="V108" i="2"/>
  <c r="V72" i="2"/>
  <c r="V83" i="2"/>
  <c r="V112" i="2"/>
  <c r="V97" i="2"/>
  <c r="V78" i="2"/>
  <c r="V16" i="2"/>
  <c r="V68" i="2"/>
  <c r="V27" i="2"/>
  <c r="V80" i="2"/>
  <c r="V44" i="2"/>
  <c r="V96" i="2"/>
  <c r="V67" i="2"/>
  <c r="V87" i="2"/>
  <c r="V32" i="2"/>
  <c r="V12" i="2"/>
  <c r="V11" i="2"/>
  <c r="V64" i="2"/>
  <c r="V118" i="2"/>
  <c r="V77" i="2"/>
  <c r="V51" i="2"/>
  <c r="V43" i="2"/>
  <c r="V95" i="2"/>
  <c r="V63" i="2"/>
  <c r="V94" i="2"/>
  <c r="V31" i="2"/>
  <c r="V38" i="2"/>
  <c r="V62" i="2"/>
  <c r="V93" i="2"/>
  <c r="V86" i="2"/>
  <c r="V50" i="2"/>
  <c r="V76" i="2"/>
  <c r="V55" i="2"/>
  <c r="V109" i="2"/>
  <c r="V36" i="2"/>
  <c r="V59" i="2"/>
  <c r="V61" i="2"/>
  <c r="V71" i="2"/>
  <c r="V14" i="2"/>
  <c r="V8" i="2"/>
  <c r="V10" i="2"/>
  <c r="V114" i="2"/>
  <c r="V110" i="2"/>
  <c r="V92" i="2"/>
  <c r="V123" i="2"/>
  <c r="V20" i="2"/>
  <c r="V22" i="2"/>
  <c r="V40" i="2"/>
  <c r="V119" i="2"/>
  <c r="V122" i="2"/>
  <c r="V85" i="2"/>
  <c r="V117" i="2"/>
  <c r="V33" i="2"/>
  <c r="V54" i="2"/>
  <c r="V65" i="2"/>
  <c r="V24" i="2"/>
  <c r="V49" i="2"/>
  <c r="V70" i="2"/>
  <c r="V107" i="2"/>
  <c r="V21" i="2"/>
  <c r="V91" i="2"/>
  <c r="V66" i="2"/>
  <c r="V17" i="2"/>
  <c r="V75" i="2"/>
  <c r="V116" i="2"/>
  <c r="V34" i="2"/>
  <c r="V100" i="2"/>
  <c r="V42" i="2"/>
  <c r="V53" i="2"/>
  <c r="V69" i="2"/>
  <c r="V30" i="2"/>
  <c r="V58" i="2"/>
  <c r="V89" i="2"/>
  <c r="V79" i="2"/>
  <c r="V73" i="2"/>
  <c r="V29" i="2"/>
  <c r="V19" i="2"/>
  <c r="V41" i="2"/>
  <c r="V9" i="2"/>
  <c r="V26" i="2"/>
  <c r="V39" i="2"/>
  <c r="V18" i="2"/>
  <c r="V111" i="2"/>
  <c r="V120" i="2"/>
  <c r="V101" i="2"/>
  <c r="V121" i="2"/>
  <c r="V13" i="2"/>
  <c r="V57" i="2"/>
  <c r="V81" i="2"/>
  <c r="V82" i="2"/>
  <c r="V46" i="2"/>
  <c r="V98" i="2"/>
  <c r="V35" i="2"/>
  <c r="K73" i="2" l="1"/>
  <c r="K105" i="2"/>
  <c r="K41" i="2"/>
  <c r="K61" i="2"/>
  <c r="K84" i="2" l="1"/>
  <c r="K62" i="2"/>
  <c r="K119" i="2"/>
  <c r="K89" i="2"/>
  <c r="K21" i="2"/>
  <c r="K6" i="2"/>
  <c r="K63" i="2"/>
  <c r="K4" i="2"/>
  <c r="K71" i="2"/>
  <c r="K60" i="2"/>
  <c r="K12" i="2"/>
  <c r="K11" i="2"/>
  <c r="K107" i="2"/>
  <c r="K95" i="2"/>
  <c r="K77" i="2"/>
  <c r="K50" i="2"/>
  <c r="K113" i="2"/>
  <c r="K22" i="2"/>
  <c r="K45" i="2"/>
  <c r="K24" i="2"/>
  <c r="K54" i="2"/>
  <c r="K58" i="2"/>
  <c r="K33" i="2"/>
  <c r="K69" i="2"/>
  <c r="K27" i="2"/>
  <c r="K106" i="2"/>
  <c r="K55" i="2"/>
  <c r="K15" i="2"/>
  <c r="K74" i="2"/>
  <c r="K120" i="2"/>
  <c r="K30" i="2"/>
  <c r="K92" i="2"/>
  <c r="K91" i="2"/>
  <c r="K51" i="2"/>
  <c r="K81" i="2"/>
  <c r="K124" i="2"/>
  <c r="K25" i="2"/>
  <c r="K90" i="2"/>
  <c r="K103" i="2"/>
  <c r="K53" i="2"/>
  <c r="K17" i="2"/>
  <c r="K13" i="2"/>
  <c r="K112" i="2"/>
  <c r="K38" i="2"/>
  <c r="K123" i="2"/>
  <c r="K31" i="2"/>
  <c r="K10" i="2"/>
  <c r="K88" i="2"/>
  <c r="K115" i="2"/>
  <c r="K104" i="2"/>
  <c r="K47" i="2"/>
  <c r="K64" i="2"/>
  <c r="K118" i="2"/>
  <c r="K43" i="2"/>
  <c r="K101" i="2"/>
  <c r="K82" i="2"/>
  <c r="K28" i="2"/>
  <c r="K111" i="2"/>
  <c r="K83" i="2"/>
  <c r="K5" i="2"/>
  <c r="K59" i="2"/>
  <c r="K99" i="2"/>
  <c r="K52" i="2"/>
  <c r="K116" i="2"/>
  <c r="K86" i="2"/>
  <c r="K109" i="2"/>
  <c r="K65" i="2"/>
  <c r="K100" i="2"/>
  <c r="K57" i="2"/>
  <c r="K85" i="2"/>
  <c r="K40" i="2"/>
  <c r="K70" i="2"/>
  <c r="K16" i="2"/>
  <c r="K32" i="2"/>
  <c r="K20" i="2"/>
  <c r="K36" i="2"/>
  <c r="K98" i="2"/>
  <c r="K68" i="2"/>
  <c r="K67" i="2"/>
  <c r="K122" i="2"/>
  <c r="K96" i="2"/>
  <c r="K79" i="2"/>
  <c r="K93" i="2"/>
  <c r="K76" i="2"/>
  <c r="K46" i="2"/>
  <c r="K37" i="2"/>
  <c r="K108" i="2"/>
  <c r="K110" i="2"/>
  <c r="K39" i="2"/>
  <c r="K44" i="2"/>
  <c r="K3" i="2"/>
  <c r="K29" i="2"/>
  <c r="K75" i="2"/>
  <c r="K87" i="2"/>
  <c r="K34" i="2"/>
  <c r="K19" i="2"/>
  <c r="K14" i="2"/>
  <c r="K102" i="2"/>
  <c r="K80" i="2"/>
  <c r="K114" i="2"/>
  <c r="K8" i="2"/>
  <c r="K42" i="2"/>
  <c r="K117" i="2"/>
  <c r="K26" i="2"/>
  <c r="K121" i="2"/>
  <c r="K56" i="2"/>
  <c r="K9" i="2"/>
  <c r="K48" i="2"/>
  <c r="K72" i="2"/>
  <c r="K97" i="2"/>
  <c r="K18" i="2"/>
  <c r="K49" i="2"/>
  <c r="K94" i="2"/>
  <c r="K35" i="2"/>
  <c r="K66" i="2"/>
  <c r="K7" i="2"/>
  <c r="K23" i="2"/>
  <c r="K78" i="2"/>
  <c r="L54" i="2" l="1"/>
  <c r="L113" i="2"/>
  <c r="L10" i="2"/>
  <c r="I56" i="3" l="1"/>
  <c r="I120" i="3"/>
  <c r="I44" i="3"/>
  <c r="L114" i="2"/>
  <c r="L119" i="2"/>
  <c r="I2" i="3" l="1"/>
  <c r="I3" i="3"/>
  <c r="L20" i="2" l="1"/>
  <c r="L32" i="2"/>
  <c r="L60" i="2"/>
  <c r="L108" i="2"/>
  <c r="L12" i="2"/>
  <c r="L86" i="2"/>
  <c r="L121" i="2"/>
  <c r="L41" i="2"/>
  <c r="L29" i="2"/>
  <c r="L67" i="2"/>
  <c r="L56" i="2"/>
  <c r="L82" i="2"/>
  <c r="L18" i="2"/>
  <c r="L76" i="2"/>
  <c r="L83" i="2"/>
  <c r="L118" i="2"/>
  <c r="L109" i="2"/>
  <c r="L100" i="2"/>
  <c r="L107" i="2"/>
  <c r="L49" i="2"/>
  <c r="L92" i="2"/>
  <c r="L72" i="2"/>
  <c r="L79" i="2"/>
  <c r="L36" i="2"/>
  <c r="L33" i="2"/>
  <c r="L85" i="2"/>
  <c r="L102" i="2"/>
  <c r="L87" i="2"/>
  <c r="L98" i="2"/>
  <c r="L26" i="2"/>
  <c r="L55" i="2"/>
  <c r="L78" i="2"/>
  <c r="L51" i="2"/>
  <c r="L59" i="2"/>
  <c r="L22" i="2"/>
  <c r="L123" i="2"/>
  <c r="L110" i="2"/>
  <c r="L48" i="2"/>
  <c r="L50" i="2"/>
  <c r="L112" i="2"/>
  <c r="L115" i="2"/>
  <c r="L16" i="2"/>
  <c r="L43" i="2"/>
  <c r="L61" i="2"/>
  <c r="L46" i="2"/>
  <c r="L81" i="2"/>
  <c r="L13" i="2"/>
  <c r="L64" i="2"/>
  <c r="L11" i="2"/>
  <c r="L28" i="2"/>
  <c r="L68" i="2"/>
  <c r="L95" i="2"/>
  <c r="L71" i="2"/>
  <c r="L101" i="2"/>
  <c r="L111" i="2"/>
  <c r="L39" i="2"/>
  <c r="L47" i="2"/>
  <c r="L45" i="2"/>
  <c r="L75" i="2"/>
  <c r="L84" i="2"/>
  <c r="L124" i="2"/>
  <c r="L52" i="2"/>
  <c r="L14" i="2"/>
  <c r="L9" i="2"/>
  <c r="L19" i="2"/>
  <c r="L73" i="2"/>
  <c r="L90" i="2"/>
  <c r="L93" i="2"/>
  <c r="L120" i="2"/>
  <c r="L58" i="2"/>
  <c r="L34" i="2"/>
  <c r="L97" i="2"/>
  <c r="L27" i="2"/>
  <c r="L63" i="2"/>
  <c r="L8" i="2"/>
  <c r="L89" i="2"/>
  <c r="L30" i="2"/>
  <c r="L53" i="2"/>
  <c r="L94" i="2"/>
  <c r="L57" i="2"/>
  <c r="L77" i="2"/>
  <c r="L17" i="2"/>
  <c r="L65" i="2"/>
  <c r="L40" i="2"/>
  <c r="L69" i="2"/>
  <c r="L23" i="2"/>
  <c r="L15" i="2"/>
  <c r="L44" i="2"/>
  <c r="L38" i="2"/>
  <c r="L35" i="2"/>
  <c r="L116" i="2"/>
  <c r="L25" i="2"/>
  <c r="L104" i="2"/>
  <c r="L96" i="2"/>
  <c r="L62" i="2"/>
  <c r="L42" i="2"/>
  <c r="L21" i="2"/>
  <c r="L70" i="2"/>
  <c r="L24" i="2"/>
  <c r="L99" i="2"/>
  <c r="L91" i="2"/>
  <c r="L106" i="2"/>
  <c r="L88" i="2"/>
  <c r="L74" i="2"/>
  <c r="L103" i="2"/>
  <c r="L80" i="2"/>
  <c r="L31" i="2"/>
  <c r="L66" i="2"/>
  <c r="L117" i="2"/>
  <c r="L122" i="2"/>
  <c r="I22" i="3" l="1"/>
  <c r="I53" i="3"/>
  <c r="I115" i="3"/>
  <c r="I87" i="3"/>
  <c r="I72" i="3"/>
  <c r="I89" i="3"/>
  <c r="I117" i="3"/>
  <c r="I123" i="3"/>
  <c r="I25" i="3"/>
  <c r="I80" i="3"/>
  <c r="I76" i="3"/>
  <c r="I77" i="3"/>
  <c r="I84" i="3"/>
  <c r="I19" i="3"/>
  <c r="I65" i="3"/>
  <c r="I66" i="3"/>
  <c r="I37" i="3"/>
  <c r="I121" i="3"/>
  <c r="I103" i="3"/>
  <c r="I111" i="3"/>
  <c r="I18" i="3"/>
  <c r="I8" i="3"/>
  <c r="I41" i="3"/>
  <c r="I81" i="3"/>
  <c r="I92" i="3"/>
  <c r="I67" i="3"/>
  <c r="I93" i="3"/>
  <c r="I101" i="3"/>
  <c r="I13" i="3"/>
  <c r="I17" i="3"/>
  <c r="I82" i="3"/>
  <c r="I88" i="3"/>
  <c r="I6" i="3"/>
  <c r="I86" i="3"/>
  <c r="I105" i="3"/>
  <c r="I119" i="3"/>
  <c r="M7" i="2"/>
  <c r="L7" i="2"/>
  <c r="M105" i="2"/>
  <c r="L105" i="2"/>
  <c r="I69" i="3"/>
  <c r="I24" i="3"/>
  <c r="I110" i="3"/>
  <c r="I59" i="3"/>
  <c r="I108" i="3"/>
  <c r="I100" i="3"/>
  <c r="M6" i="2"/>
  <c r="L6" i="2"/>
  <c r="I12" i="3"/>
  <c r="I29" i="3"/>
  <c r="I34" i="3"/>
  <c r="I98" i="3"/>
  <c r="I102" i="3"/>
  <c r="I5" i="3"/>
  <c r="I15" i="3"/>
  <c r="I7" i="3"/>
  <c r="I94" i="3"/>
  <c r="I40" i="3"/>
  <c r="I14" i="3"/>
  <c r="I75" i="3"/>
  <c r="I28" i="3"/>
  <c r="I46" i="3"/>
  <c r="I116" i="3"/>
  <c r="I114" i="3"/>
  <c r="I70" i="3"/>
  <c r="I118" i="3"/>
  <c r="I45" i="3"/>
  <c r="I21" i="3"/>
  <c r="I122" i="3"/>
  <c r="I23" i="3"/>
  <c r="I30" i="3"/>
  <c r="I58" i="3"/>
  <c r="I113" i="3"/>
  <c r="I91" i="3"/>
  <c r="I10" i="3"/>
  <c r="I11" i="3"/>
  <c r="I62" i="3"/>
  <c r="I63" i="3"/>
  <c r="I85" i="3"/>
  <c r="I78" i="3"/>
  <c r="I39" i="3"/>
  <c r="I31" i="3"/>
  <c r="M4" i="2"/>
  <c r="L4" i="2"/>
  <c r="I99" i="3"/>
  <c r="I107" i="3"/>
  <c r="I26" i="3"/>
  <c r="I27" i="3"/>
  <c r="I64" i="3"/>
  <c r="I47" i="3"/>
  <c r="I79" i="3"/>
  <c r="I16" i="3"/>
  <c r="I54" i="3"/>
  <c r="M3" i="2"/>
  <c r="L3" i="2"/>
  <c r="I51" i="3"/>
  <c r="I57" i="3"/>
  <c r="I33" i="3"/>
  <c r="M5" i="2"/>
  <c r="L5" i="2"/>
  <c r="I42" i="3"/>
  <c r="I95" i="3"/>
  <c r="I43" i="3"/>
  <c r="I48" i="3"/>
  <c r="I97" i="3"/>
  <c r="I32" i="3"/>
  <c r="I83" i="3"/>
  <c r="I4" i="3"/>
  <c r="I20" i="3"/>
  <c r="M37" i="2"/>
  <c r="L37" i="2"/>
  <c r="I71" i="3"/>
  <c r="I55" i="3"/>
  <c r="I52" i="3"/>
  <c r="I73" i="3"/>
  <c r="I68" i="3"/>
  <c r="I106" i="3"/>
  <c r="I9" i="3"/>
  <c r="I60" i="3"/>
  <c r="I61" i="3"/>
  <c r="I50" i="3"/>
  <c r="I96" i="3"/>
  <c r="I49" i="3"/>
  <c r="I35" i="3"/>
  <c r="I36" i="3" l="1"/>
  <c r="I74" i="3"/>
  <c r="I90" i="3"/>
  <c r="I38" i="3"/>
  <c r="I104" i="3"/>
  <c r="I109" i="3"/>
  <c r="I112" i="3"/>
  <c r="M104" i="2"/>
  <c r="M103" i="2"/>
  <c r="M102" i="2"/>
  <c r="M15" i="2"/>
  <c r="M25" i="2"/>
  <c r="M113" i="2"/>
  <c r="M88" i="2"/>
  <c r="M90" i="2"/>
  <c r="M74" i="2"/>
  <c r="M56" i="2"/>
  <c r="M99" i="2"/>
  <c r="M60" i="2"/>
  <c r="M45" i="2"/>
  <c r="M23" i="2"/>
  <c r="M84" i="2"/>
  <c r="M52" i="2"/>
  <c r="M115" i="2"/>
  <c r="M28" i="2"/>
  <c r="M124" i="2"/>
  <c r="M47" i="2"/>
  <c r="M48" i="2"/>
  <c r="M83" i="2"/>
  <c r="M108" i="2"/>
  <c r="M72" i="2"/>
  <c r="M112" i="2"/>
  <c r="M78" i="2"/>
  <c r="M97" i="2"/>
  <c r="M68" i="2"/>
  <c r="M16" i="2"/>
  <c r="M27" i="2"/>
  <c r="M44" i="2"/>
  <c r="M96" i="2"/>
  <c r="M87" i="2"/>
  <c r="M80" i="2"/>
  <c r="M67" i="2"/>
  <c r="M32" i="2"/>
  <c r="M114" i="2"/>
  <c r="M110" i="2"/>
  <c r="M92" i="2"/>
  <c r="M123" i="2"/>
  <c r="M20" i="2"/>
  <c r="M22" i="2"/>
  <c r="M40" i="2"/>
  <c r="M71" i="2"/>
  <c r="M50" i="2"/>
  <c r="M95" i="2"/>
  <c r="M119" i="2"/>
  <c r="M122" i="2"/>
  <c r="M85" i="2"/>
  <c r="M117" i="2"/>
  <c r="M33" i="2"/>
  <c r="M54" i="2"/>
  <c r="M65" i="2"/>
  <c r="M61" i="2"/>
  <c r="M93" i="2"/>
  <c r="M43" i="2"/>
  <c r="M24" i="2"/>
  <c r="M49" i="2"/>
  <c r="M70" i="2"/>
  <c r="M107" i="2"/>
  <c r="M21" i="2"/>
  <c r="M91" i="2"/>
  <c r="M66" i="2"/>
  <c r="M59" i="2"/>
  <c r="M94" i="2"/>
  <c r="M51" i="2"/>
  <c r="M17" i="2"/>
  <c r="M75" i="2"/>
  <c r="M116" i="2"/>
  <c r="M34" i="2"/>
  <c r="M100" i="2"/>
  <c r="M42" i="2"/>
  <c r="M36" i="2"/>
  <c r="M31" i="2"/>
  <c r="M77" i="2"/>
  <c r="M53" i="2"/>
  <c r="M69" i="2"/>
  <c r="M30" i="2"/>
  <c r="M58" i="2"/>
  <c r="M89" i="2"/>
  <c r="M79" i="2"/>
  <c r="M35" i="2"/>
  <c r="M109" i="2"/>
  <c r="M62" i="2"/>
  <c r="M118" i="2"/>
  <c r="M98" i="2"/>
  <c r="M73" i="2"/>
  <c r="M29" i="2"/>
  <c r="M19" i="2"/>
  <c r="M41" i="2"/>
  <c r="M9" i="2"/>
  <c r="M26" i="2"/>
  <c r="M10" i="2"/>
  <c r="M55" i="2"/>
  <c r="M38" i="2"/>
  <c r="M11" i="2"/>
  <c r="M14" i="2"/>
  <c r="M39" i="2"/>
  <c r="M18" i="2"/>
  <c r="M111" i="2"/>
  <c r="M120" i="2"/>
  <c r="M101" i="2"/>
  <c r="M121" i="2"/>
  <c r="M8" i="2"/>
  <c r="M76" i="2"/>
  <c r="M63" i="2"/>
  <c r="M64" i="2"/>
  <c r="M106" i="2"/>
  <c r="M13" i="2"/>
  <c r="M57" i="2"/>
  <c r="M81" i="2"/>
  <c r="M82" i="2"/>
  <c r="M46" i="2"/>
  <c r="M86" i="2"/>
  <c r="M12" i="2"/>
  <c r="H73" i="2" l="1"/>
  <c r="H105" i="2"/>
  <c r="H41" i="2"/>
  <c r="H61" i="2"/>
  <c r="H84" i="2" l="1"/>
  <c r="H62" i="2"/>
  <c r="H119" i="2"/>
  <c r="H89" i="2"/>
  <c r="H21" i="2"/>
  <c r="H6" i="2"/>
  <c r="H63" i="2"/>
  <c r="H4" i="2"/>
  <c r="H71" i="2"/>
  <c r="H60" i="2"/>
  <c r="H12" i="2"/>
  <c r="H11" i="2"/>
  <c r="H107" i="2"/>
  <c r="H95" i="2"/>
  <c r="H77" i="2"/>
  <c r="H50" i="2"/>
  <c r="H113" i="2"/>
  <c r="H22" i="2"/>
  <c r="H45" i="2"/>
  <c r="H24" i="2"/>
  <c r="H54" i="2"/>
  <c r="H58" i="2"/>
  <c r="H33" i="2"/>
  <c r="H69" i="2"/>
  <c r="H27" i="2"/>
  <c r="H106" i="2"/>
  <c r="H55" i="2"/>
  <c r="H15" i="2"/>
  <c r="H74" i="2"/>
  <c r="H120" i="2"/>
  <c r="H30" i="2"/>
  <c r="H92" i="2"/>
  <c r="H91" i="2"/>
  <c r="H51" i="2"/>
  <c r="H81" i="2"/>
  <c r="H124" i="2"/>
  <c r="H25" i="2"/>
  <c r="H90" i="2"/>
  <c r="H103" i="2"/>
  <c r="H53" i="2"/>
  <c r="H17" i="2"/>
  <c r="H13" i="2"/>
  <c r="H112" i="2"/>
  <c r="H38" i="2"/>
  <c r="H123" i="2"/>
  <c r="H31" i="2"/>
  <c r="H10" i="2"/>
  <c r="H88" i="2"/>
  <c r="H115" i="2"/>
  <c r="H104" i="2"/>
  <c r="H47" i="2"/>
  <c r="H64" i="2"/>
  <c r="H118" i="2"/>
  <c r="H43" i="2"/>
  <c r="H101" i="2"/>
  <c r="H82" i="2"/>
  <c r="H28" i="2"/>
  <c r="H111" i="2"/>
  <c r="H83" i="2"/>
  <c r="H5" i="2"/>
  <c r="H59" i="2"/>
  <c r="H99" i="2"/>
  <c r="H52" i="2"/>
  <c r="H116" i="2"/>
  <c r="H86" i="2"/>
  <c r="H109" i="2"/>
  <c r="H65" i="2"/>
  <c r="H100" i="2"/>
  <c r="H57" i="2"/>
  <c r="H85" i="2"/>
  <c r="H40" i="2"/>
  <c r="H70" i="2"/>
  <c r="H16" i="2"/>
  <c r="H32" i="2"/>
  <c r="H20" i="2"/>
  <c r="H36" i="2"/>
  <c r="H98" i="2"/>
  <c r="H68" i="2"/>
  <c r="H67" i="2"/>
  <c r="H122" i="2"/>
  <c r="H96" i="2"/>
  <c r="H79" i="2"/>
  <c r="H93" i="2"/>
  <c r="H76" i="2"/>
  <c r="H46" i="2"/>
  <c r="H37" i="2"/>
  <c r="H108" i="2"/>
  <c r="H110" i="2"/>
  <c r="H39" i="2"/>
  <c r="H44" i="2"/>
  <c r="H3" i="2"/>
  <c r="H29" i="2"/>
  <c r="H75" i="2"/>
  <c r="H87" i="2"/>
  <c r="H34" i="2"/>
  <c r="H19" i="2"/>
  <c r="H14" i="2"/>
  <c r="H102" i="2"/>
  <c r="H80" i="2"/>
  <c r="H114" i="2"/>
  <c r="H8" i="2"/>
  <c r="H42" i="2"/>
  <c r="H117" i="2"/>
  <c r="H26" i="2"/>
  <c r="H121" i="2"/>
  <c r="H56" i="2"/>
  <c r="H9" i="2"/>
  <c r="H48" i="2"/>
  <c r="H72" i="2"/>
  <c r="H97" i="2"/>
  <c r="H18" i="2"/>
  <c r="H49" i="2"/>
  <c r="H94" i="2"/>
  <c r="H35" i="2"/>
  <c r="H66" i="2"/>
  <c r="H7" i="2"/>
  <c r="H23" i="2"/>
  <c r="H78" i="2"/>
  <c r="I54" i="2" l="1"/>
  <c r="I113" i="2"/>
  <c r="I10" i="2"/>
  <c r="H44" i="3" l="1"/>
  <c r="H56" i="3"/>
  <c r="H120" i="3"/>
  <c r="I114" i="2"/>
  <c r="I119" i="2"/>
  <c r="H2" i="3" l="1"/>
  <c r="H3" i="3"/>
  <c r="I20" i="2" l="1"/>
  <c r="I32" i="2"/>
  <c r="I60" i="2"/>
  <c r="I108" i="2"/>
  <c r="I12" i="2"/>
  <c r="I86" i="2"/>
  <c r="I121" i="2"/>
  <c r="I41" i="2"/>
  <c r="I29" i="2"/>
  <c r="I67" i="2"/>
  <c r="I56" i="2"/>
  <c r="I82" i="2"/>
  <c r="I18" i="2"/>
  <c r="I76" i="2"/>
  <c r="I83" i="2"/>
  <c r="I118" i="2"/>
  <c r="I109" i="2"/>
  <c r="I100" i="2"/>
  <c r="I107" i="2"/>
  <c r="I49" i="2"/>
  <c r="I92" i="2"/>
  <c r="I72" i="2"/>
  <c r="I79" i="2"/>
  <c r="I36" i="2"/>
  <c r="I33" i="2"/>
  <c r="I85" i="2"/>
  <c r="I102" i="2"/>
  <c r="I87" i="2"/>
  <c r="I98" i="2"/>
  <c r="I26" i="2"/>
  <c r="I55" i="2"/>
  <c r="I78" i="2"/>
  <c r="I51" i="2"/>
  <c r="I59" i="2"/>
  <c r="I22" i="2"/>
  <c r="I123" i="2"/>
  <c r="I110" i="2"/>
  <c r="I48" i="2"/>
  <c r="I50" i="2"/>
  <c r="I112" i="2"/>
  <c r="I115" i="2"/>
  <c r="I16" i="2"/>
  <c r="I43" i="2"/>
  <c r="I61" i="2"/>
  <c r="I46" i="2"/>
  <c r="I81" i="2"/>
  <c r="I13" i="2"/>
  <c r="I64" i="2"/>
  <c r="I11" i="2"/>
  <c r="I28" i="2"/>
  <c r="I68" i="2"/>
  <c r="I95" i="2"/>
  <c r="I71" i="2"/>
  <c r="I101" i="2"/>
  <c r="I111" i="2"/>
  <c r="I39" i="2"/>
  <c r="I47" i="2"/>
  <c r="I45" i="2"/>
  <c r="I75" i="2"/>
  <c r="I84" i="2"/>
  <c r="I124" i="2"/>
  <c r="I52" i="2"/>
  <c r="I14" i="2"/>
  <c r="I9" i="2"/>
  <c r="I19" i="2"/>
  <c r="I73" i="2"/>
  <c r="I90" i="2"/>
  <c r="I93" i="2"/>
  <c r="I120" i="2"/>
  <c r="I58" i="2"/>
  <c r="I34" i="2"/>
  <c r="I97" i="2"/>
  <c r="I27" i="2"/>
  <c r="I63" i="2"/>
  <c r="I8" i="2"/>
  <c r="I89" i="2"/>
  <c r="I30" i="2"/>
  <c r="I53" i="2"/>
  <c r="I94" i="2"/>
  <c r="I57" i="2"/>
  <c r="I77" i="2"/>
  <c r="I17" i="2"/>
  <c r="I65" i="2"/>
  <c r="I40" i="2"/>
  <c r="I69" i="2"/>
  <c r="I23" i="2"/>
  <c r="I15" i="2"/>
  <c r="I44" i="2"/>
  <c r="I38" i="2"/>
  <c r="I35" i="2"/>
  <c r="I116" i="2"/>
  <c r="I25" i="2"/>
  <c r="I104" i="2"/>
  <c r="I96" i="2"/>
  <c r="I62" i="2"/>
  <c r="I42" i="2"/>
  <c r="I21" i="2"/>
  <c r="I70" i="2"/>
  <c r="I24" i="2"/>
  <c r="I99" i="2"/>
  <c r="I91" i="2"/>
  <c r="I106" i="2"/>
  <c r="I88" i="2"/>
  <c r="I74" i="2"/>
  <c r="I103" i="2"/>
  <c r="I80" i="2"/>
  <c r="I31" i="2"/>
  <c r="I66" i="2"/>
  <c r="I117" i="2"/>
  <c r="I122" i="2"/>
  <c r="H71" i="3" l="1"/>
  <c r="H115" i="3"/>
  <c r="H87" i="3"/>
  <c r="H72" i="3"/>
  <c r="H89" i="3"/>
  <c r="H117" i="3"/>
  <c r="H123" i="3"/>
  <c r="H25" i="3"/>
  <c r="H80" i="3"/>
  <c r="H76" i="3"/>
  <c r="H77" i="3"/>
  <c r="H84" i="3"/>
  <c r="H19" i="3"/>
  <c r="H65" i="3"/>
  <c r="H66" i="3"/>
  <c r="H118" i="3"/>
  <c r="H70" i="3"/>
  <c r="H121" i="3"/>
  <c r="H103" i="3"/>
  <c r="H88" i="3"/>
  <c r="H111" i="3"/>
  <c r="H6" i="3"/>
  <c r="H18" i="3"/>
  <c r="H8" i="3"/>
  <c r="H41" i="3"/>
  <c r="H81" i="3"/>
  <c r="H92" i="3"/>
  <c r="H67" i="3"/>
  <c r="H93" i="3"/>
  <c r="H101" i="3"/>
  <c r="H13" i="3"/>
  <c r="H17" i="3"/>
  <c r="H82" i="3"/>
  <c r="H53" i="3"/>
  <c r="H86" i="3"/>
  <c r="H105" i="3"/>
  <c r="H119" i="3"/>
  <c r="J7" i="2"/>
  <c r="I7" i="2"/>
  <c r="J105" i="2"/>
  <c r="I105" i="2"/>
  <c r="H69" i="3"/>
  <c r="H24" i="3"/>
  <c r="H110" i="3"/>
  <c r="H59" i="3"/>
  <c r="H108" i="3"/>
  <c r="H100" i="3"/>
  <c r="J6" i="2"/>
  <c r="I6" i="2"/>
  <c r="H12" i="3"/>
  <c r="H29" i="3"/>
  <c r="H34" i="3"/>
  <c r="H98" i="3"/>
  <c r="H5" i="3"/>
  <c r="H15" i="3"/>
  <c r="H7" i="3"/>
  <c r="H94" i="3"/>
  <c r="H40" i="3"/>
  <c r="H14" i="3"/>
  <c r="H75" i="3"/>
  <c r="H28" i="3"/>
  <c r="H46" i="3"/>
  <c r="H116" i="3"/>
  <c r="H114" i="3"/>
  <c r="H45" i="3"/>
  <c r="H21" i="3"/>
  <c r="H122" i="3"/>
  <c r="H23" i="3"/>
  <c r="H30" i="3"/>
  <c r="H58" i="3"/>
  <c r="H113" i="3"/>
  <c r="H91" i="3"/>
  <c r="H10" i="3"/>
  <c r="H11" i="3"/>
  <c r="H62" i="3"/>
  <c r="H63" i="3"/>
  <c r="H85" i="3"/>
  <c r="H37" i="3"/>
  <c r="H22" i="3"/>
  <c r="H78" i="3"/>
  <c r="H39" i="3"/>
  <c r="H31" i="3"/>
  <c r="J4" i="2"/>
  <c r="I4" i="2"/>
  <c r="H99" i="3"/>
  <c r="H107" i="3"/>
  <c r="H26" i="3"/>
  <c r="H27" i="3"/>
  <c r="H64" i="3"/>
  <c r="H47" i="3"/>
  <c r="H79" i="3"/>
  <c r="H16" i="3"/>
  <c r="H102" i="3"/>
  <c r="H54" i="3"/>
  <c r="J3" i="2"/>
  <c r="I3" i="2"/>
  <c r="H51" i="3"/>
  <c r="H57" i="3"/>
  <c r="H33" i="3"/>
  <c r="J5" i="2"/>
  <c r="I5" i="2"/>
  <c r="H42" i="3"/>
  <c r="H95" i="3"/>
  <c r="H43" i="3"/>
  <c r="H48" i="3"/>
  <c r="H97" i="3"/>
  <c r="H32" i="3"/>
  <c r="H83" i="3"/>
  <c r="H4" i="3"/>
  <c r="H20" i="3"/>
  <c r="J37" i="2"/>
  <c r="I37" i="2"/>
  <c r="H55" i="3"/>
  <c r="H52" i="3"/>
  <c r="H73" i="3"/>
  <c r="H68" i="3"/>
  <c r="H106" i="3"/>
  <c r="H9" i="3"/>
  <c r="H60" i="3"/>
  <c r="H61" i="3"/>
  <c r="H50" i="3"/>
  <c r="H96" i="3"/>
  <c r="H49" i="3"/>
  <c r="H35" i="3"/>
  <c r="H74" i="3" l="1"/>
  <c r="X4" i="2"/>
  <c r="H90" i="3"/>
  <c r="X5" i="2"/>
  <c r="H38" i="3"/>
  <c r="X3" i="2"/>
  <c r="H104" i="3"/>
  <c r="X105" i="2"/>
  <c r="H109" i="3"/>
  <c r="X6" i="2"/>
  <c r="H112" i="3"/>
  <c r="X7" i="2"/>
  <c r="H36" i="3"/>
  <c r="X37" i="2"/>
  <c r="J15" i="2"/>
  <c r="X15" i="2" s="1"/>
  <c r="J124" i="2"/>
  <c r="X124" i="2" s="1"/>
  <c r="J113" i="2"/>
  <c r="X113" i="2" s="1"/>
  <c r="J25" i="2"/>
  <c r="X25" i="2" s="1"/>
  <c r="J88" i="2"/>
  <c r="X88" i="2" s="1"/>
  <c r="J90" i="2"/>
  <c r="X90" i="2" s="1"/>
  <c r="J74" i="2"/>
  <c r="X74" i="2" s="1"/>
  <c r="J56" i="2"/>
  <c r="X56" i="2" s="1"/>
  <c r="J99" i="2"/>
  <c r="X99" i="2" s="1"/>
  <c r="J60" i="2"/>
  <c r="X60" i="2" s="1"/>
  <c r="J45" i="2"/>
  <c r="X45" i="2" s="1"/>
  <c r="J23" i="2"/>
  <c r="X23" i="2" s="1"/>
  <c r="J84" i="2"/>
  <c r="X84" i="2" s="1"/>
  <c r="J115" i="2"/>
  <c r="X115" i="2" s="1"/>
  <c r="J28" i="2"/>
  <c r="X28" i="2" s="1"/>
  <c r="J52" i="2"/>
  <c r="X52" i="2" s="1"/>
  <c r="J106" i="2"/>
  <c r="X106" i="2" s="1"/>
  <c r="J104" i="2"/>
  <c r="X104" i="2" s="1"/>
  <c r="J103" i="2"/>
  <c r="X103" i="2" s="1"/>
  <c r="J102" i="2"/>
  <c r="X102" i="2" s="1"/>
  <c r="J48" i="2"/>
  <c r="X48" i="2" s="1"/>
  <c r="J47" i="2"/>
  <c r="X47" i="2" s="1"/>
  <c r="J108" i="2"/>
  <c r="X108" i="2" s="1"/>
  <c r="J72" i="2"/>
  <c r="X72" i="2" s="1"/>
  <c r="J83" i="2"/>
  <c r="X83" i="2" s="1"/>
  <c r="J78" i="2"/>
  <c r="X78" i="2" s="1"/>
  <c r="J97" i="2"/>
  <c r="X97" i="2" s="1"/>
  <c r="J112" i="2"/>
  <c r="X112" i="2" s="1"/>
  <c r="J68" i="2"/>
  <c r="X68" i="2" s="1"/>
  <c r="J16" i="2"/>
  <c r="X16" i="2" s="1"/>
  <c r="J27" i="2"/>
  <c r="X27" i="2" s="1"/>
  <c r="J44" i="2"/>
  <c r="X44" i="2" s="1"/>
  <c r="J96" i="2"/>
  <c r="X96" i="2" s="1"/>
  <c r="J80" i="2"/>
  <c r="X80" i="2" s="1"/>
  <c r="J32" i="2"/>
  <c r="X32" i="2" s="1"/>
  <c r="J87" i="2"/>
  <c r="X87" i="2" s="1"/>
  <c r="J67" i="2"/>
  <c r="X67" i="2" s="1"/>
  <c r="J12" i="2"/>
  <c r="X12" i="2" s="1"/>
  <c r="J64" i="2"/>
  <c r="X64" i="2" s="1"/>
  <c r="J11" i="2"/>
  <c r="X11" i="2" s="1"/>
  <c r="J118" i="2"/>
  <c r="X118" i="2" s="1"/>
  <c r="J51" i="2"/>
  <c r="X51" i="2" s="1"/>
  <c r="J77" i="2"/>
  <c r="X77" i="2" s="1"/>
  <c r="J43" i="2"/>
  <c r="X43" i="2" s="1"/>
  <c r="J95" i="2"/>
  <c r="X95" i="2" s="1"/>
  <c r="J62" i="2"/>
  <c r="X62" i="2" s="1"/>
  <c r="J38" i="2"/>
  <c r="X38" i="2" s="1"/>
  <c r="J63" i="2"/>
  <c r="X63" i="2" s="1"/>
  <c r="J31" i="2"/>
  <c r="X31" i="2" s="1"/>
  <c r="J93" i="2"/>
  <c r="X93" i="2" s="1"/>
  <c r="J94" i="2"/>
  <c r="X94" i="2" s="1"/>
  <c r="J50" i="2"/>
  <c r="X50" i="2" s="1"/>
  <c r="J86" i="2"/>
  <c r="X86" i="2" s="1"/>
  <c r="J76" i="2"/>
  <c r="X76" i="2" s="1"/>
  <c r="J36" i="2"/>
  <c r="X36" i="2" s="1"/>
  <c r="J55" i="2"/>
  <c r="X55" i="2" s="1"/>
  <c r="J109" i="2"/>
  <c r="X109" i="2" s="1"/>
  <c r="J59" i="2"/>
  <c r="X59" i="2" s="1"/>
  <c r="J61" i="2"/>
  <c r="X61" i="2" s="1"/>
  <c r="J71" i="2"/>
  <c r="X71" i="2" s="1"/>
  <c r="J114" i="2"/>
  <c r="X114" i="2" s="1"/>
  <c r="J110" i="2"/>
  <c r="X110" i="2" s="1"/>
  <c r="J92" i="2"/>
  <c r="X92" i="2" s="1"/>
  <c r="J123" i="2"/>
  <c r="X123" i="2" s="1"/>
  <c r="J20" i="2"/>
  <c r="X20" i="2" s="1"/>
  <c r="J22" i="2"/>
  <c r="X22" i="2" s="1"/>
  <c r="J40" i="2"/>
  <c r="X40" i="2" s="1"/>
  <c r="J119" i="2"/>
  <c r="X119" i="2" s="1"/>
  <c r="J116" i="2"/>
  <c r="X116" i="2" s="1"/>
  <c r="J122" i="2"/>
  <c r="X122" i="2" s="1"/>
  <c r="J85" i="2"/>
  <c r="X85" i="2" s="1"/>
  <c r="J117" i="2"/>
  <c r="X117" i="2" s="1"/>
  <c r="J33" i="2"/>
  <c r="X33" i="2" s="1"/>
  <c r="J54" i="2"/>
  <c r="X54" i="2" s="1"/>
  <c r="J65" i="2"/>
  <c r="X65" i="2" s="1"/>
  <c r="J24" i="2"/>
  <c r="X24" i="2" s="1"/>
  <c r="J49" i="2"/>
  <c r="X49" i="2" s="1"/>
  <c r="J70" i="2"/>
  <c r="X70" i="2" s="1"/>
  <c r="J107" i="2"/>
  <c r="X107" i="2" s="1"/>
  <c r="J21" i="2"/>
  <c r="X21" i="2" s="1"/>
  <c r="J91" i="2"/>
  <c r="X91" i="2" s="1"/>
  <c r="J66" i="2"/>
  <c r="X66" i="2" s="1"/>
  <c r="J53" i="2"/>
  <c r="X53" i="2" s="1"/>
  <c r="J69" i="2"/>
  <c r="X69" i="2" s="1"/>
  <c r="J30" i="2"/>
  <c r="X30" i="2" s="1"/>
  <c r="J58" i="2"/>
  <c r="X58" i="2" s="1"/>
  <c r="J89" i="2"/>
  <c r="X89" i="2" s="1"/>
  <c r="J79" i="2"/>
  <c r="X79" i="2" s="1"/>
  <c r="J35" i="2"/>
  <c r="X35" i="2" s="1"/>
  <c r="J75" i="2"/>
  <c r="X75" i="2" s="1"/>
  <c r="J73" i="2"/>
  <c r="X73" i="2" s="1"/>
  <c r="J29" i="2"/>
  <c r="X29" i="2" s="1"/>
  <c r="J19" i="2"/>
  <c r="X19" i="2" s="1"/>
  <c r="J41" i="2"/>
  <c r="X41" i="2" s="1"/>
  <c r="J9" i="2"/>
  <c r="X9" i="2" s="1"/>
  <c r="J26" i="2"/>
  <c r="X26" i="2" s="1"/>
  <c r="J10" i="2"/>
  <c r="X10" i="2" s="1"/>
  <c r="J17" i="2"/>
  <c r="X17" i="2" s="1"/>
  <c r="J34" i="2"/>
  <c r="X34" i="2" s="1"/>
  <c r="J39" i="2"/>
  <c r="X39" i="2" s="1"/>
  <c r="J18" i="2"/>
  <c r="X18" i="2" s="1"/>
  <c r="J111" i="2"/>
  <c r="X111" i="2" s="1"/>
  <c r="J120" i="2"/>
  <c r="X120" i="2" s="1"/>
  <c r="J101" i="2"/>
  <c r="X101" i="2" s="1"/>
  <c r="J121" i="2"/>
  <c r="X121" i="2" s="1"/>
  <c r="J8" i="2"/>
  <c r="X8" i="2" s="1"/>
  <c r="J42" i="2"/>
  <c r="X42" i="2" s="1"/>
  <c r="J13" i="2"/>
  <c r="X13" i="2" s="1"/>
  <c r="J57" i="2"/>
  <c r="X57" i="2" s="1"/>
  <c r="J81" i="2"/>
  <c r="X81" i="2" s="1"/>
  <c r="J82" i="2"/>
  <c r="X82" i="2" s="1"/>
  <c r="J46" i="2"/>
  <c r="X46" i="2" s="1"/>
  <c r="J98" i="2"/>
  <c r="X98" i="2" s="1"/>
  <c r="J100" i="2"/>
  <c r="X100" i="2" s="1"/>
  <c r="J14" i="2"/>
  <c r="X14" i="2" s="1"/>
  <c r="Y100" i="2" l="1"/>
  <c r="G46" i="3"/>
  <c r="G57" i="3"/>
  <c r="Y8" i="2"/>
  <c r="Y17" i="2"/>
  <c r="G6" i="3"/>
  <c r="G14" i="3"/>
  <c r="Y75" i="2"/>
  <c r="G53" i="3"/>
  <c r="Y66" i="2"/>
  <c r="Y54" i="2"/>
  <c r="G44" i="3"/>
  <c r="G43" i="3"/>
  <c r="Y22" i="2"/>
  <c r="Y59" i="2"/>
  <c r="G61" i="3"/>
  <c r="G68" i="3"/>
  <c r="Y93" i="2"/>
  <c r="G77" i="3"/>
  <c r="Y51" i="2"/>
  <c r="G86" i="3"/>
  <c r="Y80" i="2"/>
  <c r="Y78" i="2"/>
  <c r="G93" i="3"/>
  <c r="Y104" i="2"/>
  <c r="G103" i="3"/>
  <c r="G114" i="3"/>
  <c r="Y60" i="2"/>
  <c r="G123" i="3"/>
  <c r="Y124" i="2"/>
  <c r="G104" i="3"/>
  <c r="Y105" i="2"/>
  <c r="Y98" i="2"/>
  <c r="G50" i="3"/>
  <c r="Y121" i="2"/>
  <c r="G49" i="3"/>
  <c r="G56" i="3"/>
  <c r="Y10" i="2"/>
  <c r="Y35" i="2"/>
  <c r="G55" i="3"/>
  <c r="Y91" i="2"/>
  <c r="G45" i="3"/>
  <c r="Y33" i="2"/>
  <c r="G28" i="3"/>
  <c r="G35" i="3"/>
  <c r="Y20" i="2"/>
  <c r="Y109" i="2"/>
  <c r="G63" i="3"/>
  <c r="Y31" i="2"/>
  <c r="G70" i="3"/>
  <c r="Y118" i="2"/>
  <c r="G79" i="3"/>
  <c r="G87" i="3"/>
  <c r="Y96" i="2"/>
  <c r="Y83" i="2"/>
  <c r="G96" i="3"/>
  <c r="Y106" i="2"/>
  <c r="G105" i="3"/>
  <c r="Y99" i="2"/>
  <c r="G115" i="3"/>
  <c r="G122" i="3"/>
  <c r="Y15" i="2"/>
  <c r="G42" i="3"/>
  <c r="Y46" i="2"/>
  <c r="G41" i="3"/>
  <c r="Y101" i="2"/>
  <c r="Y26" i="2"/>
  <c r="G48" i="3"/>
  <c r="G47" i="3"/>
  <c r="Y79" i="2"/>
  <c r="G37" i="3"/>
  <c r="Y21" i="2"/>
  <c r="Y117" i="2"/>
  <c r="G20" i="3"/>
  <c r="G27" i="3"/>
  <c r="Y123" i="2"/>
  <c r="Y55" i="2"/>
  <c r="G64" i="3"/>
  <c r="Y63" i="2"/>
  <c r="G73" i="3"/>
  <c r="G80" i="3"/>
  <c r="Y11" i="2"/>
  <c r="G88" i="3"/>
  <c r="Y44" i="2"/>
  <c r="G97" i="3"/>
  <c r="Y72" i="2"/>
  <c r="G106" i="3"/>
  <c r="Y52" i="2"/>
  <c r="G116" i="3"/>
  <c r="Y56" i="2"/>
  <c r="G36" i="3"/>
  <c r="Y37" i="2"/>
  <c r="Y3" i="2"/>
  <c r="G38" i="3"/>
  <c r="Y82" i="2"/>
  <c r="G34" i="3"/>
  <c r="Y120" i="2"/>
  <c r="G33" i="3"/>
  <c r="Y9" i="2"/>
  <c r="G40" i="3"/>
  <c r="Y89" i="2"/>
  <c r="G39" i="3"/>
  <c r="G29" i="3"/>
  <c r="Y107" i="2"/>
  <c r="Y85" i="2"/>
  <c r="G12" i="3"/>
  <c r="G19" i="3"/>
  <c r="Y92" i="2"/>
  <c r="G62" i="3"/>
  <c r="Y36" i="2"/>
  <c r="G72" i="3"/>
  <c r="Y38" i="2"/>
  <c r="Y64" i="2"/>
  <c r="G81" i="3"/>
  <c r="Y27" i="2"/>
  <c r="G89" i="3"/>
  <c r="Y108" i="2"/>
  <c r="G98" i="3"/>
  <c r="Y28" i="2"/>
  <c r="G107" i="3"/>
  <c r="G118" i="3"/>
  <c r="Y74" i="2"/>
  <c r="Y81" i="2"/>
  <c r="G26" i="3"/>
  <c r="G25" i="3"/>
  <c r="Y111" i="2"/>
  <c r="Y41" i="2"/>
  <c r="G32" i="3"/>
  <c r="G31" i="3"/>
  <c r="Y58" i="2"/>
  <c r="G21" i="3"/>
  <c r="Y70" i="2"/>
  <c r="G4" i="3"/>
  <c r="Y122" i="2"/>
  <c r="G11" i="3"/>
  <c r="Y110" i="2"/>
  <c r="G65" i="3"/>
  <c r="Y76" i="2"/>
  <c r="G71" i="3"/>
  <c r="Y62" i="2"/>
  <c r="G82" i="3"/>
  <c r="Y12" i="2"/>
  <c r="G92" i="3"/>
  <c r="Y16" i="2"/>
  <c r="Y47" i="2"/>
  <c r="G99" i="3"/>
  <c r="Y115" i="2"/>
  <c r="G108" i="3"/>
  <c r="Y90" i="2"/>
  <c r="G117" i="3"/>
  <c r="G112" i="3"/>
  <c r="Y7" i="2"/>
  <c r="Y5" i="2"/>
  <c r="G90" i="3"/>
  <c r="Y57" i="2"/>
  <c r="G18" i="3"/>
  <c r="G17" i="3"/>
  <c r="Y18" i="2"/>
  <c r="Y19" i="2"/>
  <c r="G24" i="3"/>
  <c r="G23" i="3"/>
  <c r="Y30" i="2"/>
  <c r="G13" i="3"/>
  <c r="Y49" i="2"/>
  <c r="Y116" i="2"/>
  <c r="G22" i="3"/>
  <c r="G3" i="3"/>
  <c r="Y114" i="2"/>
  <c r="G66" i="3"/>
  <c r="Y86" i="2"/>
  <c r="G75" i="3"/>
  <c r="Y95" i="2"/>
  <c r="Y67" i="2"/>
  <c r="G85" i="3"/>
  <c r="G91" i="3"/>
  <c r="Y68" i="2"/>
  <c r="Y48" i="2"/>
  <c r="G100" i="3"/>
  <c r="Y84" i="2"/>
  <c r="G110" i="3"/>
  <c r="G121" i="3"/>
  <c r="Y88" i="2"/>
  <c r="Y13" i="2"/>
  <c r="G10" i="3"/>
  <c r="G9" i="3"/>
  <c r="Y39" i="2"/>
  <c r="G16" i="3"/>
  <c r="Y29" i="2"/>
  <c r="Y69" i="2"/>
  <c r="G15" i="3"/>
  <c r="G5" i="3"/>
  <c r="Y24" i="2"/>
  <c r="Y119" i="2"/>
  <c r="G2" i="3"/>
  <c r="G59" i="3"/>
  <c r="Y71" i="2"/>
  <c r="Y50" i="2"/>
  <c r="G67" i="3"/>
  <c r="Y43" i="2"/>
  <c r="G76" i="3"/>
  <c r="Y87" i="2"/>
  <c r="G84" i="3"/>
  <c r="G95" i="3"/>
  <c r="Y112" i="2"/>
  <c r="Y102" i="2"/>
  <c r="G101" i="3"/>
  <c r="G111" i="3"/>
  <c r="Y23" i="2"/>
  <c r="Y25" i="2"/>
  <c r="G119" i="3"/>
  <c r="G109" i="3"/>
  <c r="Y6" i="2"/>
  <c r="G74" i="3"/>
  <c r="Y4" i="2"/>
  <c r="Y14" i="2"/>
  <c r="G58" i="3"/>
  <c r="Y42" i="2"/>
  <c r="G54" i="3"/>
  <c r="G30" i="3"/>
  <c r="Y34" i="2"/>
  <c r="Y73" i="2"/>
  <c r="G8" i="3"/>
  <c r="Y53" i="2"/>
  <c r="G7" i="3"/>
  <c r="G52" i="3"/>
  <c r="Y65" i="2"/>
  <c r="G51" i="3"/>
  <c r="Y40" i="2"/>
  <c r="Y61" i="2"/>
  <c r="G60" i="3"/>
  <c r="G69" i="3"/>
  <c r="Y94" i="2"/>
  <c r="G78" i="3"/>
  <c r="Y77" i="2"/>
  <c r="Y32" i="2"/>
  <c r="G83" i="3"/>
  <c r="Y97" i="2"/>
  <c r="G94" i="3"/>
  <c r="G102" i="3"/>
  <c r="Y103" i="2"/>
  <c r="Y45" i="2"/>
  <c r="G113" i="3"/>
  <c r="Y113" i="2"/>
  <c r="G120" i="3"/>
  <c r="AA103" i="2" l="1"/>
  <c r="AB103" i="2"/>
  <c r="P102" i="3" s="1"/>
  <c r="M102" i="3"/>
  <c r="AA94" i="2"/>
  <c r="M69" i="3"/>
  <c r="AB94" i="2"/>
  <c r="P69" i="3" s="1"/>
  <c r="M111" i="3"/>
  <c r="AA23" i="2"/>
  <c r="M5" i="3"/>
  <c r="AA24" i="2"/>
  <c r="M91" i="3"/>
  <c r="AA68" i="2"/>
  <c r="AB68" i="2"/>
  <c r="P91" i="3" s="1"/>
  <c r="M3" i="3"/>
  <c r="AA114" i="2"/>
  <c r="AB114" i="2" s="1"/>
  <c r="P3" i="3" s="1"/>
  <c r="M112" i="3"/>
  <c r="AB7" i="2"/>
  <c r="P112" i="3" s="1"/>
  <c r="AB16" i="2"/>
  <c r="P92" i="3" s="1"/>
  <c r="AA16" i="2"/>
  <c r="M92" i="3"/>
  <c r="M11" i="3"/>
  <c r="AA110" i="2"/>
  <c r="M72" i="3"/>
  <c r="AA38" i="2"/>
  <c r="AB38" i="2"/>
  <c r="P72" i="3" s="1"/>
  <c r="M29" i="3"/>
  <c r="AA107" i="2"/>
  <c r="AB107" i="2"/>
  <c r="P29" i="3" s="1"/>
  <c r="AA52" i="2"/>
  <c r="M106" i="3"/>
  <c r="M37" i="3"/>
  <c r="AA21" i="2"/>
  <c r="AB21" i="2"/>
  <c r="P37" i="3" s="1"/>
  <c r="M42" i="3"/>
  <c r="AA46" i="2"/>
  <c r="AB46" i="2"/>
  <c r="P42" i="3" s="1"/>
  <c r="AA105" i="2"/>
  <c r="M104" i="3"/>
  <c r="AB105" i="2"/>
  <c r="P104" i="3" s="1"/>
  <c r="AA75" i="2"/>
  <c r="M14" i="3"/>
  <c r="AB75" i="2"/>
  <c r="P14" i="3" s="1"/>
  <c r="M7" i="3"/>
  <c r="AA53" i="2"/>
  <c r="AB53" i="2"/>
  <c r="P7" i="3" s="1"/>
  <c r="AA14" i="2"/>
  <c r="M58" i="3"/>
  <c r="AA43" i="2"/>
  <c r="AB43" i="2" s="1"/>
  <c r="P76" i="3" s="1"/>
  <c r="M76" i="3"/>
  <c r="AA13" i="2"/>
  <c r="AB13" i="2" s="1"/>
  <c r="P10" i="3" s="1"/>
  <c r="M10" i="3"/>
  <c r="AA19" i="2"/>
  <c r="M24" i="3"/>
  <c r="AA41" i="2"/>
  <c r="M32" i="3"/>
  <c r="M107" i="3"/>
  <c r="AA28" i="2"/>
  <c r="AB28" i="2"/>
  <c r="P107" i="3" s="1"/>
  <c r="M34" i="3"/>
  <c r="AA82" i="2"/>
  <c r="AA63" i="2"/>
  <c r="AB63" i="2" s="1"/>
  <c r="P73" i="3" s="1"/>
  <c r="M73" i="3"/>
  <c r="AA83" i="2"/>
  <c r="M96" i="3"/>
  <c r="AA109" i="2"/>
  <c r="M63" i="3"/>
  <c r="AA35" i="2"/>
  <c r="M55" i="3"/>
  <c r="AA78" i="2"/>
  <c r="M93" i="3"/>
  <c r="AA59" i="2"/>
  <c r="M61" i="3"/>
  <c r="AB4" i="2"/>
  <c r="P74" i="3" s="1"/>
  <c r="M74" i="3"/>
  <c r="AA88" i="2"/>
  <c r="AB88" i="2" s="1"/>
  <c r="P121" i="3" s="1"/>
  <c r="M121" i="3"/>
  <c r="AA18" i="2"/>
  <c r="M17" i="3"/>
  <c r="AA12" i="2"/>
  <c r="M82" i="3"/>
  <c r="AB12" i="2"/>
  <c r="P82" i="3" s="1"/>
  <c r="M4" i="3"/>
  <c r="AA122" i="2"/>
  <c r="AB122" i="2"/>
  <c r="P4" i="3" s="1"/>
  <c r="AB111" i="2"/>
  <c r="P25" i="3" s="1"/>
  <c r="M25" i="3"/>
  <c r="AA111" i="2"/>
  <c r="AA36" i="2"/>
  <c r="M62" i="3"/>
  <c r="AB36" i="2"/>
  <c r="P62" i="3" s="1"/>
  <c r="M97" i="3"/>
  <c r="AA72" i="2"/>
  <c r="M47" i="3"/>
  <c r="AA79" i="2"/>
  <c r="AB79" i="2" s="1"/>
  <c r="P47" i="3" s="1"/>
  <c r="M122" i="3"/>
  <c r="AA15" i="2"/>
  <c r="AB15" i="2"/>
  <c r="P122" i="3" s="1"/>
  <c r="AA96" i="2"/>
  <c r="M87" i="3"/>
  <c r="AB96" i="2"/>
  <c r="P87" i="3" s="1"/>
  <c r="AA20" i="2"/>
  <c r="M35" i="3"/>
  <c r="M56" i="3"/>
  <c r="AA10" i="2"/>
  <c r="AB124" i="2"/>
  <c r="P123" i="3" s="1"/>
  <c r="AA124" i="2"/>
  <c r="M123" i="3"/>
  <c r="AA80" i="2"/>
  <c r="M86" i="3"/>
  <c r="AA22" i="2"/>
  <c r="M43" i="3"/>
  <c r="M94" i="3"/>
  <c r="AA97" i="2"/>
  <c r="AB97" i="2" s="1"/>
  <c r="P94" i="3" s="1"/>
  <c r="AA61" i="2"/>
  <c r="M60" i="3"/>
  <c r="AA73" i="2"/>
  <c r="M8" i="3"/>
  <c r="M101" i="3"/>
  <c r="AA102" i="2"/>
  <c r="AB102" i="2" s="1"/>
  <c r="P101" i="3" s="1"/>
  <c r="AA50" i="2"/>
  <c r="AB50" i="2" s="1"/>
  <c r="P67" i="3" s="1"/>
  <c r="M67" i="3"/>
  <c r="M15" i="3"/>
  <c r="AA69" i="2"/>
  <c r="AA67" i="2"/>
  <c r="AB67" i="2" s="1"/>
  <c r="P85" i="3" s="1"/>
  <c r="M85" i="3"/>
  <c r="M22" i="3"/>
  <c r="AA116" i="2"/>
  <c r="AB116" i="2"/>
  <c r="P22" i="3" s="1"/>
  <c r="AA90" i="2"/>
  <c r="M117" i="3"/>
  <c r="M98" i="3"/>
  <c r="AA108" i="2"/>
  <c r="AB108" i="2"/>
  <c r="P98" i="3" s="1"/>
  <c r="AB89" i="2"/>
  <c r="P39" i="3" s="1"/>
  <c r="AA89" i="2"/>
  <c r="M39" i="3"/>
  <c r="M38" i="3"/>
  <c r="AB3" i="2"/>
  <c r="P38" i="3" s="1"/>
  <c r="M64" i="3"/>
  <c r="AA55" i="2"/>
  <c r="M6" i="3"/>
  <c r="AA17" i="2"/>
  <c r="AA45" i="2"/>
  <c r="M113" i="3"/>
  <c r="M51" i="3"/>
  <c r="AA40" i="2"/>
  <c r="AB40" i="2" s="1"/>
  <c r="P51" i="3" s="1"/>
  <c r="M30" i="3"/>
  <c r="AA34" i="2"/>
  <c r="AB6" i="2"/>
  <c r="P109" i="3" s="1"/>
  <c r="M109" i="3"/>
  <c r="AA112" i="2"/>
  <c r="M95" i="3"/>
  <c r="AA71" i="2"/>
  <c r="M59" i="3"/>
  <c r="AB71" i="2"/>
  <c r="P59" i="3" s="1"/>
  <c r="AA29" i="2"/>
  <c r="M16" i="3"/>
  <c r="M75" i="3"/>
  <c r="AA95" i="2"/>
  <c r="AB95" i="2" s="1"/>
  <c r="P75" i="3" s="1"/>
  <c r="AA49" i="2"/>
  <c r="AB49" i="2" s="1"/>
  <c r="P13" i="3" s="1"/>
  <c r="M13" i="3"/>
  <c r="M71" i="3"/>
  <c r="AA62" i="2"/>
  <c r="AB62" i="2"/>
  <c r="P71" i="3" s="1"/>
  <c r="AA70" i="2"/>
  <c r="M21" i="3"/>
  <c r="M19" i="3"/>
  <c r="AA92" i="2"/>
  <c r="M36" i="3"/>
  <c r="AB37" i="2"/>
  <c r="P36" i="3" s="1"/>
  <c r="AA37" i="2"/>
  <c r="M88" i="3"/>
  <c r="AA44" i="2"/>
  <c r="AA123" i="2"/>
  <c r="M27" i="3"/>
  <c r="AB123" i="2"/>
  <c r="P27" i="3" s="1"/>
  <c r="M114" i="3"/>
  <c r="AA60" i="2"/>
  <c r="M77" i="3"/>
  <c r="AA51" i="2"/>
  <c r="M57" i="3"/>
  <c r="AA8" i="2"/>
  <c r="AB8" i="2"/>
  <c r="P57" i="3" s="1"/>
  <c r="M83" i="3"/>
  <c r="AA32" i="2"/>
  <c r="M110" i="3"/>
  <c r="AA84" i="2"/>
  <c r="AB84" i="2"/>
  <c r="P110" i="3" s="1"/>
  <c r="AA57" i="2"/>
  <c r="M18" i="3"/>
  <c r="AA115" i="2"/>
  <c r="AB115" i="2" s="1"/>
  <c r="P108" i="3" s="1"/>
  <c r="M108" i="3"/>
  <c r="AA81" i="2"/>
  <c r="M26" i="3"/>
  <c r="AB81" i="2"/>
  <c r="P26" i="3" s="1"/>
  <c r="AA27" i="2"/>
  <c r="AB27" i="2" s="1"/>
  <c r="P89" i="3" s="1"/>
  <c r="M89" i="3"/>
  <c r="M40" i="3"/>
  <c r="AA9" i="2"/>
  <c r="AA26" i="2"/>
  <c r="AB26" i="2"/>
  <c r="P48" i="3" s="1"/>
  <c r="M48" i="3"/>
  <c r="AA99" i="2"/>
  <c r="M115" i="3"/>
  <c r="AB99" i="2"/>
  <c r="P115" i="3" s="1"/>
  <c r="AA118" i="2"/>
  <c r="M79" i="3"/>
  <c r="AA33" i="2"/>
  <c r="M28" i="3"/>
  <c r="AA121" i="2"/>
  <c r="M49" i="3"/>
  <c r="AB121" i="2"/>
  <c r="P49" i="3" s="1"/>
  <c r="M44" i="3"/>
  <c r="AA54" i="2"/>
  <c r="AA113" i="2"/>
  <c r="M120" i="3"/>
  <c r="AA77" i="2"/>
  <c r="AB77" i="2" s="1"/>
  <c r="P78" i="3" s="1"/>
  <c r="M78" i="3"/>
  <c r="M52" i="3"/>
  <c r="AA65" i="2"/>
  <c r="AB39" i="2"/>
  <c r="P9" i="3" s="1"/>
  <c r="AA39" i="2"/>
  <c r="M9" i="3"/>
  <c r="AA86" i="2"/>
  <c r="AB86" i="2" s="1"/>
  <c r="P66" i="3" s="1"/>
  <c r="M66" i="3"/>
  <c r="AA30" i="2"/>
  <c r="AB30" i="2" s="1"/>
  <c r="P23" i="3" s="1"/>
  <c r="M23" i="3"/>
  <c r="AA76" i="2"/>
  <c r="M65" i="3"/>
  <c r="AA58" i="2"/>
  <c r="AB58" i="2"/>
  <c r="P31" i="3" s="1"/>
  <c r="M31" i="3"/>
  <c r="M118" i="3"/>
  <c r="AA74" i="2"/>
  <c r="M116" i="3"/>
  <c r="AA56" i="2"/>
  <c r="M80" i="3"/>
  <c r="AA11" i="2"/>
  <c r="AB11" i="2" s="1"/>
  <c r="P80" i="3" s="1"/>
  <c r="AA101" i="2"/>
  <c r="M41" i="3"/>
  <c r="AB101" i="2"/>
  <c r="P41" i="3" s="1"/>
  <c r="AA93" i="2"/>
  <c r="M68" i="3"/>
  <c r="AA66" i="2"/>
  <c r="AB66" i="2" s="1"/>
  <c r="P53" i="3" s="1"/>
  <c r="M53" i="3"/>
  <c r="AA42" i="2"/>
  <c r="M54" i="3"/>
  <c r="M119" i="3"/>
  <c r="AA25" i="2"/>
  <c r="M84" i="3"/>
  <c r="AA87" i="2"/>
  <c r="AB87" i="2"/>
  <c r="P84" i="3" s="1"/>
  <c r="M2" i="3"/>
  <c r="AA119" i="2"/>
  <c r="AA48" i="2"/>
  <c r="M100" i="3"/>
  <c r="M90" i="3"/>
  <c r="AB5" i="2"/>
  <c r="P90" i="3" s="1"/>
  <c r="M99" i="3"/>
  <c r="AA47" i="2"/>
  <c r="M81" i="3"/>
  <c r="AA64" i="2"/>
  <c r="AB64" i="2" s="1"/>
  <c r="P81" i="3" s="1"/>
  <c r="AA85" i="2"/>
  <c r="AB85" i="2" s="1"/>
  <c r="P12" i="3" s="1"/>
  <c r="M12" i="3"/>
  <c r="AA120" i="2"/>
  <c r="M33" i="3"/>
  <c r="AB120" i="2"/>
  <c r="P33" i="3" s="1"/>
  <c r="M20" i="3"/>
  <c r="AA117" i="2"/>
  <c r="AB117" i="2"/>
  <c r="P20" i="3" s="1"/>
  <c r="AA106" i="2"/>
  <c r="M105" i="3"/>
  <c r="AA31" i="2"/>
  <c r="M70" i="3"/>
  <c r="AB31" i="2"/>
  <c r="P70" i="3" s="1"/>
  <c r="AA91" i="2"/>
  <c r="M45" i="3"/>
  <c r="AA98" i="2"/>
  <c r="M50" i="3"/>
  <c r="AA104" i="2"/>
  <c r="M103" i="3"/>
  <c r="AB104" i="2"/>
  <c r="P103" i="3" s="1"/>
  <c r="M46" i="3"/>
  <c r="AA100" i="2"/>
  <c r="AB100" i="2"/>
  <c r="P46" i="3" s="1"/>
  <c r="AB93" i="2" l="1"/>
  <c r="P68" i="3" s="1"/>
  <c r="O68" i="3"/>
  <c r="AC93" i="2"/>
  <c r="B68" i="3" s="1"/>
  <c r="O116" i="3"/>
  <c r="AC56" i="2"/>
  <c r="B116" i="3" s="1"/>
  <c r="AB119" i="2"/>
  <c r="P2" i="3" s="1"/>
  <c r="AC119" i="2"/>
  <c r="B2" i="3" s="1"/>
  <c r="O2" i="3"/>
  <c r="AC104" i="2"/>
  <c r="B103" i="3" s="1"/>
  <c r="O103" i="3"/>
  <c r="O33" i="3"/>
  <c r="AC120" i="2"/>
  <c r="B33" i="3" s="1"/>
  <c r="AB54" i="2"/>
  <c r="P44" i="3" s="1"/>
  <c r="O44" i="3"/>
  <c r="AC54" i="2"/>
  <c r="B44" i="3" s="1"/>
  <c r="O79" i="3"/>
  <c r="AC118" i="2"/>
  <c r="B79" i="3" s="1"/>
  <c r="AC9" i="2"/>
  <c r="B40" i="3" s="1"/>
  <c r="O40" i="3"/>
  <c r="O26" i="3"/>
  <c r="AC81" i="2"/>
  <c r="B26" i="3" s="1"/>
  <c r="AB60" i="2"/>
  <c r="P114" i="3" s="1"/>
  <c r="AC60" i="2"/>
  <c r="B114" i="3" s="1"/>
  <c r="O114" i="3"/>
  <c r="AB22" i="2"/>
  <c r="P43" i="3" s="1"/>
  <c r="AC22" i="2"/>
  <c r="B43" i="3" s="1"/>
  <c r="O43" i="3"/>
  <c r="AC111" i="2"/>
  <c r="B25" i="3" s="1"/>
  <c r="O25" i="3"/>
  <c r="AC12" i="2"/>
  <c r="B82" i="3" s="1"/>
  <c r="O82" i="3"/>
  <c r="O34" i="3"/>
  <c r="AC82" i="2"/>
  <c r="B34" i="3" s="1"/>
  <c r="AB19" i="2"/>
  <c r="P24" i="3" s="1"/>
  <c r="O24" i="3"/>
  <c r="AC19" i="2"/>
  <c r="B24" i="3" s="1"/>
  <c r="AB23" i="2"/>
  <c r="P111" i="3" s="1"/>
  <c r="AC23" i="2"/>
  <c r="B111" i="3" s="1"/>
  <c r="O111" i="3"/>
  <c r="O100" i="3"/>
  <c r="AC48" i="2"/>
  <c r="B100" i="3" s="1"/>
  <c r="AC76" i="2"/>
  <c r="B65" i="3" s="1"/>
  <c r="O65" i="3"/>
  <c r="O70" i="3"/>
  <c r="AC31" i="2"/>
  <c r="B70" i="3" s="1"/>
  <c r="O54" i="3"/>
  <c r="AC42" i="2"/>
  <c r="B54" i="3" s="1"/>
  <c r="AC101" i="2"/>
  <c r="B41" i="3" s="1"/>
  <c r="O41" i="3"/>
  <c r="O118" i="3"/>
  <c r="AC74" i="2"/>
  <c r="B118" i="3" s="1"/>
  <c r="O84" i="3"/>
  <c r="AC87" i="2"/>
  <c r="B84" i="3" s="1"/>
  <c r="AB65" i="2"/>
  <c r="P52" i="3" s="1"/>
  <c r="O52" i="3"/>
  <c r="AC65" i="2"/>
  <c r="B52" i="3" s="1"/>
  <c r="AB118" i="2"/>
  <c r="P79" i="3" s="1"/>
  <c r="AB9" i="2"/>
  <c r="P40" i="3" s="1"/>
  <c r="AB32" i="2"/>
  <c r="P83" i="3" s="1"/>
  <c r="O83" i="3"/>
  <c r="AC32" i="2"/>
  <c r="B83" i="3" s="1"/>
  <c r="AC29" i="2"/>
  <c r="B16" i="3" s="1"/>
  <c r="O16" i="3"/>
  <c r="O113" i="3"/>
  <c r="AC45" i="2"/>
  <c r="B113" i="3" s="1"/>
  <c r="O39" i="3"/>
  <c r="AC89" i="2"/>
  <c r="B39" i="3" s="1"/>
  <c r="O22" i="3"/>
  <c r="AC116" i="2"/>
  <c r="B22" i="3" s="1"/>
  <c r="AC73" i="2"/>
  <c r="B8" i="3" s="1"/>
  <c r="O8" i="3"/>
  <c r="AB20" i="2"/>
  <c r="P35" i="3" s="1"/>
  <c r="AC20" i="2"/>
  <c r="B35" i="3" s="1"/>
  <c r="O35" i="3"/>
  <c r="O47" i="3"/>
  <c r="AC79" i="2"/>
  <c r="B47" i="3" s="1"/>
  <c r="AB109" i="2"/>
  <c r="P63" i="3" s="1"/>
  <c r="O63" i="3"/>
  <c r="AC109" i="2"/>
  <c r="B63" i="3" s="1"/>
  <c r="O58" i="3"/>
  <c r="AC14" i="2"/>
  <c r="B58" i="3" s="1"/>
  <c r="AB110" i="2"/>
  <c r="P11" i="3" s="1"/>
  <c r="O11" i="3"/>
  <c r="AC110" i="2"/>
  <c r="B11" i="3" s="1"/>
  <c r="AC114" i="2"/>
  <c r="B3" i="3" s="1"/>
  <c r="O3" i="3"/>
  <c r="O23" i="3"/>
  <c r="AC30" i="2"/>
  <c r="B23" i="3" s="1"/>
  <c r="AB34" i="2"/>
  <c r="P30" i="3" s="1"/>
  <c r="O30" i="3"/>
  <c r="AC34" i="2"/>
  <c r="B30" i="3" s="1"/>
  <c r="AB17" i="2"/>
  <c r="P6" i="3" s="1"/>
  <c r="O6" i="3"/>
  <c r="AC17" i="2"/>
  <c r="B6" i="3" s="1"/>
  <c r="AB80" i="2"/>
  <c r="P86" i="3" s="1"/>
  <c r="AC80" i="2"/>
  <c r="B86" i="3" s="1"/>
  <c r="O86" i="3"/>
  <c r="AC18" i="2"/>
  <c r="B17" i="3" s="1"/>
  <c r="O17" i="3"/>
  <c r="AB59" i="2"/>
  <c r="P61" i="3" s="1"/>
  <c r="O61" i="3"/>
  <c r="AC59" i="2"/>
  <c r="B61" i="3" s="1"/>
  <c r="AC105" i="2"/>
  <c r="B104" i="3" s="1"/>
  <c r="O104" i="3"/>
  <c r="AB52" i="2"/>
  <c r="P106" i="3" s="1"/>
  <c r="O106" i="3"/>
  <c r="AC52" i="2"/>
  <c r="B106" i="3" s="1"/>
  <c r="AC98" i="2"/>
  <c r="B50" i="3" s="1"/>
  <c r="O50" i="3"/>
  <c r="O80" i="3"/>
  <c r="AC11" i="2"/>
  <c r="B80" i="3" s="1"/>
  <c r="AB92" i="2"/>
  <c r="P19" i="3" s="1"/>
  <c r="O19" i="3"/>
  <c r="AC92" i="2"/>
  <c r="B19" i="3" s="1"/>
  <c r="AB98" i="2"/>
  <c r="P50" i="3" s="1"/>
  <c r="O12" i="3"/>
  <c r="AC85" i="2"/>
  <c r="B12" i="3" s="1"/>
  <c r="AC25" i="2"/>
  <c r="B119" i="3" s="1"/>
  <c r="O119" i="3"/>
  <c r="O108" i="3"/>
  <c r="AC115" i="2"/>
  <c r="B108" i="3" s="1"/>
  <c r="AC50" i="2"/>
  <c r="B67" i="3" s="1"/>
  <c r="O67" i="3"/>
  <c r="AB61" i="2"/>
  <c r="P60" i="3" s="1"/>
  <c r="AC61" i="2"/>
  <c r="B60" i="3" s="1"/>
  <c r="O60" i="3"/>
  <c r="AB72" i="2"/>
  <c r="P97" i="3" s="1"/>
  <c r="AC72" i="2"/>
  <c r="B97" i="3" s="1"/>
  <c r="O97" i="3"/>
  <c r="AB18" i="2"/>
  <c r="P17" i="3" s="1"/>
  <c r="AB83" i="2"/>
  <c r="P96" i="3" s="1"/>
  <c r="AC83" i="2"/>
  <c r="B96" i="3" s="1"/>
  <c r="O96" i="3"/>
  <c r="O107" i="3"/>
  <c r="AC28" i="2"/>
  <c r="B107" i="3" s="1"/>
  <c r="O10" i="3"/>
  <c r="AC13" i="2"/>
  <c r="B10" i="3" s="1"/>
  <c r="O7" i="3"/>
  <c r="AC53" i="2"/>
  <c r="B7" i="3" s="1"/>
  <c r="AB48" i="2"/>
  <c r="P100" i="3" s="1"/>
  <c r="O53" i="3"/>
  <c r="AC66" i="2"/>
  <c r="B53" i="3" s="1"/>
  <c r="AC49" i="2"/>
  <c r="B13" i="3" s="1"/>
  <c r="O13" i="3"/>
  <c r="O46" i="3"/>
  <c r="AC100" i="2"/>
  <c r="B46" i="3" s="1"/>
  <c r="O20" i="3"/>
  <c r="AC117" i="2"/>
  <c r="B20" i="3" s="1"/>
  <c r="AB25" i="2"/>
  <c r="P119" i="3" s="1"/>
  <c r="AB56" i="2"/>
  <c r="P116" i="3" s="1"/>
  <c r="AC58" i="2"/>
  <c r="B31" i="3" s="1"/>
  <c r="O31" i="3"/>
  <c r="AC121" i="2"/>
  <c r="B49" i="3" s="1"/>
  <c r="O49" i="3"/>
  <c r="O115" i="3"/>
  <c r="AC99" i="2"/>
  <c r="B115" i="3" s="1"/>
  <c r="AC6" i="2"/>
  <c r="B109" i="3" s="1"/>
  <c r="AC4" i="2"/>
  <c r="B74" i="3" s="1"/>
  <c r="AC8" i="2"/>
  <c r="B57" i="3" s="1"/>
  <c r="O57" i="3"/>
  <c r="AC7" i="2"/>
  <c r="B112" i="3" s="1"/>
  <c r="AC3" i="2"/>
  <c r="B38" i="3" s="1"/>
  <c r="AC5" i="2"/>
  <c r="B90" i="3" s="1"/>
  <c r="O27" i="3"/>
  <c r="AC123" i="2"/>
  <c r="B27" i="3" s="1"/>
  <c r="AC71" i="2"/>
  <c r="B59" i="3" s="1"/>
  <c r="O59" i="3"/>
  <c r="AB55" i="2"/>
  <c r="P64" i="3" s="1"/>
  <c r="AC55" i="2"/>
  <c r="B64" i="3" s="1"/>
  <c r="O64" i="3"/>
  <c r="O98" i="3"/>
  <c r="AC108" i="2"/>
  <c r="B98" i="3" s="1"/>
  <c r="AC124" i="2"/>
  <c r="B123" i="3" s="1"/>
  <c r="O123" i="3"/>
  <c r="O87" i="3"/>
  <c r="AC96" i="2"/>
  <c r="B87" i="3" s="1"/>
  <c r="O4" i="3"/>
  <c r="AC122" i="2"/>
  <c r="B4" i="3" s="1"/>
  <c r="AB78" i="2"/>
  <c r="P93" i="3" s="1"/>
  <c r="O93" i="3"/>
  <c r="AC78" i="2"/>
  <c r="B93" i="3" s="1"/>
  <c r="AC46" i="2"/>
  <c r="B42" i="3" s="1"/>
  <c r="O42" i="3"/>
  <c r="AC107" i="2"/>
  <c r="B29" i="3" s="1"/>
  <c r="O29" i="3"/>
  <c r="O92" i="3"/>
  <c r="AC16" i="2"/>
  <c r="B92" i="3" s="1"/>
  <c r="AC68" i="2"/>
  <c r="B91" i="3" s="1"/>
  <c r="O91" i="3"/>
  <c r="O69" i="3"/>
  <c r="AC94" i="2"/>
  <c r="B69" i="3" s="1"/>
  <c r="AB91" i="2"/>
  <c r="P45" i="3" s="1"/>
  <c r="O45" i="3"/>
  <c r="AC91" i="2"/>
  <c r="B45" i="3" s="1"/>
  <c r="O81" i="3"/>
  <c r="AC64" i="2"/>
  <c r="B81" i="3" s="1"/>
  <c r="O66" i="3"/>
  <c r="AC86" i="2"/>
  <c r="B66" i="3" s="1"/>
  <c r="O78" i="3"/>
  <c r="AC77" i="2"/>
  <c r="B78" i="3" s="1"/>
  <c r="AC27" i="2"/>
  <c r="B89" i="3" s="1"/>
  <c r="O89" i="3"/>
  <c r="AB57" i="2"/>
  <c r="P18" i="3" s="1"/>
  <c r="O18" i="3"/>
  <c r="AC57" i="2"/>
  <c r="B18" i="3" s="1"/>
  <c r="AB44" i="2"/>
  <c r="P88" i="3" s="1"/>
  <c r="O88" i="3"/>
  <c r="AC44" i="2"/>
  <c r="B88" i="3" s="1"/>
  <c r="AB70" i="2"/>
  <c r="P21" i="3" s="1"/>
  <c r="AC70" i="2"/>
  <c r="B21" i="3" s="1"/>
  <c r="O21" i="3"/>
  <c r="AC95" i="2"/>
  <c r="B75" i="3" s="1"/>
  <c r="O75" i="3"/>
  <c r="O51" i="3"/>
  <c r="AC40" i="2"/>
  <c r="B51" i="3" s="1"/>
  <c r="AC67" i="2"/>
  <c r="B85" i="3" s="1"/>
  <c r="O85" i="3"/>
  <c r="O101" i="3"/>
  <c r="AC102" i="2"/>
  <c r="B101" i="3" s="1"/>
  <c r="AC97" i="2"/>
  <c r="B94" i="3" s="1"/>
  <c r="O94" i="3"/>
  <c r="AB51" i="2"/>
  <c r="P77" i="3" s="1"/>
  <c r="O77" i="3"/>
  <c r="AC51" i="2"/>
  <c r="B77" i="3" s="1"/>
  <c r="O95" i="3"/>
  <c r="AC112" i="2"/>
  <c r="B95" i="3" s="1"/>
  <c r="O15" i="3"/>
  <c r="AC69" i="2"/>
  <c r="B15" i="3" s="1"/>
  <c r="AB10" i="2"/>
  <c r="P56" i="3" s="1"/>
  <c r="O56" i="3"/>
  <c r="AC10" i="2"/>
  <c r="B56" i="3" s="1"/>
  <c r="AC15" i="2"/>
  <c r="B122" i="3" s="1"/>
  <c r="O122" i="3"/>
  <c r="AC88" i="2"/>
  <c r="B121" i="3" s="1"/>
  <c r="O121" i="3"/>
  <c r="O55" i="3"/>
  <c r="AC35" i="2"/>
  <c r="B55" i="3" s="1"/>
  <c r="O73" i="3"/>
  <c r="AC63" i="2"/>
  <c r="B73" i="3" s="1"/>
  <c r="AB41" i="2"/>
  <c r="P32" i="3" s="1"/>
  <c r="O32" i="3"/>
  <c r="AC41" i="2"/>
  <c r="B32" i="3" s="1"/>
  <c r="O76" i="3"/>
  <c r="AC43" i="2"/>
  <c r="B76" i="3" s="1"/>
  <c r="AB24" i="2"/>
  <c r="P5" i="3" s="1"/>
  <c r="O5" i="3"/>
  <c r="AC24" i="2"/>
  <c r="B5" i="3" s="1"/>
  <c r="AB106" i="2"/>
  <c r="P105" i="3" s="1"/>
  <c r="AC106" i="2"/>
  <c r="B105" i="3" s="1"/>
  <c r="O105" i="3"/>
  <c r="AB33" i="2"/>
  <c r="P28" i="3" s="1"/>
  <c r="O28" i="3"/>
  <c r="AC33" i="2"/>
  <c r="B28" i="3" s="1"/>
  <c r="AB47" i="2"/>
  <c r="P99" i="3" s="1"/>
  <c r="O99" i="3"/>
  <c r="AC47" i="2"/>
  <c r="B99" i="3" s="1"/>
  <c r="AB42" i="2"/>
  <c r="P54" i="3" s="1"/>
  <c r="AB74" i="2"/>
  <c r="P118" i="3" s="1"/>
  <c r="AB76" i="2"/>
  <c r="P65" i="3" s="1"/>
  <c r="O9" i="3"/>
  <c r="AC39" i="2"/>
  <c r="B9" i="3" s="1"/>
  <c r="AB113" i="2"/>
  <c r="P120" i="3" s="1"/>
  <c r="O120" i="3"/>
  <c r="AC113" i="2"/>
  <c r="B120" i="3" s="1"/>
  <c r="AC26" i="2"/>
  <c r="B48" i="3" s="1"/>
  <c r="O48" i="3"/>
  <c r="O110" i="3"/>
  <c r="AC84" i="2"/>
  <c r="B110" i="3" s="1"/>
  <c r="O36" i="3"/>
  <c r="AC37" i="2"/>
  <c r="B36" i="3" s="1"/>
  <c r="O71" i="3"/>
  <c r="AC62" i="2"/>
  <c r="B71" i="3" s="1"/>
  <c r="AB29" i="2"/>
  <c r="P16" i="3" s="1"/>
  <c r="AB112" i="2"/>
  <c r="P95" i="3" s="1"/>
  <c r="AB45" i="2"/>
  <c r="P113" i="3" s="1"/>
  <c r="AB90" i="2"/>
  <c r="P117" i="3" s="1"/>
  <c r="O117" i="3"/>
  <c r="AC90" i="2"/>
  <c r="B117" i="3" s="1"/>
  <c r="AB69" i="2"/>
  <c r="P15" i="3" s="1"/>
  <c r="AB73" i="2"/>
  <c r="P8" i="3" s="1"/>
  <c r="O62" i="3"/>
  <c r="AC36" i="2"/>
  <c r="B62" i="3" s="1"/>
  <c r="AB35" i="2"/>
  <c r="P55" i="3" s="1"/>
  <c r="AB82" i="2"/>
  <c r="P34" i="3" s="1"/>
  <c r="AB14" i="2"/>
  <c r="P58" i="3" s="1"/>
  <c r="O14" i="3"/>
  <c r="AC75" i="2"/>
  <c r="B14" i="3" s="1"/>
  <c r="O37" i="3"/>
  <c r="AC21" i="2"/>
  <c r="B37" i="3" s="1"/>
  <c r="O72" i="3"/>
  <c r="AC38" i="2"/>
  <c r="B72" i="3" s="1"/>
  <c r="O102" i="3"/>
  <c r="AC103" i="2"/>
  <c r="B102"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<sst xmlns="http://schemas.openxmlformats.org/spreadsheetml/2006/main" count="42570" uniqueCount="8786">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</sst>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cellStyle name="표준 2 2" xfId="3"/>
    <cellStyle name="표준 3" xfId="2"/>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29.699999999999989</v>
          </cell>
          <cell r="H2">
            <v>48.800000000000004</v>
          </cell>
          <cell r="I2">
            <v>30.5</v>
          </cell>
          <cell r="J2">
            <v>13</v>
          </cell>
          <cell r="K2">
            <v>5</v>
          </cell>
          <cell r="L2">
            <v>18</v>
          </cell>
          <cell r="M2">
            <v>122</v>
          </cell>
          <cell r="N2" t="str">
            <v>90점 이상 합격
*예비 87~89점 1~2명</v>
          </cell>
          <cell r="Q2" t="str">
            <v>지역기반</v>
          </cell>
          <cell r="R2">
            <v>11</v>
          </cell>
          <cell r="S2">
            <v>3</v>
          </cell>
          <cell r="T2">
            <v>6</v>
          </cell>
          <cell r="U2">
            <v>5</v>
          </cell>
          <cell r="V2">
            <v>11</v>
          </cell>
        </row>
        <row r="3">
          <cell r="E3" t="str">
            <v>평가
현황</v>
          </cell>
          <cell r="F3">
            <v>2</v>
          </cell>
          <cell r="G3">
            <v>7</v>
          </cell>
          <cell r="H3">
            <v>62</v>
          </cell>
          <cell r="I3">
            <v>38</v>
          </cell>
          <cell r="J3">
            <v>8</v>
          </cell>
          <cell r="K3">
            <v>5</v>
          </cell>
          <cell r="L3">
            <v>13</v>
          </cell>
          <cell r="M3">
            <v>122</v>
          </cell>
          <cell r="Q3" t="str">
            <v>대학발</v>
          </cell>
          <cell r="R3">
            <v>1</v>
          </cell>
          <cell r="S3">
            <v>0</v>
          </cell>
          <cell r="T3">
            <v>1</v>
          </cell>
          <cell r="U3">
            <v>0</v>
          </cell>
          <cell r="V3">
            <v>1</v>
          </cell>
        </row>
        <row r="4">
          <cell r="E4" t="str">
            <v>청년</v>
          </cell>
          <cell r="F4" t="str">
            <v>*지역기반만 집계</v>
          </cell>
          <cell r="J4">
            <v>11</v>
          </cell>
          <cell r="K4">
            <v>5</v>
          </cell>
          <cell r="L4">
            <v>16</v>
          </cell>
          <cell r="M4">
            <v>16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20416443</v>
          </cell>
          <cell r="C8" t="str">
            <v>지역기반</v>
          </cell>
          <cell r="D8" t="str">
            <v>화공ㆍ섬유</v>
          </cell>
          <cell r="E8" t="str">
            <v>고해상도 DFSR(Dry Film Solder Resist) 제조기술 개발</v>
          </cell>
          <cell r="F8" t="str">
            <v>250,000,000</v>
          </cell>
          <cell r="G8" t="str">
            <v>2</v>
          </cell>
          <cell r="H8" t="str">
            <v>초기</v>
          </cell>
          <cell r="I8" t="str">
            <v>중장년</v>
          </cell>
          <cell r="J8">
            <v>0</v>
          </cell>
          <cell r="K8">
            <v>10</v>
          </cell>
          <cell r="L8">
            <v>10</v>
          </cell>
          <cell r="M8">
            <v>19</v>
          </cell>
          <cell r="N8">
            <v>18</v>
          </cell>
          <cell r="O8">
            <v>9</v>
          </cell>
          <cell r="P8">
            <v>9</v>
          </cell>
          <cell r="Q8">
            <v>15</v>
          </cell>
          <cell r="R8">
            <v>5</v>
          </cell>
          <cell r="S8">
            <v>95</v>
          </cell>
          <cell r="T8">
            <v>0</v>
          </cell>
          <cell r="U8">
            <v>95</v>
          </cell>
          <cell r="V8">
            <v>1</v>
          </cell>
          <cell r="W8" t="str">
            <v xml:space="preserve">-기존기술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v>
          </cell>
        </row>
        <row r="9">
          <cell r="B9">
            <v>20426411</v>
          </cell>
          <cell r="C9" t="str">
            <v>지역기반</v>
          </cell>
          <cell r="D9" t="str">
            <v>화공ㆍ섬유</v>
          </cell>
          <cell r="E9" t="str">
            <v>해조류 청각 기반 메탄저감 사료첨가제</v>
          </cell>
          <cell r="F9" t="str">
            <v>37,915,000</v>
          </cell>
          <cell r="G9" t="str">
            <v>2</v>
          </cell>
          <cell r="H9" t="str">
            <v>초기</v>
          </cell>
          <cell r="I9" t="str">
            <v>청년</v>
          </cell>
          <cell r="J9">
            <v>0</v>
          </cell>
          <cell r="K9">
            <v>10</v>
          </cell>
          <cell r="L9">
            <v>9</v>
          </cell>
          <cell r="M9">
            <v>19</v>
          </cell>
          <cell r="N9">
            <v>19</v>
          </cell>
          <cell r="O9">
            <v>9</v>
          </cell>
          <cell r="P9">
            <v>8</v>
          </cell>
          <cell r="Q9">
            <v>15</v>
          </cell>
          <cell r="R9">
            <v>5</v>
          </cell>
          <cell r="S9">
            <v>94</v>
          </cell>
          <cell r="T9">
            <v>0</v>
          </cell>
          <cell r="U9">
            <v>94</v>
          </cell>
          <cell r="V9">
            <v>2</v>
          </cell>
          <cell r="W9" t="str">
            <v xml:space="preserve">-사업화 아이템의 특성을 고려하여 기존시장의 유사제품과 비교하여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10">
          <cell r="B10">
            <v>20402078</v>
          </cell>
          <cell r="C10" t="str">
            <v>지역기반</v>
          </cell>
          <cell r="D10" t="str">
            <v>화공ㆍ섬유</v>
          </cell>
          <cell r="E10" t="str">
            <v>[글로벌 타겟] AI 톤적응 마이크로캡슐 기반 스킨케어형 컬러체인지 커버선크림 개발 및 사업화</v>
          </cell>
          <cell r="F10" t="str">
            <v>128,835,710</v>
          </cell>
          <cell r="G10" t="str">
            <v>2</v>
          </cell>
          <cell r="H10" t="str">
            <v>초기</v>
          </cell>
          <cell r="I10" t="str">
            <v>청년</v>
          </cell>
          <cell r="J10">
            <v>0</v>
          </cell>
          <cell r="K10">
            <v>10</v>
          </cell>
          <cell r="L10">
            <v>8</v>
          </cell>
          <cell r="M10">
            <v>18</v>
          </cell>
          <cell r="N10">
            <v>18</v>
          </cell>
          <cell r="O10">
            <v>9</v>
          </cell>
          <cell r="P10">
            <v>8</v>
          </cell>
          <cell r="Q10">
            <v>15</v>
          </cell>
          <cell r="R10">
            <v>5</v>
          </cell>
          <cell r="S10">
            <v>91</v>
          </cell>
          <cell r="T10">
            <v>2</v>
          </cell>
          <cell r="U10">
            <v>93</v>
          </cell>
          <cell r="V10">
            <v>3</v>
          </cell>
          <cell r="W10" t="str">
            <v xml:space="preserve">-사업화아이템의 성공가능성 향상을 위하여 시장에 판매되고 있는 유사제품 대비 차별화 이슈 도출 및 경쟁력 강화를 위한 방안에 대한 심도있는 고민이 필요해 보입니다.
-창업지원사업의 특성을 고려한 객관적 성과지표 제시 및 달성방안에 대한 설명이 필요해 보입니다. </v>
          </cell>
        </row>
        <row r="11">
          <cell r="B11">
            <v>20426887</v>
          </cell>
          <cell r="C11" t="str">
            <v>지역기반</v>
          </cell>
          <cell r="D11" t="str">
            <v>화공ㆍ섬유</v>
          </cell>
          <cell r="E11" t="str">
            <v>NIDT 변형 리포좀 기술을 적용하여 피부 열감과 속건조를 동시 해결하는 ‘기후 대응형(Zero-Heat) 고기능성 스킨케어’</v>
          </cell>
          <cell r="F11" t="str">
            <v>77,000,000</v>
          </cell>
          <cell r="G11" t="str">
            <v>4</v>
          </cell>
          <cell r="H11" t="str">
            <v>초기</v>
          </cell>
          <cell r="I11" t="str">
            <v>청년</v>
          </cell>
          <cell r="J11">
            <v>0</v>
          </cell>
          <cell r="K11">
            <v>10</v>
          </cell>
          <cell r="L11">
            <v>10</v>
          </cell>
          <cell r="M11">
            <v>18</v>
          </cell>
          <cell r="N11">
            <v>17</v>
          </cell>
          <cell r="O11">
            <v>9</v>
          </cell>
          <cell r="P11">
            <v>8</v>
          </cell>
          <cell r="Q11">
            <v>15</v>
          </cell>
          <cell r="R11">
            <v>5</v>
          </cell>
          <cell r="S11">
            <v>92</v>
          </cell>
          <cell r="T11">
            <v>0</v>
          </cell>
          <cell r="U11">
            <v>92</v>
          </cell>
          <cell r="V11">
            <v>4</v>
          </cell>
          <cell r="W11" t="str">
            <v>-사업화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v>
          </cell>
        </row>
        <row r="12">
          <cell r="B12">
            <v>20414625</v>
          </cell>
          <cell r="C12" t="str">
            <v>지역기반</v>
          </cell>
          <cell r="D12" t="str">
            <v>화공ㆍ섬유</v>
          </cell>
          <cell r="E12" t="str">
            <v>초음파 향미 추출 기반 조주·조리용 향미 주류 (비터스·기주) 개발</v>
          </cell>
          <cell r="F12" t="str">
            <v>0</v>
          </cell>
          <cell r="G12" t="str">
            <v>0</v>
          </cell>
          <cell r="H12" t="str">
            <v>예비</v>
          </cell>
          <cell r="I12" t="str">
            <v>중장년</v>
          </cell>
          <cell r="J12">
            <v>0</v>
          </cell>
          <cell r="K12">
            <v>8</v>
          </cell>
          <cell r="L12">
            <v>9</v>
          </cell>
          <cell r="M12">
            <v>18</v>
          </cell>
          <cell r="N12">
            <v>18</v>
          </cell>
          <cell r="O12">
            <v>9</v>
          </cell>
          <cell r="P12">
            <v>9</v>
          </cell>
          <cell r="Q12">
            <v>15</v>
          </cell>
          <cell r="R12">
            <v>5</v>
          </cell>
          <cell r="S12">
            <v>91</v>
          </cell>
          <cell r="T12">
            <v>0</v>
          </cell>
          <cell r="U12">
            <v>91</v>
          </cell>
          <cell r="V12">
            <v>5</v>
          </cell>
          <cell r="W12" t="str">
            <v>-사업화아이템의 지속성 및 기존유사제품에 대한 경쟁력 강화를 위해 다양한 관점에서 차별화 및 경쟁력 확보 방안에 대한 고민이 필요해 보입니다
-사업의 성공가능성 향상을 위해 보다 다각적이고 세부적인 수익창출방안 및 성과 목표달성방안에 대한 고민이 필요해 보입니다.</v>
          </cell>
        </row>
        <row r="13">
          <cell r="B13">
            <v>20415499</v>
          </cell>
          <cell r="C13" t="str">
            <v>지역기반</v>
          </cell>
          <cell r="D13" t="str">
            <v>화공ㆍ섬유</v>
          </cell>
          <cell r="E13" t="str">
            <v>초고속 냉연/도금 강판 생산 라인을 위한 반응형 초계면(Super-Interface) 탈지제</v>
          </cell>
          <cell r="F13" t="str">
            <v>504,000,000</v>
          </cell>
          <cell r="G13" t="str">
            <v>1</v>
          </cell>
          <cell r="H13" t="str">
            <v>초기</v>
          </cell>
          <cell r="I13" t="str">
            <v>청년</v>
          </cell>
          <cell r="J13">
            <v>0</v>
          </cell>
          <cell r="K13">
            <v>9</v>
          </cell>
          <cell r="L13">
            <v>9</v>
          </cell>
          <cell r="M13">
            <v>19</v>
          </cell>
          <cell r="N13">
            <v>16</v>
          </cell>
          <cell r="O13">
            <v>9</v>
          </cell>
          <cell r="P13">
            <v>9</v>
          </cell>
          <cell r="Q13">
            <v>15</v>
          </cell>
          <cell r="R13">
            <v>5</v>
          </cell>
          <cell r="S13">
            <v>91</v>
          </cell>
          <cell r="T13">
            <v>0</v>
          </cell>
          <cell r="U13">
            <v>91</v>
          </cell>
          <cell r="V13">
            <v>5</v>
          </cell>
          <cell r="W13" t="str">
            <v xml:space="preserve">-기존제품 대비 특화된 경쟁요소 도출 및 그것의 활용에 대한 설명이 필요해 보입니다.
-후발 경쟁자의 시장진입 억제를 위해 진입억제 방안 도출에 대한 고민이 필요해 보입니다.
-창업지원사업의 특성을 고려한 성과지표제시 및 달성방안에 대한 설명이 필요해 보입니다. </v>
          </cell>
        </row>
        <row r="14">
          <cell r="B14">
            <v>20416668</v>
          </cell>
          <cell r="C14" t="str">
            <v>대학발</v>
          </cell>
          <cell r="D14" t="str">
            <v>화공ㆍ섬유</v>
          </cell>
          <cell r="E14" t="str">
            <v>여름철 민감·트러블 진정용 스킨케어 샤워기용 타블렛 개발</v>
          </cell>
          <cell r="F14" t="str">
            <v>52,678,928</v>
          </cell>
          <cell r="G14" t="str">
            <v>4</v>
          </cell>
          <cell r="H14" t="str">
            <v>초기</v>
          </cell>
          <cell r="I14" t="str">
            <v>청년</v>
          </cell>
          <cell r="J14">
            <v>0</v>
          </cell>
          <cell r="K14">
            <v>9</v>
          </cell>
          <cell r="L14">
            <v>8</v>
          </cell>
          <cell r="M14">
            <v>18</v>
          </cell>
          <cell r="N14">
            <v>18</v>
          </cell>
          <cell r="O14">
            <v>9</v>
          </cell>
          <cell r="P14">
            <v>9</v>
          </cell>
          <cell r="Q14">
            <v>15</v>
          </cell>
          <cell r="R14">
            <v>5</v>
          </cell>
          <cell r="S14">
            <v>91</v>
          </cell>
          <cell r="T14">
            <v>0</v>
          </cell>
          <cell r="U14">
            <v>91</v>
          </cell>
          <cell r="V14">
            <v>5</v>
          </cell>
          <cell r="W14" t="str">
            <v>-소비자의 니즈 및 기존 제품과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cell r="X14" t="str">
            <v>일치</v>
          </cell>
          <cell r="Y14" t="str">
            <v xml:space="preserve">사업화 아이템에 대하여 주력산업 분야에 해당하는지 여부에 대한 확인이 필요함. </v>
          </cell>
        </row>
        <row r="15">
          <cell r="B15">
            <v>20421742</v>
          </cell>
          <cell r="C15" t="str">
            <v>실험실</v>
          </cell>
          <cell r="D15" t="str">
            <v>화공ㆍ섬유</v>
          </cell>
          <cell r="E15" t="str">
            <v>고난도 첨단 연구용 유기화합물 맞춤형 합성·공급 플랫폼</v>
          </cell>
          <cell r="F15" t="str">
            <v>26,081,000</v>
          </cell>
          <cell r="G15" t="str">
            <v>1</v>
          </cell>
          <cell r="H15" t="str">
            <v>초기</v>
          </cell>
          <cell r="I15" t="str">
            <v>청년</v>
          </cell>
          <cell r="J15" t="str">
            <v/>
          </cell>
          <cell r="K15">
            <v>10</v>
          </cell>
          <cell r="L15">
            <v>8</v>
          </cell>
          <cell r="M15">
            <v>18</v>
          </cell>
          <cell r="N15">
            <v>17</v>
          </cell>
          <cell r="O15">
            <v>9</v>
          </cell>
          <cell r="P15">
            <v>8</v>
          </cell>
          <cell r="Q15">
            <v>15</v>
          </cell>
          <cell r="R15">
            <v>5</v>
          </cell>
          <cell r="S15">
            <v>90</v>
          </cell>
          <cell r="T15">
            <v>0</v>
          </cell>
          <cell r="U15">
            <v>90</v>
          </cell>
          <cell r="V15">
            <v>8</v>
          </cell>
          <cell r="W15" t="str">
            <v>-사업의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16">
          <cell r="B16">
            <v>20426450</v>
          </cell>
          <cell r="C16" t="str">
            <v>지역기반</v>
          </cell>
          <cell r="D16" t="str">
            <v>화공ㆍ섬유</v>
          </cell>
          <cell r="E16" t="str">
            <v>아우라 오브 조선 (Aura of Joseon)</v>
          </cell>
          <cell r="F16" t="str">
            <v>1,042,366,276</v>
          </cell>
          <cell r="G16" t="str">
            <v>1</v>
          </cell>
          <cell r="H16" t="str">
            <v>도약</v>
          </cell>
          <cell r="I16" t="str">
            <v>청년</v>
          </cell>
          <cell r="J16">
            <v>0</v>
          </cell>
          <cell r="K16">
            <v>10</v>
          </cell>
          <cell r="L16">
            <v>9</v>
          </cell>
          <cell r="M16">
            <v>19</v>
          </cell>
          <cell r="N16">
            <v>18</v>
          </cell>
          <cell r="O16">
            <v>8</v>
          </cell>
          <cell r="P16">
            <v>8</v>
          </cell>
          <cell r="Q16">
            <v>13</v>
          </cell>
          <cell r="R16">
            <v>4</v>
          </cell>
          <cell r="S16">
            <v>89</v>
          </cell>
          <cell r="T16">
            <v>0</v>
          </cell>
          <cell r="U16">
            <v>89</v>
          </cell>
          <cell r="V16">
            <v>9</v>
          </cell>
          <cell r="W16" t="str">
            <v>-기존시장의 유사제품에 대한 우리 제품의 차별화 요소를 바탕으로 다각적인 경쟁분석을 통한 사업화 아이템의 성공가능성 향상에 대한 고민이 필요해 보입니다.
- 사업의 지속성 확보 차원에서 서비스 모델에 대한 산업재산권 확보에 대한 검토가 필요해 보입니다.
-창업지원사업의 특성을 고려한 정량적 성과지표 및 달성방안에 대한 설명이 필요해 보입니다.</v>
          </cell>
        </row>
        <row r="17">
          <cell r="B17">
            <v>20421819</v>
          </cell>
          <cell r="C17" t="str">
            <v>지역기반</v>
          </cell>
          <cell r="D17" t="str">
            <v>화공ㆍ섬유</v>
          </cell>
          <cell r="E17" t="str">
            <v>노령견 피부장벽 예방 기능성 케어 크림 개발</v>
          </cell>
          <cell r="F17" t="str">
            <v>385,902</v>
          </cell>
          <cell r="G17" t="str">
            <v>0</v>
          </cell>
          <cell r="H17" t="str">
            <v>초기</v>
          </cell>
          <cell r="I17" t="str">
            <v>청년</v>
          </cell>
          <cell r="J17">
            <v>0</v>
          </cell>
          <cell r="K17">
            <v>9</v>
          </cell>
          <cell r="L17">
            <v>9</v>
          </cell>
          <cell r="M17">
            <v>17</v>
          </cell>
          <cell r="N17">
            <v>18</v>
          </cell>
          <cell r="O17">
            <v>9</v>
          </cell>
          <cell r="P17">
            <v>9</v>
          </cell>
          <cell r="Q17">
            <v>13</v>
          </cell>
          <cell r="R17">
            <v>4</v>
          </cell>
          <cell r="S17">
            <v>88</v>
          </cell>
          <cell r="T17">
            <v>0</v>
          </cell>
          <cell r="U17">
            <v>88</v>
          </cell>
          <cell r="V17">
            <v>10</v>
          </cell>
          <cell r="W17" t="str">
            <v xml:space="preserve">-사업화 아이템의 특성을 고려하여 기존의 유사제품에 대한 차별화 요소를 바탕으로 세부적인 경쟁분석이 필요해 보입니다.
-사업의 지속성 확보를 위해 보다 구체적인 수익창출을 기반으로 하는 마케팅 전략에 대한 고민이 필요해 보입니다.
-창업지원사업의 특성을 고려한 정량적 성과지표 및 달성방안에 대한 설명이 필요해 보입니다.  </v>
          </cell>
        </row>
        <row r="18">
          <cell r="B18">
            <v>20413912</v>
          </cell>
          <cell r="C18" t="str">
            <v>지역기반</v>
          </cell>
          <cell r="D18" t="str">
            <v>화공ㆍ섬유</v>
          </cell>
          <cell r="E18" t="str">
            <v>20만건 퍼스널컬러 진단 데이터를 기반으로 메이크업·패션 제품을 개인 맞춤 추천하는 AI 연계형 K-뷰티 글로벌 플랫폼</v>
          </cell>
          <cell r="F18" t="str">
            <v>1,563,403,436</v>
          </cell>
          <cell r="G18" t="str">
            <v>11</v>
          </cell>
          <cell r="H18" t="str">
            <v>초기</v>
          </cell>
          <cell r="I18" t="str">
            <v>중장년</v>
          </cell>
          <cell r="J18">
            <v>0</v>
          </cell>
          <cell r="K18">
            <v>9</v>
          </cell>
          <cell r="L18">
            <v>8</v>
          </cell>
          <cell r="M18">
            <v>18</v>
          </cell>
          <cell r="N18">
            <v>18</v>
          </cell>
          <cell r="O18">
            <v>9</v>
          </cell>
          <cell r="P18">
            <v>9</v>
          </cell>
          <cell r="Q18">
            <v>12</v>
          </cell>
          <cell r="R18">
            <v>4</v>
          </cell>
          <cell r="S18">
            <v>87</v>
          </cell>
          <cell r="T18">
            <v>0</v>
          </cell>
          <cell r="U18">
            <v>87</v>
          </cell>
          <cell r="V18">
            <v>11</v>
          </cell>
          <cell r="W18" t="str">
            <v xml:space="preserve">-사업화 대상 서비스 모델의 경쟁력 강화를 위한 차별화 요소 부각 방안에 대한 고민이 필요해 보입니다.
-서비스 모델의 특성상 후발 경쟁자의 시장진입 억제를 위한 방안에 대한 고민이 필요해 보입니다.
-보다 구체적인 수익창출 방안 설명 및 창업지원사업의 특성을 고려한 성과지표 제시 및 달성방안에 대한 설명이 필요해 보입니다. </v>
          </cell>
        </row>
        <row r="19">
          <cell r="B19">
            <v>20409574</v>
          </cell>
          <cell r="C19" t="str">
            <v>지역기반</v>
          </cell>
          <cell r="D19" t="str">
            <v>화공ㆍ섬유</v>
          </cell>
          <cell r="E19" t="str">
            <v>고온 공정 RTD의 원물 풍미 손실을 개선하는 저온 블렌딩 기반 국산 원물 클린라벨 RTD 과일티 개발</v>
          </cell>
          <cell r="F19" t="str">
            <v>0</v>
          </cell>
          <cell r="G19" t="str">
            <v>0</v>
          </cell>
          <cell r="H19" t="str">
            <v>예비</v>
          </cell>
          <cell r="I19" t="str">
            <v>청년</v>
          </cell>
          <cell r="J19">
            <v>0</v>
          </cell>
          <cell r="K19">
            <v>8</v>
          </cell>
          <cell r="L19">
            <v>9</v>
          </cell>
          <cell r="M19">
            <v>16</v>
          </cell>
          <cell r="N19">
            <v>16</v>
          </cell>
          <cell r="O19">
            <v>9</v>
          </cell>
          <cell r="P19">
            <v>8</v>
          </cell>
          <cell r="Q19">
            <v>14</v>
          </cell>
          <cell r="R19">
            <v>4</v>
          </cell>
          <cell r="S19">
            <v>84</v>
          </cell>
          <cell r="T19">
            <v>2</v>
          </cell>
          <cell r="U19">
            <v>86</v>
          </cell>
          <cell r="V19">
            <v>12</v>
          </cell>
          <cell r="W19" t="str">
            <v xml:space="preserve">- 사업 아이템의 성공가능성 향상을 위해 보다 구체적이고 상세한 마케팅 전략 수립 및 정부지원사업의 특성을 고려한 정량적 성과목표 수립이 아쉽습니다. </v>
          </cell>
        </row>
        <row r="20">
          <cell r="B20">
            <v>20412478</v>
          </cell>
          <cell r="C20" t="str">
            <v>지역기반</v>
          </cell>
          <cell r="D20" t="str">
            <v>화공ㆍ섬유</v>
          </cell>
          <cell r="E20" t="str">
            <v>업사이클링 원료 기반, 1030 트러블 케어 ‘1회분 스틱 파우더 팩’ · ‘10초 바디 진정 미스트’ 세트 개발 및 국내 버티컬 플랫폼 상용화</v>
          </cell>
          <cell r="F20" t="str">
            <v>0</v>
          </cell>
          <cell r="G20" t="str">
            <v>0</v>
          </cell>
          <cell r="H20" t="str">
            <v>예비</v>
          </cell>
          <cell r="I20" t="str">
            <v>청년</v>
          </cell>
          <cell r="J20">
            <v>0</v>
          </cell>
          <cell r="K20">
            <v>9</v>
          </cell>
          <cell r="L20">
            <v>8</v>
          </cell>
          <cell r="M20">
            <v>18</v>
          </cell>
          <cell r="N20">
            <v>18</v>
          </cell>
          <cell r="O20">
            <v>9</v>
          </cell>
          <cell r="P20">
            <v>8</v>
          </cell>
          <cell r="Q20">
            <v>12</v>
          </cell>
          <cell r="R20">
            <v>4</v>
          </cell>
          <cell r="S20">
            <v>86</v>
          </cell>
          <cell r="T20">
            <v>0</v>
          </cell>
          <cell r="U20">
            <v>86</v>
          </cell>
          <cell r="V20">
            <v>12</v>
          </cell>
          <cell r="W20" t="str">
            <v xml:space="preserve">- 사업화 아이템의 지속성 확보 및 후발 경쟁자에 대한 차별화를 위한 지식재산 확보 방안에 대한 고민이 필요해 보입니다.
- 창업지원 사업의 특성을 감안하여 보다 구체적이고 정량적인 성과목표제시및 달성방안에 대한 고민이 필요해 보입니다. </v>
          </cell>
        </row>
        <row r="21">
          <cell r="B21">
            <v>20418712</v>
          </cell>
          <cell r="C21" t="str">
            <v>지역기반</v>
          </cell>
          <cell r="D21" t="str">
            <v>화공ㆍ섬유</v>
          </cell>
          <cell r="E21" t="str">
            <v>고강도 퍼포먼스 환경에서의 안면 홍조 진정 및 피부 장벽 보호를 위한 '마이크로바이옴 스킨-본딩 쿠션 선크림 HAERI</v>
          </cell>
          <cell r="F21" t="str">
            <v>0</v>
          </cell>
          <cell r="G21" t="str">
            <v>0</v>
          </cell>
          <cell r="H21" t="str">
            <v>예비</v>
          </cell>
          <cell r="I21" t="str">
            <v>청년</v>
          </cell>
          <cell r="J21">
            <v>0</v>
          </cell>
          <cell r="K21">
            <v>8</v>
          </cell>
          <cell r="L21">
            <v>9</v>
          </cell>
          <cell r="M21">
            <v>17</v>
          </cell>
          <cell r="N21">
            <v>17</v>
          </cell>
          <cell r="O21">
            <v>8</v>
          </cell>
          <cell r="P21">
            <v>9</v>
          </cell>
          <cell r="Q21">
            <v>13</v>
          </cell>
          <cell r="R21">
            <v>5</v>
          </cell>
          <cell r="S21">
            <v>86</v>
          </cell>
          <cell r="T21">
            <v>0</v>
          </cell>
          <cell r="U21">
            <v>86</v>
          </cell>
          <cell r="V21">
            <v>12</v>
          </cell>
          <cell r="W21" t="str">
            <v>-사업화 아이템의 특성을 감안하여 보다 구체적이고 현실성있는 수익창출 전략 수립에 대한고민이 필요해 보입니다.
-사업의 지속성 확보 및 비즈니스 경쟁력 확보를 위한 중장기 전략 수립이 필요해 보입니다.</v>
          </cell>
        </row>
        <row r="22">
          <cell r="B22">
            <v>20416549</v>
          </cell>
          <cell r="C22" t="str">
            <v>지역기반</v>
          </cell>
          <cell r="D22" t="str">
            <v>화공ㆍ섬유</v>
          </cell>
          <cell r="E22" t="str">
            <v>특허 기반 3중 레이어 기술 적용 보습 패드팩 개발 및 글로벌 진출</v>
          </cell>
          <cell r="F22" t="str">
            <v>203,000,000</v>
          </cell>
          <cell r="G22" t="str">
            <v>3</v>
          </cell>
          <cell r="H22" t="str">
            <v>초기</v>
          </cell>
          <cell r="I22" t="str">
            <v>청년</v>
          </cell>
          <cell r="J22">
            <v>0</v>
          </cell>
          <cell r="K22">
            <v>8</v>
          </cell>
          <cell r="L22">
            <v>9</v>
          </cell>
          <cell r="M22">
            <v>17</v>
          </cell>
          <cell r="N22">
            <v>16</v>
          </cell>
          <cell r="O22">
            <v>9</v>
          </cell>
          <cell r="P22">
            <v>8</v>
          </cell>
          <cell r="Q22">
            <v>12</v>
          </cell>
          <cell r="R22">
            <v>5</v>
          </cell>
          <cell r="S22">
            <v>84</v>
          </cell>
          <cell r="T22">
            <v>2</v>
          </cell>
          <cell r="U22">
            <v>86</v>
          </cell>
          <cell r="V22">
            <v>12</v>
          </cell>
          <cell r="W22" t="str">
            <v xml:space="preserve">-사업화 대상 서비스 모델의 경쟁력 강화를 위한 차별화 요소 부각 방안에 대한 고민이 필요해 보입니다.
-제품의 특성상 후발 경쟁자의 시장진입 억제를 위한 방안에 대한 고민이 필요해 보입니다.
-보다 구체적인 수익창출 방안 설명 및 창업지원사업의 특성을 고려한 성과지표 제시 및 달성방안에 대한 설명이 필요해 보입니다. </v>
          </cell>
        </row>
        <row r="23">
          <cell r="B23">
            <v>20413097</v>
          </cell>
          <cell r="C23" t="str">
            <v>지역기반</v>
          </cell>
          <cell r="D23" t="str">
            <v>화공ㆍ섬유</v>
          </cell>
          <cell r="E23" t="str">
            <v>AI 기반 제조 공정 혁신 기술이 적용된 글로벌 타겟 프리미엄 K-디저트 개발 및 사업화</v>
          </cell>
          <cell r="F23" t="str">
            <v>1,000,000,000</v>
          </cell>
          <cell r="G23" t="str">
            <v>13</v>
          </cell>
          <cell r="H23" t="str">
            <v>도약</v>
          </cell>
          <cell r="I23" t="str">
            <v>청년</v>
          </cell>
          <cell r="J23">
            <v>0</v>
          </cell>
          <cell r="K23">
            <v>9</v>
          </cell>
          <cell r="L23">
            <v>8</v>
          </cell>
          <cell r="M23">
            <v>18</v>
          </cell>
          <cell r="N23">
            <v>17</v>
          </cell>
          <cell r="O23">
            <v>9</v>
          </cell>
          <cell r="P23">
            <v>8</v>
          </cell>
          <cell r="Q23">
            <v>13</v>
          </cell>
          <cell r="R23">
            <v>4</v>
          </cell>
          <cell r="S23">
            <v>86</v>
          </cell>
          <cell r="T23">
            <v>0</v>
          </cell>
          <cell r="U23">
            <v>86</v>
          </cell>
          <cell r="V23">
            <v>12</v>
          </cell>
          <cell r="W23" t="str">
            <v>-소비자의 니즈 및 기존시장의 유사제품에 대한 우리 제품의 차별화 요소를 바탕으로 다각적인 경쟁분석을 통한 사업화 아이템의 성공가능성 향상에 대한 고민이 필요해 보입니다.
-창업지원사업의 특성을 고려한 정량적 성과지표 및 달성방안에 대한 설명이 필요해 보입니다.</v>
          </cell>
        </row>
        <row r="24">
          <cell r="B24">
            <v>20413602</v>
          </cell>
          <cell r="C24" t="str">
            <v>지역기반</v>
          </cell>
          <cell r="D24" t="str">
            <v>화공ㆍ섬유</v>
          </cell>
          <cell r="E24" t="str">
            <v>인플루언서 팬덤을 매출로 전환하는 제조 기반 커머스 플랫폼</v>
          </cell>
          <cell r="F24" t="str">
            <v>300,000,000</v>
          </cell>
          <cell r="G24" t="str">
            <v>3</v>
          </cell>
          <cell r="H24" t="str">
            <v>초기</v>
          </cell>
          <cell r="I24" t="str">
            <v>청년</v>
          </cell>
          <cell r="J24">
            <v>0</v>
          </cell>
          <cell r="K24">
            <v>8</v>
          </cell>
          <cell r="L24">
            <v>9</v>
          </cell>
          <cell r="M24">
            <v>17</v>
          </cell>
          <cell r="N24">
            <v>16</v>
          </cell>
          <cell r="O24">
            <v>8</v>
          </cell>
          <cell r="P24">
            <v>9</v>
          </cell>
          <cell r="Q24">
            <v>14</v>
          </cell>
          <cell r="R24">
            <v>4</v>
          </cell>
          <cell r="S24">
            <v>85</v>
          </cell>
          <cell r="T24">
            <v>0</v>
          </cell>
          <cell r="U24">
            <v>85</v>
          </cell>
          <cell r="V24">
            <v>17</v>
          </cell>
          <cell r="W24" t="str">
            <v xml:space="preserve">-사업화 대상 서비스 모델의 경쟁력 강화를 위한 자동화 솔루션 적용등 인프라 확장에 대한 고민이 필요해 보입니다.
-서비스 모델의 특성상 후발 경쟁자의 시장진입 억제를 위한 방안에 대한 고민이 필요해 보입니다.
-보다 구체적인 수익창출 방안 설명 및 창업지원사업의 특성을 고려한 성과지표제시 및 달성방안에 대한 설명이 필요해 보입니다. </v>
          </cell>
        </row>
        <row r="25">
          <cell r="B25">
            <v>20431705</v>
          </cell>
          <cell r="C25" t="str">
            <v>지역기반</v>
          </cell>
          <cell r="D25" t="str">
            <v>화공ㆍ섬유</v>
          </cell>
          <cell r="E25" t="str">
            <v>스피큘 비드 코팅 기술 및 PDRN 시각화 기능이 적용된 B2B 화장품 원료 'Crystal Spicule Bead V4.0'</v>
          </cell>
          <cell r="F25" t="str">
            <v>2,000,000,000</v>
          </cell>
          <cell r="G25" t="str">
            <v>6</v>
          </cell>
          <cell r="H25" t="str">
            <v>도약</v>
          </cell>
          <cell r="I25" t="str">
            <v>중장년</v>
          </cell>
          <cell r="J25">
            <v>0</v>
          </cell>
          <cell r="K25">
            <v>9</v>
          </cell>
          <cell r="L25">
            <v>8</v>
          </cell>
          <cell r="M25">
            <v>17</v>
          </cell>
          <cell r="N25">
            <v>17</v>
          </cell>
          <cell r="O25">
            <v>9</v>
          </cell>
          <cell r="P25">
            <v>9</v>
          </cell>
          <cell r="Q25">
            <v>12</v>
          </cell>
          <cell r="R25">
            <v>4</v>
          </cell>
          <cell r="S25">
            <v>85</v>
          </cell>
          <cell r="T25">
            <v>0</v>
          </cell>
          <cell r="U25">
            <v>85</v>
          </cell>
          <cell r="V25">
            <v>17</v>
          </cell>
          <cell r="W25" t="str">
            <v>-소비자의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26">
          <cell r="B26">
            <v>20419677</v>
          </cell>
          <cell r="C26" t="str">
            <v>지역기반</v>
          </cell>
          <cell r="D26" t="str">
            <v>화공ㆍ섬유</v>
          </cell>
          <cell r="E26" t="str">
            <v>오토와인더 기술이 적용된  폴리프로필렌(PP) 원사 제조 및 인공지능 공정 제어를 위한 DX</v>
          </cell>
          <cell r="F26" t="str">
            <v>237,000,000</v>
          </cell>
          <cell r="G26" t="str">
            <v>3</v>
          </cell>
          <cell r="H26" t="str">
            <v>초기</v>
          </cell>
          <cell r="I26" t="str">
            <v>청년</v>
          </cell>
          <cell r="J26">
            <v>0</v>
          </cell>
          <cell r="K26">
            <v>8</v>
          </cell>
          <cell r="L26">
            <v>8</v>
          </cell>
          <cell r="M26">
            <v>17</v>
          </cell>
          <cell r="N26">
            <v>18</v>
          </cell>
          <cell r="O26">
            <v>8</v>
          </cell>
          <cell r="P26">
            <v>8</v>
          </cell>
          <cell r="Q26">
            <v>13</v>
          </cell>
          <cell r="R26">
            <v>4</v>
          </cell>
          <cell r="S26">
            <v>84</v>
          </cell>
          <cell r="T26">
            <v>0</v>
          </cell>
          <cell r="U26">
            <v>84</v>
          </cell>
          <cell r="V26">
            <v>19</v>
          </cell>
          <cell r="W26" t="str">
            <v xml:space="preserve">-사업화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27">
          <cell r="B27">
            <v>20404514</v>
          </cell>
          <cell r="C27" t="str">
            <v>지역기반</v>
          </cell>
          <cell r="D27" t="str">
            <v>화공ㆍ섬유</v>
          </cell>
          <cell r="E27" t="str">
            <v>건조기/스타일러 겸용 로컬라이징 천연 섬유유연제 시트 개발</v>
          </cell>
          <cell r="F27" t="str">
            <v>559,870,000</v>
          </cell>
          <cell r="G27" t="str">
            <v>9</v>
          </cell>
          <cell r="H27" t="str">
            <v>도약</v>
          </cell>
          <cell r="I27" t="str">
            <v>중장년</v>
          </cell>
          <cell r="J27">
            <v>0</v>
          </cell>
          <cell r="K27">
            <v>9</v>
          </cell>
          <cell r="L27">
            <v>8</v>
          </cell>
          <cell r="M27">
            <v>17</v>
          </cell>
          <cell r="N27">
            <v>16</v>
          </cell>
          <cell r="O27">
            <v>9</v>
          </cell>
          <cell r="P27">
            <v>8</v>
          </cell>
          <cell r="Q27">
            <v>13</v>
          </cell>
          <cell r="R27">
            <v>4</v>
          </cell>
          <cell r="S27">
            <v>84</v>
          </cell>
          <cell r="T27">
            <v>0</v>
          </cell>
          <cell r="U27">
            <v>84</v>
          </cell>
          <cell r="V27">
            <v>19</v>
          </cell>
          <cell r="W27" t="str">
            <v>-소비자의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28">
          <cell r="B28">
            <v>20429160</v>
          </cell>
          <cell r="C28" t="str">
            <v>지역기반</v>
          </cell>
          <cell r="D28" t="str">
            <v>화공ㆍ섬유</v>
          </cell>
          <cell r="E28" t="str">
            <v>국산 과일 소재화 기술 기반 데이터·AI 연계 K-Fruit 동결건조 식품소재 개발 및 글로벌 사업화</v>
          </cell>
          <cell r="F28" t="str">
            <v>1,344,472,947</v>
          </cell>
          <cell r="G28" t="str">
            <v>5</v>
          </cell>
          <cell r="H28" t="str">
            <v>도약</v>
          </cell>
          <cell r="I28" t="str">
            <v>중장년</v>
          </cell>
          <cell r="J28">
            <v>0</v>
          </cell>
          <cell r="K28">
            <v>8</v>
          </cell>
          <cell r="L28">
            <v>7</v>
          </cell>
          <cell r="M28">
            <v>17</v>
          </cell>
          <cell r="N28">
            <v>17</v>
          </cell>
          <cell r="O28">
            <v>9</v>
          </cell>
          <cell r="P28">
            <v>8</v>
          </cell>
          <cell r="Q28">
            <v>13</v>
          </cell>
          <cell r="R28">
            <v>5</v>
          </cell>
          <cell r="S28">
            <v>84</v>
          </cell>
          <cell r="T28">
            <v>0</v>
          </cell>
          <cell r="U28">
            <v>84</v>
          </cell>
          <cell r="V28">
            <v>19</v>
          </cell>
          <cell r="W28" t="str">
            <v>-소비자의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29">
          <cell r="B29">
            <v>20426667</v>
          </cell>
          <cell r="C29" t="str">
            <v>지역기반</v>
          </cell>
          <cell r="D29" t="str">
            <v>화공ㆍ섬유</v>
          </cell>
          <cell r="E29" t="str">
            <v>민감성 피부를 위한 단계 조절형 분리형 스피큘 볼 스킨케어 세트</v>
          </cell>
          <cell r="F29" t="str">
            <v>0</v>
          </cell>
          <cell r="G29" t="str">
            <v>0</v>
          </cell>
          <cell r="H29" t="str">
            <v>예비</v>
          </cell>
          <cell r="I29" t="str">
            <v>청년</v>
          </cell>
          <cell r="J29">
            <v>0</v>
          </cell>
          <cell r="K29">
            <v>8</v>
          </cell>
          <cell r="L29">
            <v>8</v>
          </cell>
          <cell r="M29">
            <v>17</v>
          </cell>
          <cell r="N29">
            <v>16</v>
          </cell>
          <cell r="O29">
            <v>8</v>
          </cell>
          <cell r="P29">
            <v>7</v>
          </cell>
          <cell r="Q29">
            <v>13</v>
          </cell>
          <cell r="R29">
            <v>4</v>
          </cell>
          <cell r="S29">
            <v>81</v>
          </cell>
          <cell r="T29">
            <v>2</v>
          </cell>
          <cell r="U29">
            <v>83</v>
          </cell>
          <cell r="V29">
            <v>22</v>
          </cell>
          <cell r="W29" t="str">
            <v xml:space="preserve">-사업화아이템의 특성상 경쟁제품에 대해 보다 다각적인 측면에서 차별화 요소 도출 및 후발 경쟁자의 진입 억제를 위한 지식재산권 확보방안 등 진입장벽 구축 방안에 대한 고민이 필욯 보입니다, 
- 창업지원 사업의 특성을 고려한 성과목표 제시 및 달성방안에 대한 설명이 보강되었으면 합니다.  </v>
          </cell>
        </row>
        <row r="30">
          <cell r="B30">
            <v>20430941</v>
          </cell>
          <cell r="C30" t="str">
            <v>지역기반</v>
          </cell>
          <cell r="D30" t="str">
            <v>화공ㆍ섬유</v>
          </cell>
          <cell r="E30" t="str">
            <v>버려지는 농업 부산물을 고기능 원료로 전환하고 에어리스 구조로 위생적이고 깔끔한 사용감을 구현한 클렌징 밤</v>
          </cell>
          <cell r="F30" t="str">
            <v>0</v>
          </cell>
          <cell r="G30" t="str">
            <v>0</v>
          </cell>
          <cell r="H30" t="str">
            <v>예비</v>
          </cell>
          <cell r="I30" t="str">
            <v>청년</v>
          </cell>
          <cell r="J30">
            <v>0</v>
          </cell>
          <cell r="K30">
            <v>7</v>
          </cell>
          <cell r="L30">
            <v>8</v>
          </cell>
          <cell r="M30">
            <v>17</v>
          </cell>
          <cell r="N30">
            <v>17</v>
          </cell>
          <cell r="O30">
            <v>9</v>
          </cell>
          <cell r="P30">
            <v>9</v>
          </cell>
          <cell r="Q30">
            <v>12</v>
          </cell>
          <cell r="R30">
            <v>4</v>
          </cell>
          <cell r="S30">
            <v>83</v>
          </cell>
          <cell r="T30">
            <v>0</v>
          </cell>
          <cell r="U30">
            <v>83</v>
          </cell>
          <cell r="V30">
            <v>22</v>
          </cell>
          <cell r="W30" t="str">
            <v xml:space="preserve">-사업화 모델의 성공가능성 향상을 위해 보다 구체적인 마케팅 전략에 대한 고민이 필요해 보입니다.
-창업지원사업의 성격을 고려한 성과달성 방안에 대한 고민이 필요해 보입니다. </v>
          </cell>
        </row>
        <row r="31">
          <cell r="B31">
            <v>20440240</v>
          </cell>
          <cell r="C31" t="str">
            <v>지역기반</v>
          </cell>
          <cell r="D31" t="str">
            <v>화공ㆍ섬유</v>
          </cell>
          <cell r="E31" t="str">
            <v>살균·세정 기능이 결합된 듀얼 챔버 2in1 플러셔블 위생 티슈 '털썩&amp;뽀득'</v>
          </cell>
          <cell r="F31" t="str">
            <v>0</v>
          </cell>
          <cell r="G31" t="str">
            <v>0</v>
          </cell>
          <cell r="H31" t="str">
            <v>예비</v>
          </cell>
          <cell r="I31" t="str">
            <v>청년</v>
          </cell>
          <cell r="J31">
            <v>0</v>
          </cell>
          <cell r="K31">
            <v>8</v>
          </cell>
          <cell r="L31">
            <v>8</v>
          </cell>
          <cell r="M31">
            <v>17</v>
          </cell>
          <cell r="N31">
            <v>18</v>
          </cell>
          <cell r="O31">
            <v>8</v>
          </cell>
          <cell r="P31">
            <v>8</v>
          </cell>
          <cell r="Q31">
            <v>13</v>
          </cell>
          <cell r="R31">
            <v>3</v>
          </cell>
          <cell r="S31">
            <v>83</v>
          </cell>
          <cell r="T31">
            <v>0</v>
          </cell>
          <cell r="U31">
            <v>83</v>
          </cell>
          <cell r="V31">
            <v>22</v>
          </cell>
          <cell r="W31" t="str">
            <v xml:space="preserve">-사업의 지속성 확보를 위해 보다 자세한 수익창출 기반의 마케팅 전략에 대한 설명이 필요해 보입니다.
-제품의 경쟁력 강화를 위해 기존 시장의 유사제품에 대한 차별화 요소에 대한 보다 상세한 설명이 필요해 보입니다.
-창업지원사업의 특성을 감안한 정량적 성과목표 제시 및 달성 방안에 대한 설명이 필요해 보입니다. </v>
          </cell>
        </row>
        <row r="32">
          <cell r="B32">
            <v>20400362</v>
          </cell>
          <cell r="C32" t="str">
            <v>지역기반</v>
          </cell>
          <cell r="D32" t="str">
            <v>화공ㆍ섬유</v>
          </cell>
          <cell r="E32" t="str">
            <v>고기능성 반려견 퀵-레이스 하네스</v>
          </cell>
          <cell r="F32" t="str">
            <v>1,600</v>
          </cell>
          <cell r="G32" t="str">
            <v>1</v>
          </cell>
          <cell r="H32" t="str">
            <v>초기</v>
          </cell>
          <cell r="I32" t="str">
            <v>청년</v>
          </cell>
          <cell r="J32">
            <v>0</v>
          </cell>
          <cell r="K32">
            <v>8</v>
          </cell>
          <cell r="L32">
            <v>7</v>
          </cell>
          <cell r="M32">
            <v>17</v>
          </cell>
          <cell r="N32">
            <v>17</v>
          </cell>
          <cell r="O32">
            <v>8</v>
          </cell>
          <cell r="P32">
            <v>8</v>
          </cell>
          <cell r="Q32">
            <v>14</v>
          </cell>
          <cell r="R32">
            <v>4</v>
          </cell>
          <cell r="S32">
            <v>83</v>
          </cell>
          <cell r="T32">
            <v>0</v>
          </cell>
          <cell r="U32">
            <v>83</v>
          </cell>
          <cell r="V32">
            <v>22</v>
          </cell>
          <cell r="W32" t="str">
            <v xml:space="preserve">-사업화아이템의 성공 가능성 향상을 위해 보다 다양한 관점에서 기존 시장에 출시된 유사제품에 대한 차별화요소 발굴이 필요해 보입니다. 
-후발 경쟁자에 대한 진입장벽 구축을 위해 보다 다양한 산업재산권 확보 방안에 대한 고민이 필요해 보입니다.
-창업지원사업의 성격에 맞는 정량적 성과지표 제시 및 달성방안에 대해 보다 상세한 설명이 필요해 보입니다. </v>
          </cell>
        </row>
        <row r="33">
          <cell r="B33">
            <v>20401779</v>
          </cell>
          <cell r="C33" t="str">
            <v>지역기반</v>
          </cell>
          <cell r="D33" t="str">
            <v>화공ㆍ섬유</v>
          </cell>
          <cell r="E33" t="str">
            <v>안자극이 없는 수경 안티포그액</v>
          </cell>
          <cell r="F33" t="str">
            <v>208,378,702</v>
          </cell>
          <cell r="G33" t="str">
            <v>0</v>
          </cell>
          <cell r="H33" t="str">
            <v>초기</v>
          </cell>
          <cell r="I33" t="str">
            <v>중장년</v>
          </cell>
          <cell r="J33">
            <v>0</v>
          </cell>
          <cell r="K33">
            <v>8</v>
          </cell>
          <cell r="L33">
            <v>8</v>
          </cell>
          <cell r="M33">
            <v>17</v>
          </cell>
          <cell r="N33">
            <v>17</v>
          </cell>
          <cell r="O33">
            <v>8</v>
          </cell>
          <cell r="P33">
            <v>8</v>
          </cell>
          <cell r="Q33">
            <v>13</v>
          </cell>
          <cell r="R33">
            <v>4</v>
          </cell>
          <cell r="S33">
            <v>83</v>
          </cell>
          <cell r="T33">
            <v>0</v>
          </cell>
          <cell r="U33">
            <v>83</v>
          </cell>
          <cell r="V33">
            <v>22</v>
          </cell>
          <cell r="W33" t="str">
            <v xml:space="preserve">-사업의 지속성 확보를 위해 수익창출을 기반으로 한 마케팅전략에 대해서 보다 상세한 설명이 필요해 보입니다.
-창업지원 사업의 성격을 고려한 정량적 KPI설정 및 달성방안에 대한 설명이 필요해 보입니다. </v>
          </cell>
        </row>
        <row r="34">
          <cell r="B34">
            <v>20412771</v>
          </cell>
          <cell r="C34" t="str">
            <v>지역기반</v>
          </cell>
          <cell r="D34" t="str">
            <v>화공ㆍ섬유</v>
          </cell>
          <cell r="E34" t="str">
            <v>고온 향 유지 기반 1인 가구 맞춤형 원스톱 조미료 제조 사업</v>
          </cell>
          <cell r="F34" t="str">
            <v>148,994,539</v>
          </cell>
          <cell r="G34" t="str">
            <v>1</v>
          </cell>
          <cell r="H34" t="str">
            <v>초기</v>
          </cell>
          <cell r="I34" t="str">
            <v>청년</v>
          </cell>
          <cell r="J34">
            <v>0</v>
          </cell>
          <cell r="K34">
            <v>8</v>
          </cell>
          <cell r="L34">
            <v>8</v>
          </cell>
          <cell r="M34">
            <v>16</v>
          </cell>
          <cell r="N34">
            <v>17</v>
          </cell>
          <cell r="O34">
            <v>8</v>
          </cell>
          <cell r="P34">
            <v>8</v>
          </cell>
          <cell r="Q34">
            <v>12</v>
          </cell>
          <cell r="R34">
            <v>4</v>
          </cell>
          <cell r="S34">
            <v>81</v>
          </cell>
          <cell r="T34">
            <v>2</v>
          </cell>
          <cell r="U34">
            <v>83</v>
          </cell>
          <cell r="V34">
            <v>22</v>
          </cell>
          <cell r="W34" t="str">
            <v xml:space="preserve">-기존제품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v>
          </cell>
        </row>
        <row r="35">
          <cell r="B35">
            <v>20414538</v>
          </cell>
          <cell r="C35" t="str">
            <v>지역기반</v>
          </cell>
          <cell r="D35" t="str">
            <v>화공ㆍ섬유</v>
          </cell>
          <cell r="E35" t="str">
            <v>콘텐츠 반응 데이터 기반 소비자 니즈 분석을 통한 PB 제품 개발 및 운영 프로세스 기술 개발</v>
          </cell>
          <cell r="F35" t="str">
            <v>2,714,536,481</v>
          </cell>
          <cell r="G35" t="str">
            <v>11</v>
          </cell>
          <cell r="H35" t="str">
            <v>초기</v>
          </cell>
          <cell r="I35" t="str">
            <v>청년</v>
          </cell>
          <cell r="J35">
            <v>0</v>
          </cell>
          <cell r="K35">
            <v>8</v>
          </cell>
          <cell r="L35">
            <v>8</v>
          </cell>
          <cell r="M35">
            <v>17</v>
          </cell>
          <cell r="N35">
            <v>17</v>
          </cell>
          <cell r="O35">
            <v>8</v>
          </cell>
          <cell r="P35">
            <v>8</v>
          </cell>
          <cell r="Q35">
            <v>13</v>
          </cell>
          <cell r="R35">
            <v>4</v>
          </cell>
          <cell r="S35">
            <v>83</v>
          </cell>
          <cell r="T35">
            <v>0</v>
          </cell>
          <cell r="U35">
            <v>83</v>
          </cell>
          <cell r="V35">
            <v>22</v>
          </cell>
          <cell r="W35" t="str">
            <v xml:space="preserve">-사업화 대상 서비스 모델의 경쟁력 강화를 위한 자동화 솔루션 적용등 인프라 확장에 대한 고민이 필요해 보입니다.
-서비스 모델의 특성상 후발 경쟁자의 시장진입 억제를 위한 방안에 대한 고민이 필요해 보입니다.
-보다 구체적인 수익창출 방안 설명 및 창업지원사업의 특성을 고려한 성과지표제시 및 달성방안에 대한 설명이 필요해 보입니다. </v>
          </cell>
        </row>
        <row r="36">
          <cell r="B36">
            <v>20427195</v>
          </cell>
          <cell r="C36" t="str">
            <v>지역기반</v>
          </cell>
          <cell r="D36" t="str">
            <v>화공ㆍ섬유</v>
          </cell>
          <cell r="E36" t="str">
            <v>제올라이트를 활용한 어싱길 포장재 개발</v>
          </cell>
          <cell r="F36" t="str">
            <v>86,000,000</v>
          </cell>
          <cell r="G36" t="str">
            <v>4</v>
          </cell>
          <cell r="H36" t="str">
            <v>초기</v>
          </cell>
          <cell r="I36" t="str">
            <v>청년</v>
          </cell>
          <cell r="J36">
            <v>0</v>
          </cell>
          <cell r="K36">
            <v>9</v>
          </cell>
          <cell r="L36">
            <v>8</v>
          </cell>
          <cell r="M36">
            <v>17</v>
          </cell>
          <cell r="N36">
            <v>16</v>
          </cell>
          <cell r="O36">
            <v>8</v>
          </cell>
          <cell r="P36">
            <v>8</v>
          </cell>
          <cell r="Q36">
            <v>13</v>
          </cell>
          <cell r="R36">
            <v>4</v>
          </cell>
          <cell r="S36">
            <v>83</v>
          </cell>
          <cell r="T36">
            <v>0</v>
          </cell>
          <cell r="U36">
            <v>83</v>
          </cell>
          <cell r="V36">
            <v>22</v>
          </cell>
          <cell r="W36"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37">
          <cell r="B37">
            <v>20428424</v>
          </cell>
          <cell r="C37" t="str">
            <v>지역기반</v>
          </cell>
          <cell r="D37" t="str">
            <v>화공ㆍ섬유</v>
          </cell>
          <cell r="E37" t="str">
            <v>다층 압축 기술이 적용된 일상의 샤워를 특별하게 만드는 샤워 향기 태블릿, '딘트 샤워팝'</v>
          </cell>
          <cell r="F37" t="str">
            <v>28,000,000</v>
          </cell>
          <cell r="G37" t="str">
            <v>0</v>
          </cell>
          <cell r="H37" t="str">
            <v>초기</v>
          </cell>
          <cell r="I37" t="str">
            <v>청년</v>
          </cell>
          <cell r="J37">
            <v>0</v>
          </cell>
          <cell r="K37">
            <v>9</v>
          </cell>
          <cell r="L37">
            <v>8</v>
          </cell>
          <cell r="M37">
            <v>17</v>
          </cell>
          <cell r="N37">
            <v>16</v>
          </cell>
          <cell r="O37">
            <v>9</v>
          </cell>
          <cell r="P37">
            <v>8</v>
          </cell>
          <cell r="Q37">
            <v>12</v>
          </cell>
          <cell r="R37">
            <v>4</v>
          </cell>
          <cell r="S37">
            <v>83</v>
          </cell>
          <cell r="T37">
            <v>0</v>
          </cell>
          <cell r="U37">
            <v>83</v>
          </cell>
          <cell r="V37">
            <v>22</v>
          </cell>
          <cell r="W37" t="str">
            <v xml:space="preserve">-기존시장의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v>
          </cell>
        </row>
        <row r="38">
          <cell r="B38">
            <v>20408072</v>
          </cell>
          <cell r="C38" t="str">
            <v>지역기반</v>
          </cell>
          <cell r="D38" t="str">
            <v>화공ㆍ섬유</v>
          </cell>
          <cell r="E38" t="str">
            <v>수면·휴식 케어를 위한 수출형 맞춤 웰니스 K-뷰티 아로마 롤온&amp;룸·필로우 스프레이</v>
          </cell>
          <cell r="F38" t="str">
            <v>0</v>
          </cell>
          <cell r="G38" t="str">
            <v>0</v>
          </cell>
          <cell r="H38" t="str">
            <v>예비</v>
          </cell>
          <cell r="I38" t="str">
            <v>청년</v>
          </cell>
          <cell r="J38">
            <v>0</v>
          </cell>
          <cell r="K38">
            <v>8</v>
          </cell>
          <cell r="L38">
            <v>8</v>
          </cell>
          <cell r="M38">
            <v>16</v>
          </cell>
          <cell r="N38">
            <v>17</v>
          </cell>
          <cell r="O38">
            <v>7</v>
          </cell>
          <cell r="P38">
            <v>7</v>
          </cell>
          <cell r="Q38">
            <v>13</v>
          </cell>
          <cell r="R38">
            <v>4</v>
          </cell>
          <cell r="S38">
            <v>80</v>
          </cell>
          <cell r="T38">
            <v>2</v>
          </cell>
          <cell r="U38">
            <v>82</v>
          </cell>
          <cell r="V38">
            <v>31</v>
          </cell>
          <cell r="W38" t="str">
            <v>-사업화 아이템의 성공가능성 향상 및 사업의 지속성 확보를 위하여 보다 상세한 마케팅 전략에 대한 고민이 필요해 보입니다.
-정부지원사업의 성격을 고려하여 보다 구체적이고 정량적 성과목표제시가 아쉽습니다.</v>
          </cell>
        </row>
        <row r="39">
          <cell r="B39">
            <v>20420487</v>
          </cell>
          <cell r="C39" t="str">
            <v>지역기반</v>
          </cell>
          <cell r="D39" t="str">
            <v>화공ㆍ섬유</v>
          </cell>
          <cell r="E39" t="str">
            <v>업사이클링 천연 원료 기반 복합 기능 조성물 기술을 적용한 문제성 발톱 관리 제품</v>
          </cell>
          <cell r="F39" t="str">
            <v>0</v>
          </cell>
          <cell r="G39" t="str">
            <v>0</v>
          </cell>
          <cell r="H39" t="str">
            <v>예비</v>
          </cell>
          <cell r="I39" t="str">
            <v>청년</v>
          </cell>
          <cell r="J39">
            <v>0</v>
          </cell>
          <cell r="K39">
            <v>8</v>
          </cell>
          <cell r="L39">
            <v>8</v>
          </cell>
          <cell r="M39">
            <v>17</v>
          </cell>
          <cell r="N39">
            <v>17</v>
          </cell>
          <cell r="O39">
            <v>8</v>
          </cell>
          <cell r="P39">
            <v>8</v>
          </cell>
          <cell r="Q39">
            <v>12</v>
          </cell>
          <cell r="R39">
            <v>4</v>
          </cell>
          <cell r="S39">
            <v>82</v>
          </cell>
          <cell r="T39">
            <v>0</v>
          </cell>
          <cell r="U39">
            <v>82</v>
          </cell>
          <cell r="V39">
            <v>31</v>
          </cell>
          <cell r="W39" t="str">
            <v>-사업화 아이템의 안정적 시장 진입을 위한 법/제도 검토 및 기존 시장의 유사제품에 대한 차별화 요소 도출/분석이 필요해 보입니다.
-사업의 지속성 확보를 위해 보다 구체적인 수익창출 방안에 대한 고민이 필요해 보입니다.</v>
          </cell>
        </row>
        <row r="40">
          <cell r="B40">
            <v>20414836</v>
          </cell>
          <cell r="C40" t="str">
            <v>지역기반</v>
          </cell>
          <cell r="D40" t="str">
            <v>화공ㆍ섬유</v>
          </cell>
          <cell r="E40" t="str">
            <v>백리향 기반 pH 중화 기술을 적용한 친환경 섬유유연제</v>
          </cell>
          <cell r="F40" t="str">
            <v>90,000,000</v>
          </cell>
          <cell r="G40" t="str">
            <v>0</v>
          </cell>
          <cell r="H40" t="str">
            <v>초기</v>
          </cell>
          <cell r="I40" t="str">
            <v>중장년</v>
          </cell>
          <cell r="J40">
            <v>0</v>
          </cell>
          <cell r="K40">
            <v>8</v>
          </cell>
          <cell r="L40">
            <v>8</v>
          </cell>
          <cell r="M40">
            <v>17</v>
          </cell>
          <cell r="N40">
            <v>17</v>
          </cell>
          <cell r="O40">
            <v>8</v>
          </cell>
          <cell r="P40">
            <v>8</v>
          </cell>
          <cell r="Q40">
            <v>12</v>
          </cell>
          <cell r="R40">
            <v>4</v>
          </cell>
          <cell r="S40">
            <v>82</v>
          </cell>
          <cell r="T40">
            <v>0</v>
          </cell>
          <cell r="U40">
            <v>82</v>
          </cell>
          <cell r="V40">
            <v>31</v>
          </cell>
          <cell r="W40" t="str">
            <v xml:space="preserve">-기존제품 대비 특화된 경쟁요소 도출 및 그것의 활용에 대한 설명이 필요해 보입니다.
-후발 경쟁자의 시장진입 억제를 위한 방안에 대한 고민이 필요해 보입니다.
-창업지원사업의 특성을 고려한 성과지표제시 및 달성방안에 대한 설명이 필요해 보입니다. </v>
          </cell>
        </row>
        <row r="41">
          <cell r="B41">
            <v>20432269</v>
          </cell>
          <cell r="C41" t="str">
            <v>지역기반</v>
          </cell>
          <cell r="D41" t="str">
            <v>화공ㆍ섬유</v>
          </cell>
          <cell r="E41" t="str">
            <v>나노리포좀 기술이 적용된 해양 바이오 K뷰티 스킨케어 브랜드 : 해올</v>
          </cell>
          <cell r="F41" t="str">
            <v>19,000,000</v>
          </cell>
          <cell r="G41" t="str">
            <v>4</v>
          </cell>
          <cell r="H41" t="str">
            <v>초기</v>
          </cell>
          <cell r="I41" t="str">
            <v>청년</v>
          </cell>
          <cell r="J41">
            <v>0</v>
          </cell>
          <cell r="K41">
            <v>8</v>
          </cell>
          <cell r="L41">
            <v>8</v>
          </cell>
          <cell r="M41">
            <v>16</v>
          </cell>
          <cell r="N41">
            <v>16</v>
          </cell>
          <cell r="O41">
            <v>8</v>
          </cell>
          <cell r="P41">
            <v>8</v>
          </cell>
          <cell r="Q41">
            <v>12</v>
          </cell>
          <cell r="R41">
            <v>4</v>
          </cell>
          <cell r="S41">
            <v>80</v>
          </cell>
          <cell r="T41">
            <v>2</v>
          </cell>
          <cell r="U41">
            <v>82</v>
          </cell>
          <cell r="V41">
            <v>31</v>
          </cell>
          <cell r="W41" t="str">
            <v>-기존시장의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42">
          <cell r="B42">
            <v>20440248</v>
          </cell>
          <cell r="C42" t="str">
            <v>지역기반</v>
          </cell>
          <cell r="D42" t="str">
            <v>화공ㆍ섬유</v>
          </cell>
          <cell r="E42" t="str">
            <v>버려지는 부산물을 활용한 주름개선용 식물성 펩타이드 소재 사업화</v>
          </cell>
          <cell r="F42" t="str">
            <v>63,000,000</v>
          </cell>
          <cell r="G42" t="str">
            <v>0</v>
          </cell>
          <cell r="H42" t="str">
            <v>초기</v>
          </cell>
          <cell r="I42" t="str">
            <v>중장년</v>
          </cell>
          <cell r="J42">
            <v>0</v>
          </cell>
          <cell r="K42">
            <v>8</v>
          </cell>
          <cell r="L42">
            <v>8</v>
          </cell>
          <cell r="M42">
            <v>17</v>
          </cell>
          <cell r="N42">
            <v>16</v>
          </cell>
          <cell r="O42">
            <v>9</v>
          </cell>
          <cell r="P42">
            <v>8</v>
          </cell>
          <cell r="Q42">
            <v>12</v>
          </cell>
          <cell r="R42">
            <v>4</v>
          </cell>
          <cell r="S42">
            <v>82</v>
          </cell>
          <cell r="T42">
            <v>0</v>
          </cell>
          <cell r="U42">
            <v>82</v>
          </cell>
          <cell r="V42">
            <v>31</v>
          </cell>
          <cell r="W42"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43">
          <cell r="B43">
            <v>20430395</v>
          </cell>
          <cell r="C43" t="str">
            <v>지역기반</v>
          </cell>
          <cell r="D43" t="str">
            <v>화공ㆍ섬유</v>
          </cell>
          <cell r="E43" t="str">
            <v>고양이와 안전하게 외출할 수 있는 슬개골‧디스크 케어 이동가방</v>
          </cell>
          <cell r="F43" t="str">
            <v>488,321,219</v>
          </cell>
          <cell r="G43" t="str">
            <v>1</v>
          </cell>
          <cell r="H43" t="str">
            <v>도약</v>
          </cell>
          <cell r="I43" t="str">
            <v>청년</v>
          </cell>
          <cell r="J43">
            <v>0</v>
          </cell>
          <cell r="K43">
            <v>8</v>
          </cell>
          <cell r="L43">
            <v>8</v>
          </cell>
          <cell r="M43">
            <v>16</v>
          </cell>
          <cell r="N43">
            <v>15</v>
          </cell>
          <cell r="O43">
            <v>8</v>
          </cell>
          <cell r="P43">
            <v>8</v>
          </cell>
          <cell r="Q43">
            <v>13</v>
          </cell>
          <cell r="R43">
            <v>4</v>
          </cell>
          <cell r="S43">
            <v>80</v>
          </cell>
          <cell r="T43">
            <v>2</v>
          </cell>
          <cell r="U43">
            <v>82</v>
          </cell>
          <cell r="V43">
            <v>31</v>
          </cell>
          <cell r="W43" t="str">
            <v>-소비자의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44">
          <cell r="B44">
            <v>20410575</v>
          </cell>
          <cell r="C44" t="str">
            <v>지역기반</v>
          </cell>
          <cell r="D44" t="str">
            <v>화공ㆍ섬유</v>
          </cell>
          <cell r="E44" t="str">
            <v>로컬 상생형 프리미엄 수제 쌀 디저트, 'K-설기(K-Seolgi) 하이엔드 솔루션'</v>
          </cell>
          <cell r="F44" t="str">
            <v>0</v>
          </cell>
          <cell r="G44" t="str">
            <v>0</v>
          </cell>
          <cell r="H44" t="str">
            <v>예비</v>
          </cell>
          <cell r="I44" t="str">
            <v>청년</v>
          </cell>
          <cell r="J44">
            <v>0</v>
          </cell>
          <cell r="K44">
            <v>8</v>
          </cell>
          <cell r="L44">
            <v>8</v>
          </cell>
          <cell r="M44">
            <v>16</v>
          </cell>
          <cell r="N44">
            <v>16</v>
          </cell>
          <cell r="O44">
            <v>8</v>
          </cell>
          <cell r="P44">
            <v>8</v>
          </cell>
          <cell r="Q44">
            <v>13</v>
          </cell>
          <cell r="R44">
            <v>4</v>
          </cell>
          <cell r="S44">
            <v>81</v>
          </cell>
          <cell r="T44">
            <v>0</v>
          </cell>
          <cell r="U44">
            <v>81</v>
          </cell>
          <cell r="V44">
            <v>37</v>
          </cell>
          <cell r="W44" t="str">
            <v>-사업화 아이템의 성공가능성 향상 및 사업의 지속성 확보를 위하여 다각적인 부분의 마케팅 전략및 수익 창출 방안에 대한 고민이 필요해 보입니다.
-정부지원사업의 성격을 고려하여 보다 구체적이고 정량적 성과목표제시가 필요해 보입니다.</v>
          </cell>
        </row>
        <row r="45">
          <cell r="B45">
            <v>20430698</v>
          </cell>
          <cell r="C45" t="str">
            <v>지역기반</v>
          </cell>
          <cell r="D45" t="str">
            <v>화공ㆍ섬유</v>
          </cell>
          <cell r="E45" t="str">
            <v>그래핀 복합 원사 기술이 적용된 항균·소취 기능의 쾌적한 수면 환경을 제공하는 기능성 침구 제품</v>
          </cell>
          <cell r="F45" t="str">
            <v>0</v>
          </cell>
          <cell r="G45" t="str">
            <v>0</v>
          </cell>
          <cell r="H45" t="str">
            <v>예비</v>
          </cell>
          <cell r="I45" t="str">
            <v>청년</v>
          </cell>
          <cell r="J45">
            <v>0</v>
          </cell>
          <cell r="K45">
            <v>7</v>
          </cell>
          <cell r="L45">
            <v>8</v>
          </cell>
          <cell r="M45">
            <v>16</v>
          </cell>
          <cell r="N45">
            <v>17</v>
          </cell>
          <cell r="O45">
            <v>8</v>
          </cell>
          <cell r="P45">
            <v>9</v>
          </cell>
          <cell r="Q45">
            <v>12</v>
          </cell>
          <cell r="R45">
            <v>4</v>
          </cell>
          <cell r="S45">
            <v>81</v>
          </cell>
          <cell r="T45">
            <v>0</v>
          </cell>
          <cell r="U45">
            <v>81</v>
          </cell>
          <cell r="V45">
            <v>37</v>
          </cell>
          <cell r="W45" t="str">
            <v xml:space="preserve">-사업화 아이템이 기존의 시장의 유사제품에 대하여 경쟁력 확보를 위한 차별화 요소 발굴에 대한 고민이 필요해 보입니다.
-장업지원사업의 특성을 고려한 성과목표 제시 및 달성방안에 대한 고민이 필요해 보입니다. </v>
          </cell>
        </row>
        <row r="46">
          <cell r="B46">
            <v>20440097</v>
          </cell>
          <cell r="C46" t="str">
            <v>지역기반</v>
          </cell>
          <cell r="D46" t="str">
            <v>화공ㆍ섬유</v>
          </cell>
          <cell r="E46" t="str">
            <v>더마리프(DermaLeaf)</v>
          </cell>
          <cell r="F46" t="str">
            <v>0</v>
          </cell>
          <cell r="G46" t="str">
            <v>0</v>
          </cell>
          <cell r="H46" t="str">
            <v>예비</v>
          </cell>
          <cell r="I46" t="str">
            <v>청년</v>
          </cell>
          <cell r="J46">
            <v>0</v>
          </cell>
          <cell r="K46">
            <v>7</v>
          </cell>
          <cell r="L46">
            <v>8</v>
          </cell>
          <cell r="M46">
            <v>17</v>
          </cell>
          <cell r="N46">
            <v>17</v>
          </cell>
          <cell r="O46">
            <v>7</v>
          </cell>
          <cell r="P46">
            <v>7</v>
          </cell>
          <cell r="Q46">
            <v>14</v>
          </cell>
          <cell r="R46">
            <v>4</v>
          </cell>
          <cell r="S46">
            <v>81</v>
          </cell>
          <cell r="T46">
            <v>0</v>
          </cell>
          <cell r="U46">
            <v>81</v>
          </cell>
          <cell r="V46">
            <v>37</v>
          </cell>
          <cell r="W46" t="str">
            <v xml:space="preserve">-사업화 아이템이 특성을 고려한 법/제도 분석을 통한 사업의 안정성 확보방안에 대한 고민이 필요해 보입니다.
-창업지원사업의 특성을 고려한 성과목표 제시 및 달성방안에 대한 상세한 설명이 필요해 보입니다.
-사업의 지속성 확보 및 경쟁력 강화를 위한 원료물질 등록, 산업재산권 확보 등 기술 독점성 확보 방안에 대한 고민이 필요해 보입니다.  </v>
          </cell>
        </row>
        <row r="47">
          <cell r="B47">
            <v>20407388</v>
          </cell>
          <cell r="C47" t="str">
            <v>지역기반</v>
          </cell>
          <cell r="D47" t="str">
            <v>화공ㆍ섬유</v>
          </cell>
          <cell r="E47" t="str">
            <v>F.BRX - 동대문 소상공인 원단업체을 위한 섬유 특화 3D/AI 기반 디지털 콘텐츠 제작 서비스</v>
          </cell>
          <cell r="F47" t="str">
            <v>60,000,000</v>
          </cell>
          <cell r="G47" t="str">
            <v>0</v>
          </cell>
          <cell r="H47" t="str">
            <v>초기</v>
          </cell>
          <cell r="I47" t="str">
            <v>중장년</v>
          </cell>
          <cell r="J47">
            <v>0</v>
          </cell>
          <cell r="K47">
            <v>8</v>
          </cell>
          <cell r="L47">
            <v>8</v>
          </cell>
          <cell r="M47">
            <v>16</v>
          </cell>
          <cell r="N47">
            <v>17</v>
          </cell>
          <cell r="O47">
            <v>8</v>
          </cell>
          <cell r="P47">
            <v>8</v>
          </cell>
          <cell r="Q47">
            <v>12</v>
          </cell>
          <cell r="R47">
            <v>4</v>
          </cell>
          <cell r="S47">
            <v>81</v>
          </cell>
          <cell r="T47">
            <v>0</v>
          </cell>
          <cell r="U47">
            <v>81</v>
          </cell>
          <cell r="V47">
            <v>37</v>
          </cell>
          <cell r="W47" t="str">
            <v xml:space="preserve">-서비스모델에 대한 경쟁력 확보를 위하여 보다 다양한 유사시스템 분석으로 통하여 차별화요소 도출 및 경재요소 발굴이 필요해 보입니다.
-사업의 지속성 확보를 위하여 보다 구체적인 수익창출 방안에 대한검토가 필요해 보입니다.
-창업지원사업의 특성을 고려한 성과모델 제시 및 달성방안에 대한 구체적인 설명이 필요해 보입니다. </v>
          </cell>
        </row>
        <row r="48">
          <cell r="B48">
            <v>20408878</v>
          </cell>
          <cell r="C48" t="str">
            <v>지역기반</v>
          </cell>
          <cell r="D48" t="str">
            <v>화공ㆍ섬유</v>
          </cell>
          <cell r="E48" t="str">
            <v>HERMEN – Preserve Line [스킨 케어 브랜드 (화장품)]</v>
          </cell>
          <cell r="F48" t="str">
            <v>0</v>
          </cell>
          <cell r="G48" t="str">
            <v>1</v>
          </cell>
          <cell r="H48" t="str">
            <v>초기</v>
          </cell>
          <cell r="I48" t="str">
            <v>중장년</v>
          </cell>
          <cell r="J48">
            <v>0</v>
          </cell>
          <cell r="K48">
            <v>8</v>
          </cell>
          <cell r="L48">
            <v>8</v>
          </cell>
          <cell r="M48">
            <v>16</v>
          </cell>
          <cell r="N48">
            <v>17</v>
          </cell>
          <cell r="O48">
            <v>8</v>
          </cell>
          <cell r="P48">
            <v>8</v>
          </cell>
          <cell r="Q48">
            <v>12</v>
          </cell>
          <cell r="R48">
            <v>4</v>
          </cell>
          <cell r="S48">
            <v>81</v>
          </cell>
          <cell r="T48">
            <v>0</v>
          </cell>
          <cell r="U48">
            <v>81</v>
          </cell>
          <cell r="V48">
            <v>37</v>
          </cell>
          <cell r="W48" t="str">
            <v>-기존시장의 유사제품에 대한 경쟁요소 발굴을 통해 경쟁력있는 마케팅 이슈 도출에 대한 고민이 필요해 보입니다.
-창업지원사업의 성격에 적합한 성과 지표 제시 및 달성방안에 대한 고민이 필요해 보입니다.</v>
          </cell>
        </row>
        <row r="49">
          <cell r="B49">
            <v>20422688</v>
          </cell>
          <cell r="C49" t="str">
            <v>지역기반</v>
          </cell>
          <cell r="D49" t="str">
            <v>화공ㆍ섬유</v>
          </cell>
          <cell r="E49" t="str">
            <v>산업현장 지속가능성 강화를 위한 업사이클 섬유, 모듈형 설계 기술을 활용한 다기능 워크웨어 서비스</v>
          </cell>
          <cell r="F49" t="str">
            <v>130,000,000</v>
          </cell>
          <cell r="G49" t="str">
            <v>0</v>
          </cell>
          <cell r="H49" t="str">
            <v>초기</v>
          </cell>
          <cell r="I49" t="str">
            <v>중장년</v>
          </cell>
          <cell r="J49">
            <v>0</v>
          </cell>
          <cell r="K49">
            <v>8</v>
          </cell>
          <cell r="L49">
            <v>8</v>
          </cell>
          <cell r="M49">
            <v>16</v>
          </cell>
          <cell r="N49">
            <v>17</v>
          </cell>
          <cell r="O49">
            <v>8</v>
          </cell>
          <cell r="P49">
            <v>8</v>
          </cell>
          <cell r="Q49">
            <v>12</v>
          </cell>
          <cell r="R49">
            <v>4</v>
          </cell>
          <cell r="S49">
            <v>81</v>
          </cell>
          <cell r="T49">
            <v>0</v>
          </cell>
          <cell r="U49">
            <v>81</v>
          </cell>
          <cell r="V49">
            <v>37</v>
          </cell>
          <cell r="W49" t="str">
            <v xml:space="preserve">-사업의 지속성 확보를 위해 안정적인 원자재 공급 및 수익창출을 기반으로 하는 마케팅 전략에 대해 구체적인 설명이 필요해 보입니다.
-창업지원사업의 특성을 고려한 정량적 성과지표 및 달성방안에 대한 설명이 필요해 보입니다.  </v>
          </cell>
        </row>
        <row r="50">
          <cell r="B50">
            <v>20427388</v>
          </cell>
          <cell r="C50" t="str">
            <v>지역기반</v>
          </cell>
          <cell r="D50" t="str">
            <v>화공ㆍ섬유</v>
          </cell>
          <cell r="E50" t="str">
            <v>pH5.5 이중 배합 기술 기반 두피세정·모발코팅 듀얼 케어 샴푸</v>
          </cell>
          <cell r="F50" t="str">
            <v>0</v>
          </cell>
          <cell r="G50" t="str">
            <v>0</v>
          </cell>
          <cell r="H50" t="str">
            <v>초기</v>
          </cell>
          <cell r="I50" t="str">
            <v>청년</v>
          </cell>
          <cell r="J50">
            <v>0</v>
          </cell>
          <cell r="K50">
            <v>9</v>
          </cell>
          <cell r="L50">
            <v>8</v>
          </cell>
          <cell r="M50">
            <v>16</v>
          </cell>
          <cell r="N50">
            <v>16</v>
          </cell>
          <cell r="O50">
            <v>8</v>
          </cell>
          <cell r="P50">
            <v>8</v>
          </cell>
          <cell r="Q50">
            <v>12</v>
          </cell>
          <cell r="R50">
            <v>4</v>
          </cell>
          <cell r="S50">
            <v>81</v>
          </cell>
          <cell r="T50">
            <v>0</v>
          </cell>
          <cell r="U50">
            <v>81</v>
          </cell>
          <cell r="V50">
            <v>37</v>
          </cell>
          <cell r="W50"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51">
          <cell r="B51">
            <v>20426581</v>
          </cell>
          <cell r="C51" t="str">
            <v>지역기반</v>
          </cell>
          <cell r="D51" t="str">
            <v>화공ㆍ섬유</v>
          </cell>
          <cell r="E51" t="str">
            <v>황벽나무 및 쇠비름 유효성분의 효능 최대화 기술이 적용된 가려움 완화  비도포 분사형 제품</v>
          </cell>
          <cell r="F51" t="str">
            <v>160,000,000</v>
          </cell>
          <cell r="G51" t="str">
            <v>0</v>
          </cell>
          <cell r="H51" t="str">
            <v>도약</v>
          </cell>
          <cell r="I51" t="str">
            <v>청년</v>
          </cell>
          <cell r="J51">
            <v>0</v>
          </cell>
          <cell r="K51">
            <v>8</v>
          </cell>
          <cell r="L51">
            <v>8</v>
          </cell>
          <cell r="M51">
            <v>17</v>
          </cell>
          <cell r="N51">
            <v>17</v>
          </cell>
          <cell r="O51">
            <v>8</v>
          </cell>
          <cell r="P51">
            <v>7</v>
          </cell>
          <cell r="Q51">
            <v>12</v>
          </cell>
          <cell r="R51">
            <v>4</v>
          </cell>
          <cell r="S51">
            <v>81</v>
          </cell>
          <cell r="T51">
            <v>0</v>
          </cell>
          <cell r="U51">
            <v>81</v>
          </cell>
          <cell r="V51">
            <v>37</v>
          </cell>
          <cell r="W51"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52">
          <cell r="B52">
            <v>20413600</v>
          </cell>
          <cell r="C52" t="str">
            <v>지역기반</v>
          </cell>
          <cell r="D52" t="str">
            <v>화공ㆍ섬유</v>
          </cell>
          <cell r="E52" t="str">
            <v>생리통 완화용 하복부 밀착형 온열·전기자극(TENS) 스마트 이너웨어 개발</v>
          </cell>
          <cell r="F52" t="str">
            <v>0</v>
          </cell>
          <cell r="G52" t="str">
            <v>0</v>
          </cell>
          <cell r="H52" t="str">
            <v>예비</v>
          </cell>
          <cell r="I52" t="str">
            <v>중장년</v>
          </cell>
          <cell r="J52">
            <v>0</v>
          </cell>
          <cell r="K52">
            <v>8</v>
          </cell>
          <cell r="L52">
            <v>7</v>
          </cell>
          <cell r="M52">
            <v>16</v>
          </cell>
          <cell r="N52">
            <v>18</v>
          </cell>
          <cell r="O52">
            <v>8</v>
          </cell>
          <cell r="P52">
            <v>8</v>
          </cell>
          <cell r="Q52">
            <v>12</v>
          </cell>
          <cell r="R52">
            <v>3</v>
          </cell>
          <cell r="S52">
            <v>80</v>
          </cell>
          <cell r="T52">
            <v>0</v>
          </cell>
          <cell r="U52">
            <v>80</v>
          </cell>
          <cell r="V52">
            <v>45</v>
          </cell>
          <cell r="W52" t="str">
            <v>-사업화아이템의 지속성 및 기존유사제품에 대한 경쟁력 강화를 위해 산업재산권 확보 방안에 대한 고민이 필요해 보입니다.
-사업의 성공가능성 향상을 위해 보다 다각적이고 세부적인 수익창출방안 및 성과 목표달성방안에 대한 고민이 필요해 보입니다.</v>
          </cell>
        </row>
        <row r="53">
          <cell r="B53">
            <v>20419831</v>
          </cell>
          <cell r="C53" t="str">
            <v>지역기반</v>
          </cell>
          <cell r="D53" t="str">
            <v>화공ㆍ섬유</v>
          </cell>
          <cell r="E53" t="str">
            <v>시니어 생활체육 파크골프에 특화된 파크골프 전문 기능성 의류 제작</v>
          </cell>
          <cell r="F53" t="str">
            <v>0</v>
          </cell>
          <cell r="G53" t="str">
            <v>0</v>
          </cell>
          <cell r="H53" t="str">
            <v>예비</v>
          </cell>
          <cell r="I53" t="str">
            <v>중장년</v>
          </cell>
          <cell r="J53">
            <v>0</v>
          </cell>
          <cell r="K53">
            <v>7</v>
          </cell>
          <cell r="L53">
            <v>8</v>
          </cell>
          <cell r="M53">
            <v>16</v>
          </cell>
          <cell r="N53">
            <v>16</v>
          </cell>
          <cell r="O53">
            <v>8</v>
          </cell>
          <cell r="P53">
            <v>8</v>
          </cell>
          <cell r="Q53">
            <v>13</v>
          </cell>
          <cell r="R53">
            <v>4</v>
          </cell>
          <cell r="S53">
            <v>80</v>
          </cell>
          <cell r="T53">
            <v>0</v>
          </cell>
          <cell r="U53">
            <v>80</v>
          </cell>
          <cell r="V53">
            <v>45</v>
          </cell>
          <cell r="W53" t="str">
            <v xml:space="preserve">-사업화아이템의 성공가능성 향상을 위하여 기존시장의 유사제품에 대한 차별화 요인 도출 및 경쟁력 강화요인 도출에 대한 고민이 필요해 보입니다.
-창업지원사업의 성격을 고려한 성과목표 제시 및 달성방안에 대한 고민이 필요해 보입니다. </v>
          </cell>
        </row>
        <row r="54">
          <cell r="B54">
            <v>20415838</v>
          </cell>
          <cell r="C54" t="str">
            <v>지역기반</v>
          </cell>
          <cell r="D54" t="str">
            <v>화공ㆍ섬유</v>
          </cell>
          <cell r="E54" t="str">
            <v>사춘기 호르몬성 과지피 해결을 위한 징크PCA 기반 미스트 및 블록체인 이력관리 시스템</v>
          </cell>
          <cell r="F54" t="str">
            <v>0</v>
          </cell>
          <cell r="G54" t="str">
            <v>0</v>
          </cell>
          <cell r="H54" t="str">
            <v>예비</v>
          </cell>
          <cell r="I54" t="str">
            <v>중장년</v>
          </cell>
          <cell r="J54">
            <v>0</v>
          </cell>
          <cell r="K54">
            <v>8</v>
          </cell>
          <cell r="L54">
            <v>8</v>
          </cell>
          <cell r="M54">
            <v>15</v>
          </cell>
          <cell r="N54">
            <v>16</v>
          </cell>
          <cell r="O54">
            <v>8</v>
          </cell>
          <cell r="P54">
            <v>8</v>
          </cell>
          <cell r="Q54">
            <v>12</v>
          </cell>
          <cell r="R54">
            <v>4</v>
          </cell>
          <cell r="S54">
            <v>79</v>
          </cell>
          <cell r="T54">
            <v>0</v>
          </cell>
          <cell r="U54">
            <v>79</v>
          </cell>
          <cell r="V54">
            <v>47</v>
          </cell>
          <cell r="W54" t="str">
            <v xml:space="preserve">- 사업화아이템의 성공가능성 향상을 위하여 보다 상세한 마케팅 및 수익창출 전략에 대한 고민이 필요해 보입니다.
- 사업화 아이템의 경쟁력 확보를 위하여 기존의 경쟁제품에 대한 보다 다양한 차별화 방안에 대한 고민이 필요해 보입니다. </v>
          </cell>
        </row>
        <row r="55">
          <cell r="B55">
            <v>20420092</v>
          </cell>
          <cell r="C55" t="str">
            <v>지역기반</v>
          </cell>
          <cell r="D55" t="str">
            <v>화공ㆍ섬유</v>
          </cell>
          <cell r="E55" t="str">
            <v>90분 건조 브라</v>
          </cell>
          <cell r="F55" t="str">
            <v>0</v>
          </cell>
          <cell r="G55" t="str">
            <v>0</v>
          </cell>
          <cell r="H55" t="str">
            <v>예비</v>
          </cell>
          <cell r="I55" t="str">
            <v>청년</v>
          </cell>
          <cell r="J55">
            <v>0</v>
          </cell>
          <cell r="K55">
            <v>8</v>
          </cell>
          <cell r="L55">
            <v>7</v>
          </cell>
          <cell r="M55">
            <v>16</v>
          </cell>
          <cell r="N55">
            <v>17</v>
          </cell>
          <cell r="O55">
            <v>7</v>
          </cell>
          <cell r="P55">
            <v>8</v>
          </cell>
          <cell r="Q55">
            <v>12</v>
          </cell>
          <cell r="R55">
            <v>4</v>
          </cell>
          <cell r="S55">
            <v>79</v>
          </cell>
          <cell r="T55">
            <v>0</v>
          </cell>
          <cell r="U55">
            <v>79</v>
          </cell>
          <cell r="V55">
            <v>47</v>
          </cell>
          <cell r="W55" t="str">
            <v xml:space="preserve">-사업의 지속성 확보 및 사업화 아이템의 경쟁력 확보를 위한 방안에 대하여 고민이 필요해 보입니다.
-사업화 아이템의 안정적 시장 안착과 지속적 수익창출을 위해 기술적 독자성 확보를 위한 방안을 고민해 볼 필요가 있어보입니다. </v>
          </cell>
        </row>
        <row r="56">
          <cell r="B56">
            <v>20420834</v>
          </cell>
          <cell r="C56" t="str">
            <v>지역기반</v>
          </cell>
          <cell r="D56" t="str">
            <v>화공ㆍ섬유</v>
          </cell>
          <cell r="E56" t="str">
            <v>키토산 소재기반, 피부노폐물을 안전하고 효과적으로 제거할 수 있는 화장품용 미립자 소재회</v>
          </cell>
          <cell r="F56" t="str">
            <v>0</v>
          </cell>
          <cell r="G56" t="str">
            <v>0</v>
          </cell>
          <cell r="H56" t="str">
            <v>예비</v>
          </cell>
          <cell r="I56" t="str">
            <v>청년</v>
          </cell>
          <cell r="J56">
            <v>0</v>
          </cell>
          <cell r="K56">
            <v>8</v>
          </cell>
          <cell r="L56">
            <v>8</v>
          </cell>
          <cell r="M56">
            <v>16</v>
          </cell>
          <cell r="N56">
            <v>16</v>
          </cell>
          <cell r="O56">
            <v>7</v>
          </cell>
          <cell r="P56">
            <v>6</v>
          </cell>
          <cell r="Q56">
            <v>12</v>
          </cell>
          <cell r="R56">
            <v>4</v>
          </cell>
          <cell r="S56">
            <v>77</v>
          </cell>
          <cell r="T56">
            <v>2</v>
          </cell>
          <cell r="U56">
            <v>79</v>
          </cell>
          <cell r="V56">
            <v>47</v>
          </cell>
          <cell r="W56" t="str">
            <v>-사업의 지속성 확보 및 사업화 아이템의 경쟁력 확보를 위한 방안에 대하여 고민이 필요해 보입니다.
-사업화 아이템의 지속적 수익창출을 위해 기술적 독자성 확보 방안에 대해 고민해 볼 필요가 있어보입니다.
-사업화 아이템의 특성상 지속적인 원재료 확보방안에 고민이 필요해 보입니다.</v>
          </cell>
        </row>
        <row r="57">
          <cell r="B57">
            <v>20432665</v>
          </cell>
          <cell r="C57" t="str">
            <v>지역기반</v>
          </cell>
          <cell r="D57" t="str">
            <v>화공ㆍ섬유</v>
          </cell>
          <cell r="E57" t="str">
            <v>워크웨어의 진화에 맞춘 툴벨트의 세대교체, 모듈러 테크기어 ‘T.C.R.P.’</v>
          </cell>
          <cell r="F57" t="str">
            <v>0</v>
          </cell>
          <cell r="G57" t="str">
            <v>0</v>
          </cell>
          <cell r="H57" t="str">
            <v>예비</v>
          </cell>
          <cell r="I57" t="str">
            <v>청년</v>
          </cell>
          <cell r="J57">
            <v>0</v>
          </cell>
          <cell r="K57">
            <v>8</v>
          </cell>
          <cell r="L57">
            <v>8</v>
          </cell>
          <cell r="M57">
            <v>16</v>
          </cell>
          <cell r="N57">
            <v>15</v>
          </cell>
          <cell r="O57">
            <v>8</v>
          </cell>
          <cell r="P57">
            <v>8</v>
          </cell>
          <cell r="Q57">
            <v>12</v>
          </cell>
          <cell r="R57">
            <v>4</v>
          </cell>
          <cell r="S57">
            <v>79</v>
          </cell>
          <cell r="T57">
            <v>0</v>
          </cell>
          <cell r="U57">
            <v>79</v>
          </cell>
          <cell r="V57">
            <v>47</v>
          </cell>
          <cell r="W57" t="str">
            <v>-사업화 아이템의 성공가능성 향상을 위하여 기존의 경쟁제품에 대한 차별화 요인 분석을 통한 마케팅 이슈 도출이 필요해 보입니다.
-창업지원사업의 특성을 고려한 성과목표 제시 및 달성방안에 대한 설명이 필요해 보입니다.</v>
          </cell>
        </row>
        <row r="58">
          <cell r="B58">
            <v>20406503</v>
          </cell>
          <cell r="C58" t="str">
            <v>지역기반</v>
          </cell>
          <cell r="D58" t="str">
            <v>화공ㆍ섬유</v>
          </cell>
          <cell r="E58" t="str">
            <v>친환경 생분해 소재 기반 HDPE(High-Density Polyethylene) 대체용  탄소절감, 빗물 재활용, 수목 성장촉진을 위한 수목통 기관 설계 개발</v>
          </cell>
          <cell r="F58" t="str">
            <v>210,000,000</v>
          </cell>
          <cell r="G58" t="str">
            <v>2</v>
          </cell>
          <cell r="H58" t="str">
            <v>초기</v>
          </cell>
          <cell r="I58" t="str">
            <v>중장년</v>
          </cell>
          <cell r="J58">
            <v>0</v>
          </cell>
          <cell r="K58">
            <v>8</v>
          </cell>
          <cell r="L58">
            <v>9</v>
          </cell>
          <cell r="M58">
            <v>15</v>
          </cell>
          <cell r="N58">
            <v>16</v>
          </cell>
          <cell r="O58">
            <v>8</v>
          </cell>
          <cell r="P58">
            <v>7</v>
          </cell>
          <cell r="Q58">
            <v>12</v>
          </cell>
          <cell r="R58">
            <v>4</v>
          </cell>
          <cell r="S58">
            <v>79</v>
          </cell>
          <cell r="T58">
            <v>0</v>
          </cell>
          <cell r="U58">
            <v>79</v>
          </cell>
          <cell r="V58">
            <v>47</v>
          </cell>
          <cell r="W58" t="str">
            <v>-개발제품의 경쟁력 확보를 위한 기존 제품 대비 차별화 요소 및 경쟁력에 대한 구체적인 설명이 필요해 보입니다.
-제품에 대한 후발경쟁 제품의 시장 진입억제를 위한 산업재산권 확보방안에 대한 검토가 필요해 보입니다.
-개발제품의 특성상 지속적인 원재료 확보방안에 대한 고민이 필요해 보입니다.</v>
          </cell>
        </row>
        <row r="59">
          <cell r="B59">
            <v>20417276</v>
          </cell>
          <cell r="C59" t="str">
            <v>지역기반</v>
          </cell>
          <cell r="D59" t="str">
            <v>화공ㆍ섬유</v>
          </cell>
          <cell r="E59" t="str">
            <v>AI기술이 적용된 수면 피부 맞춤 침구 솔루션 제품 서비스</v>
          </cell>
          <cell r="F59" t="str">
            <v>20,000,000</v>
          </cell>
          <cell r="G59" t="str">
            <v>2</v>
          </cell>
          <cell r="H59" t="str">
            <v>초기</v>
          </cell>
          <cell r="I59" t="str">
            <v>중장년</v>
          </cell>
          <cell r="J59">
            <v>0</v>
          </cell>
          <cell r="K59">
            <v>7</v>
          </cell>
          <cell r="L59">
            <v>8</v>
          </cell>
          <cell r="M59">
            <v>16</v>
          </cell>
          <cell r="N59">
            <v>15</v>
          </cell>
          <cell r="O59">
            <v>8</v>
          </cell>
          <cell r="P59">
            <v>8</v>
          </cell>
          <cell r="Q59">
            <v>13</v>
          </cell>
          <cell r="R59">
            <v>4</v>
          </cell>
          <cell r="S59">
            <v>79</v>
          </cell>
          <cell r="T59">
            <v>0</v>
          </cell>
          <cell r="U59">
            <v>79</v>
          </cell>
          <cell r="V59">
            <v>47</v>
          </cell>
          <cell r="W59" t="str">
            <v xml:space="preserve">-사업화 아이템의 특성을 고려하여 보다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v>
          </cell>
        </row>
        <row r="60">
          <cell r="B60">
            <v>20417527</v>
          </cell>
          <cell r="C60" t="str">
            <v>지역기반</v>
          </cell>
          <cell r="D60" t="str">
            <v>화공ㆍ섬유</v>
          </cell>
          <cell r="E60" t="str">
            <v>초보자도 손쉽게 제모 가능한 고기능성 슈가페이스트 및 자동 충진 제조 시스템의 사업화</v>
          </cell>
          <cell r="F60" t="str">
            <v>100,000,000</v>
          </cell>
          <cell r="G60" t="str">
            <v>1</v>
          </cell>
          <cell r="H60" t="str">
            <v>초기</v>
          </cell>
          <cell r="I60" t="str">
            <v>중장년</v>
          </cell>
          <cell r="J60">
            <v>0</v>
          </cell>
          <cell r="K60">
            <v>8</v>
          </cell>
          <cell r="L60">
            <v>7</v>
          </cell>
          <cell r="M60">
            <v>16</v>
          </cell>
          <cell r="N60">
            <v>16</v>
          </cell>
          <cell r="O60">
            <v>8</v>
          </cell>
          <cell r="P60">
            <v>7</v>
          </cell>
          <cell r="Q60">
            <v>13</v>
          </cell>
          <cell r="R60">
            <v>4</v>
          </cell>
          <cell r="S60">
            <v>79</v>
          </cell>
          <cell r="T60">
            <v>0</v>
          </cell>
          <cell r="U60">
            <v>79</v>
          </cell>
          <cell r="V60">
            <v>47</v>
          </cell>
          <cell r="W60" t="str">
            <v>-사업화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v>
          </cell>
        </row>
        <row r="61">
          <cell r="B61">
            <v>20417853</v>
          </cell>
          <cell r="C61" t="str">
            <v>지역기반</v>
          </cell>
          <cell r="D61" t="str">
            <v>화공ㆍ섬유</v>
          </cell>
          <cell r="E61" t="str">
            <v>AI 가상피팅 기반의 데이터 검증 및 고객 반응형 생산 D2C 패션 브랜드</v>
          </cell>
          <cell r="F61" t="str">
            <v>2,800,000</v>
          </cell>
          <cell r="G61" t="str">
            <v>0</v>
          </cell>
          <cell r="H61" t="str">
            <v>초기</v>
          </cell>
          <cell r="I61" t="str">
            <v>중장년</v>
          </cell>
          <cell r="J61">
            <v>0</v>
          </cell>
          <cell r="K61">
            <v>8</v>
          </cell>
          <cell r="L61">
            <v>8</v>
          </cell>
          <cell r="M61">
            <v>15</v>
          </cell>
          <cell r="N61">
            <v>15</v>
          </cell>
          <cell r="O61">
            <v>8</v>
          </cell>
          <cell r="P61">
            <v>8</v>
          </cell>
          <cell r="Q61">
            <v>13</v>
          </cell>
          <cell r="R61">
            <v>4</v>
          </cell>
          <cell r="S61">
            <v>79</v>
          </cell>
          <cell r="T61">
            <v>0</v>
          </cell>
          <cell r="U61">
            <v>79</v>
          </cell>
          <cell r="V61">
            <v>47</v>
          </cell>
          <cell r="W61" t="str">
            <v xml:space="preserve">-사업화 아이템의 특성을 고려하여 기존의 유사솔루션에 대한 차별화 요소를 바탕으로 세부적인 경쟁분석이 필요해 보입니다.
-사업의 지속성 확보를 위해 보다 구체적인 수익창출 방안 및 고객 주문에 대한 생산시스템 연동체계에 대한 고민이 필요해 보입니다.
-창업지원사업의 특성을 고려한 정량적 성과지표 및 달성방안에 대한 설명이 필요해 보입니다.  </v>
          </cell>
        </row>
        <row r="62">
          <cell r="B62">
            <v>20420130</v>
          </cell>
          <cell r="C62" t="str">
            <v>지역기반</v>
          </cell>
          <cell r="D62" t="str">
            <v>화공ㆍ섬유</v>
          </cell>
          <cell r="E62" t="str">
            <v>AI 지능형 위생 진단 기반의 고기능성 스마트 세정 솔루션</v>
          </cell>
          <cell r="F62" t="str">
            <v>74,945,377</v>
          </cell>
          <cell r="G62" t="str">
            <v>1</v>
          </cell>
          <cell r="H62" t="str">
            <v>초기</v>
          </cell>
          <cell r="I62" t="str">
            <v>청년</v>
          </cell>
          <cell r="J62">
            <v>0</v>
          </cell>
          <cell r="K62">
            <v>7</v>
          </cell>
          <cell r="L62">
            <v>8</v>
          </cell>
          <cell r="M62">
            <v>16</v>
          </cell>
          <cell r="N62">
            <v>15</v>
          </cell>
          <cell r="O62">
            <v>7</v>
          </cell>
          <cell r="P62">
            <v>8</v>
          </cell>
          <cell r="Q62">
            <v>12</v>
          </cell>
          <cell r="R62">
            <v>4</v>
          </cell>
          <cell r="S62">
            <v>77</v>
          </cell>
          <cell r="T62">
            <v>2</v>
          </cell>
          <cell r="U62">
            <v>79</v>
          </cell>
          <cell r="V62">
            <v>47</v>
          </cell>
          <cell r="W62" t="str">
            <v xml:space="preserve">-사업화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63">
          <cell r="B63">
            <v>20420970</v>
          </cell>
          <cell r="C63" t="str">
            <v>지역기반</v>
          </cell>
          <cell r="D63" t="str">
            <v>화공ㆍ섬유</v>
          </cell>
          <cell r="E63" t="str">
            <v>Zero-Sticky 왁싱 리페어 에센스</v>
          </cell>
          <cell r="F63" t="str">
            <v>0</v>
          </cell>
          <cell r="G63" t="str">
            <v>1</v>
          </cell>
          <cell r="H63" t="str">
            <v>초기</v>
          </cell>
          <cell r="I63" t="str">
            <v>청년</v>
          </cell>
          <cell r="J63">
            <v>0</v>
          </cell>
          <cell r="K63">
            <v>8</v>
          </cell>
          <cell r="L63">
            <v>8</v>
          </cell>
          <cell r="M63">
            <v>15</v>
          </cell>
          <cell r="N63">
            <v>14</v>
          </cell>
          <cell r="O63">
            <v>8</v>
          </cell>
          <cell r="P63">
            <v>8</v>
          </cell>
          <cell r="Q63">
            <v>12</v>
          </cell>
          <cell r="R63">
            <v>4</v>
          </cell>
          <cell r="S63">
            <v>77</v>
          </cell>
          <cell r="T63">
            <v>2</v>
          </cell>
          <cell r="U63">
            <v>79</v>
          </cell>
          <cell r="V63">
            <v>47</v>
          </cell>
          <cell r="W63" t="str">
            <v xml:space="preserve">-사업화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64">
          <cell r="B64">
            <v>20424877</v>
          </cell>
          <cell r="C64" t="str">
            <v>지역기반</v>
          </cell>
          <cell r="D64" t="str">
            <v>화공ㆍ섬유</v>
          </cell>
          <cell r="E64" t="str">
            <v>2,000만 반려인의 동물병원 방문 1순위 ‘피부질환’ 문제를 해결하기 위해3D 유해성분 제로, 강아지 피부세포 실험으로 검증 특허 성분 함유 저자극 기능성 펫 스킨케어 ‘너티포비'</v>
          </cell>
          <cell r="F64" t="str">
            <v>3,585,411</v>
          </cell>
          <cell r="G64" t="str">
            <v>0</v>
          </cell>
          <cell r="H64" t="str">
            <v>초기</v>
          </cell>
          <cell r="I64" t="str">
            <v>청년</v>
          </cell>
          <cell r="J64">
            <v>0</v>
          </cell>
          <cell r="K64">
            <v>8</v>
          </cell>
          <cell r="L64">
            <v>8</v>
          </cell>
          <cell r="M64">
            <v>16</v>
          </cell>
          <cell r="N64">
            <v>15</v>
          </cell>
          <cell r="O64">
            <v>8</v>
          </cell>
          <cell r="P64">
            <v>8</v>
          </cell>
          <cell r="Q64">
            <v>12</v>
          </cell>
          <cell r="R64">
            <v>4</v>
          </cell>
          <cell r="S64">
            <v>79</v>
          </cell>
          <cell r="T64">
            <v>0</v>
          </cell>
          <cell r="U64">
            <v>79</v>
          </cell>
          <cell r="V64">
            <v>47</v>
          </cell>
          <cell r="W64" t="str">
            <v xml:space="preserve">-사업화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65">
          <cell r="B65">
            <v>20426074</v>
          </cell>
          <cell r="C65" t="str">
            <v>지역기반</v>
          </cell>
          <cell r="D65" t="str">
            <v>화공ㆍ섬유</v>
          </cell>
          <cell r="E65" t="str">
            <v>피부 트러블 및 소재 손상 방지를 위한 중성 포뮬러 기반  아이웨어 전용 폼 워시</v>
          </cell>
          <cell r="F65" t="str">
            <v>0</v>
          </cell>
          <cell r="G65" t="str">
            <v>0</v>
          </cell>
          <cell r="H65" t="str">
            <v>초기</v>
          </cell>
          <cell r="I65" t="str">
            <v>청년</v>
          </cell>
          <cell r="J65">
            <v>0</v>
          </cell>
          <cell r="K65">
            <v>8</v>
          </cell>
          <cell r="L65">
            <v>8</v>
          </cell>
          <cell r="M65">
            <v>15</v>
          </cell>
          <cell r="N65">
            <v>15</v>
          </cell>
          <cell r="O65">
            <v>8</v>
          </cell>
          <cell r="P65">
            <v>7</v>
          </cell>
          <cell r="Q65">
            <v>12</v>
          </cell>
          <cell r="R65">
            <v>4</v>
          </cell>
          <cell r="S65">
            <v>77</v>
          </cell>
          <cell r="T65">
            <v>2</v>
          </cell>
          <cell r="U65">
            <v>79</v>
          </cell>
          <cell r="V65">
            <v>47</v>
          </cell>
          <cell r="W65"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66">
          <cell r="B66">
            <v>20426725</v>
          </cell>
          <cell r="C66" t="str">
            <v>지역기반</v>
          </cell>
          <cell r="D66" t="str">
            <v>화공ㆍ섬유</v>
          </cell>
          <cell r="E66" t="str">
            <v>농산 폐기물(유자 폐껍질·잣송이 외피) 업사이클링 원료 기반의 멘톨·유칼립투스 완전 배제 영유아·민감성 체질 안심 비염 완화 밤 '숲결'</v>
          </cell>
          <cell r="F66" t="str">
            <v>0</v>
          </cell>
          <cell r="G66" t="str">
            <v>1</v>
          </cell>
          <cell r="H66" t="str">
            <v>초기</v>
          </cell>
          <cell r="I66" t="str">
            <v>청년</v>
          </cell>
          <cell r="J66">
            <v>0</v>
          </cell>
          <cell r="K66">
            <v>8</v>
          </cell>
          <cell r="L66">
            <v>7</v>
          </cell>
          <cell r="M66">
            <v>16</v>
          </cell>
          <cell r="N66">
            <v>16</v>
          </cell>
          <cell r="O66">
            <v>8</v>
          </cell>
          <cell r="P66">
            <v>8</v>
          </cell>
          <cell r="Q66">
            <v>12</v>
          </cell>
          <cell r="R66">
            <v>4</v>
          </cell>
          <cell r="S66">
            <v>79</v>
          </cell>
          <cell r="T66">
            <v>0</v>
          </cell>
          <cell r="U66">
            <v>79</v>
          </cell>
          <cell r="V66">
            <v>47</v>
          </cell>
          <cell r="W66"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67">
          <cell r="B67">
            <v>20427576</v>
          </cell>
          <cell r="C67" t="str">
            <v>지역기반</v>
          </cell>
          <cell r="D67" t="str">
            <v>화공ㆍ섬유</v>
          </cell>
          <cell r="E67" t="str">
            <v>락토피치 바이옴 독자 성분과 기능성 복합 포뮬러를 적용하여 팩 한 통의 효과를 간편하게 구현하는 고효능 모공 케어 앰플</v>
          </cell>
          <cell r="F67" t="str">
            <v>35,381,900</v>
          </cell>
          <cell r="G67" t="str">
            <v>0</v>
          </cell>
          <cell r="H67" t="str">
            <v>초기</v>
          </cell>
          <cell r="I67" t="str">
            <v>청년</v>
          </cell>
          <cell r="J67">
            <v>0</v>
          </cell>
          <cell r="K67">
            <v>8</v>
          </cell>
          <cell r="L67">
            <v>8</v>
          </cell>
          <cell r="M67">
            <v>16</v>
          </cell>
          <cell r="N67">
            <v>15</v>
          </cell>
          <cell r="O67">
            <v>8</v>
          </cell>
          <cell r="P67">
            <v>8</v>
          </cell>
          <cell r="Q67">
            <v>12</v>
          </cell>
          <cell r="R67">
            <v>4</v>
          </cell>
          <cell r="S67">
            <v>79</v>
          </cell>
          <cell r="T67">
            <v>0</v>
          </cell>
          <cell r="U67">
            <v>79</v>
          </cell>
          <cell r="V67">
            <v>47</v>
          </cell>
          <cell r="W67"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v>
          </cell>
        </row>
        <row r="68">
          <cell r="B68">
            <v>20429392</v>
          </cell>
          <cell r="C68" t="str">
            <v>지역기반</v>
          </cell>
          <cell r="D68" t="str">
            <v>화공ㆍ섬유</v>
          </cell>
          <cell r="E68" t="str">
            <v>초저온 실링 및 수분차단성을 갖춘 친환경 단일소재 폴리에틸렌 연포장 필름</v>
          </cell>
          <cell r="F68" t="str">
            <v>35,000,000</v>
          </cell>
          <cell r="G68" t="str">
            <v>0</v>
          </cell>
          <cell r="H68" t="str">
            <v>초기</v>
          </cell>
          <cell r="I68" t="str">
            <v>중장년</v>
          </cell>
          <cell r="J68">
            <v>0</v>
          </cell>
          <cell r="K68">
            <v>8</v>
          </cell>
          <cell r="L68">
            <v>8</v>
          </cell>
          <cell r="M68">
            <v>16</v>
          </cell>
          <cell r="N68">
            <v>16</v>
          </cell>
          <cell r="O68">
            <v>7</v>
          </cell>
          <cell r="P68">
            <v>8</v>
          </cell>
          <cell r="Q68">
            <v>12</v>
          </cell>
          <cell r="R68">
            <v>4</v>
          </cell>
          <cell r="S68">
            <v>79</v>
          </cell>
          <cell r="T68">
            <v>0</v>
          </cell>
          <cell r="U68">
            <v>79</v>
          </cell>
          <cell r="V68">
            <v>47</v>
          </cell>
          <cell r="W68"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69">
          <cell r="B69">
            <v>20433253</v>
          </cell>
          <cell r="C69" t="str">
            <v>지역기반</v>
          </cell>
          <cell r="D69" t="str">
            <v>화공ㆍ섬유</v>
          </cell>
          <cell r="E69" t="str">
            <v>효과와 자극의 딜레마 극복, '초단기 턴오버 회복' K-뷰티 라인업</v>
          </cell>
          <cell r="F69" t="str">
            <v>133,110,166</v>
          </cell>
          <cell r="G69" t="str">
            <v>0</v>
          </cell>
          <cell r="H69" t="str">
            <v>초기</v>
          </cell>
          <cell r="I69" t="str">
            <v>청년</v>
          </cell>
          <cell r="J69">
            <v>0</v>
          </cell>
          <cell r="K69">
            <v>8</v>
          </cell>
          <cell r="L69">
            <v>7</v>
          </cell>
          <cell r="M69">
            <v>16</v>
          </cell>
          <cell r="N69">
            <v>16</v>
          </cell>
          <cell r="O69">
            <v>8</v>
          </cell>
          <cell r="P69">
            <v>8</v>
          </cell>
          <cell r="Q69">
            <v>12</v>
          </cell>
          <cell r="R69">
            <v>4</v>
          </cell>
          <cell r="S69">
            <v>79</v>
          </cell>
          <cell r="T69">
            <v>0</v>
          </cell>
          <cell r="U69">
            <v>79</v>
          </cell>
          <cell r="V69">
            <v>47</v>
          </cell>
          <cell r="W69"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70">
          <cell r="B70">
            <v>20425251</v>
          </cell>
          <cell r="C70" t="str">
            <v>대학발</v>
          </cell>
          <cell r="D70" t="str">
            <v>화공ㆍ섬유</v>
          </cell>
          <cell r="E70" t="str">
            <v>AI 안면 분석 기반 개인 맞춤형 눈썹 스타일링 키트</v>
          </cell>
          <cell r="F70" t="str">
            <v>0</v>
          </cell>
          <cell r="G70" t="str">
            <v>0</v>
          </cell>
          <cell r="H70" t="str">
            <v>초기</v>
          </cell>
          <cell r="I70" t="str">
            <v>중장년</v>
          </cell>
          <cell r="J70">
            <v>0</v>
          </cell>
          <cell r="K70">
            <v>9</v>
          </cell>
          <cell r="L70">
            <v>9</v>
          </cell>
          <cell r="M70">
            <v>15</v>
          </cell>
          <cell r="N70">
            <v>15</v>
          </cell>
          <cell r="O70">
            <v>8</v>
          </cell>
          <cell r="P70">
            <v>7</v>
          </cell>
          <cell r="Q70">
            <v>12</v>
          </cell>
          <cell r="R70">
            <v>4</v>
          </cell>
          <cell r="S70">
            <v>79</v>
          </cell>
          <cell r="T70">
            <v>0</v>
          </cell>
          <cell r="U70">
            <v>79</v>
          </cell>
          <cell r="V70">
            <v>47</v>
          </cell>
          <cell r="W70" t="str">
            <v>-우리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cell r="X70" t="str">
            <v>일치</v>
          </cell>
          <cell r="Y70" t="str">
            <v>과제의 제목 및 사업화 아이템의 기능구성 중에 AI요소가 포함되어 일치로 판별함.</v>
          </cell>
        </row>
        <row r="71">
          <cell r="B71">
            <v>20408236</v>
          </cell>
          <cell r="C71" t="str">
            <v>지역기반</v>
          </cell>
          <cell r="D71" t="str">
            <v>화공ㆍ섬유</v>
          </cell>
          <cell r="E71" t="str">
            <v>니치퍼퓸, 아로마 해외 수출 전문 화장품</v>
          </cell>
          <cell r="F71" t="str">
            <v>60,000,000</v>
          </cell>
          <cell r="G71" t="str">
            <v>1</v>
          </cell>
          <cell r="H71" t="str">
            <v>도약</v>
          </cell>
          <cell r="I71" t="str">
            <v>청년</v>
          </cell>
          <cell r="J71">
            <v>0</v>
          </cell>
          <cell r="K71">
            <v>8</v>
          </cell>
          <cell r="L71">
            <v>8</v>
          </cell>
          <cell r="M71">
            <v>16</v>
          </cell>
          <cell r="N71">
            <v>15</v>
          </cell>
          <cell r="O71">
            <v>8</v>
          </cell>
          <cell r="P71">
            <v>8</v>
          </cell>
          <cell r="Q71">
            <v>12</v>
          </cell>
          <cell r="R71">
            <v>4</v>
          </cell>
          <cell r="S71">
            <v>79</v>
          </cell>
          <cell r="T71">
            <v>0</v>
          </cell>
          <cell r="U71">
            <v>79</v>
          </cell>
          <cell r="V71">
            <v>47</v>
          </cell>
          <cell r="W71"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72">
          <cell r="B72">
            <v>20429165</v>
          </cell>
          <cell r="C72" t="str">
            <v>지역기반</v>
          </cell>
          <cell r="D72" t="str">
            <v>화공ㆍ섬유</v>
          </cell>
          <cell r="E72" t="str">
            <v>AI x IoT 기반 Off-Grid 재난·안전 대응 스마트 모바일 쉘터</v>
          </cell>
          <cell r="F72" t="str">
            <v>608,370,260</v>
          </cell>
          <cell r="G72" t="str">
            <v>2</v>
          </cell>
          <cell r="H72" t="str">
            <v>도약</v>
          </cell>
          <cell r="I72" t="str">
            <v>중장년</v>
          </cell>
          <cell r="J72">
            <v>0</v>
          </cell>
          <cell r="K72">
            <v>8</v>
          </cell>
          <cell r="L72">
            <v>8</v>
          </cell>
          <cell r="M72">
            <v>16</v>
          </cell>
          <cell r="N72">
            <v>16</v>
          </cell>
          <cell r="O72">
            <v>8</v>
          </cell>
          <cell r="P72">
            <v>7</v>
          </cell>
          <cell r="Q72">
            <v>12</v>
          </cell>
          <cell r="R72">
            <v>4</v>
          </cell>
          <cell r="S72">
            <v>79</v>
          </cell>
          <cell r="T72">
            <v>0</v>
          </cell>
          <cell r="U72">
            <v>79</v>
          </cell>
          <cell r="V72">
            <v>47</v>
          </cell>
          <cell r="W72" t="str">
            <v>-우리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73">
          <cell r="B73">
            <v>20421895</v>
          </cell>
          <cell r="C73" t="str">
            <v>지역기반</v>
          </cell>
          <cell r="D73" t="str">
            <v>화공ㆍ섬유</v>
          </cell>
          <cell r="E73" t="str">
            <v>손쉽게 눌러쓰는 압출식 2 in 1 버블 토너</v>
          </cell>
          <cell r="F73" t="str">
            <v>0</v>
          </cell>
          <cell r="G73" t="str">
            <v>0</v>
          </cell>
          <cell r="H73" t="str">
            <v>예비</v>
          </cell>
          <cell r="I73" t="str">
            <v>청년</v>
          </cell>
          <cell r="J73">
            <v>0</v>
          </cell>
          <cell r="K73">
            <v>7</v>
          </cell>
          <cell r="L73">
            <v>8</v>
          </cell>
          <cell r="M73">
            <v>17</v>
          </cell>
          <cell r="N73">
            <v>16</v>
          </cell>
          <cell r="O73">
            <v>7</v>
          </cell>
          <cell r="P73">
            <v>7</v>
          </cell>
          <cell r="Q73">
            <v>12</v>
          </cell>
          <cell r="R73">
            <v>4</v>
          </cell>
          <cell r="S73">
            <v>78</v>
          </cell>
          <cell r="T73">
            <v>0</v>
          </cell>
          <cell r="U73">
            <v>78</v>
          </cell>
          <cell r="V73">
            <v>66</v>
          </cell>
          <cell r="W73" t="str">
            <v>-사업화 아이템의 성공가능성 향상을 위해 보다 다양한 측면에서 차별화 이슈의 도출 및 후발 경쟁자의 진입 억제를 위한 산업재산권 확보방안에 대한 고민이 필요해 보입니다.
-창업지원사업의 특성을 고려한 성과목표 제시 및 달성방안에 대한 설명이 필요해 보입니다.</v>
          </cell>
        </row>
        <row r="74">
          <cell r="B74">
            <v>20409143</v>
          </cell>
          <cell r="C74" t="str">
            <v>지역기반</v>
          </cell>
          <cell r="D74" t="str">
            <v>화공ㆍ섬유</v>
          </cell>
          <cell r="E74" t="str">
            <v>N52 등급 자성 결합 기술과 하이브리드 소재 공정을 적용한 맥세이프 부착형 프리미엄 립 케어 모듈 개발</v>
          </cell>
          <cell r="F74" t="str">
            <v>0</v>
          </cell>
          <cell r="G74" t="str">
            <v>3</v>
          </cell>
          <cell r="H74" t="str">
            <v>초기</v>
          </cell>
          <cell r="I74" t="str">
            <v>중장년</v>
          </cell>
          <cell r="J74">
            <v>0</v>
          </cell>
          <cell r="K74">
            <v>8</v>
          </cell>
          <cell r="L74">
            <v>8</v>
          </cell>
          <cell r="M74">
            <v>16</v>
          </cell>
          <cell r="N74">
            <v>15</v>
          </cell>
          <cell r="O74">
            <v>7</v>
          </cell>
          <cell r="P74">
            <v>8</v>
          </cell>
          <cell r="Q74">
            <v>12</v>
          </cell>
          <cell r="R74">
            <v>4</v>
          </cell>
          <cell r="S74">
            <v>78</v>
          </cell>
          <cell r="T74">
            <v>0</v>
          </cell>
          <cell r="U74">
            <v>78</v>
          </cell>
          <cell r="V74">
            <v>66</v>
          </cell>
          <cell r="W74" t="str">
            <v xml:space="preserve">-기존제품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v>
          </cell>
        </row>
        <row r="75">
          <cell r="B75">
            <v>20417321</v>
          </cell>
          <cell r="C75" t="str">
            <v>지역기반</v>
          </cell>
          <cell r="D75" t="str">
            <v>화공ㆍ섬유</v>
          </cell>
          <cell r="E75" t="str">
            <v>롤러형먼지크리너겸용방충포집기</v>
          </cell>
          <cell r="F75" t="str">
            <v>10,880,000</v>
          </cell>
          <cell r="G75" t="str">
            <v>0</v>
          </cell>
          <cell r="H75" t="str">
            <v>초기</v>
          </cell>
          <cell r="I75" t="str">
            <v>중장년</v>
          </cell>
          <cell r="J75">
            <v>0</v>
          </cell>
          <cell r="K75">
            <v>8</v>
          </cell>
          <cell r="L75">
            <v>8</v>
          </cell>
          <cell r="M75">
            <v>15</v>
          </cell>
          <cell r="N75">
            <v>15</v>
          </cell>
          <cell r="O75">
            <v>8</v>
          </cell>
          <cell r="P75">
            <v>8</v>
          </cell>
          <cell r="Q75">
            <v>12</v>
          </cell>
          <cell r="R75">
            <v>4</v>
          </cell>
          <cell r="S75">
            <v>78</v>
          </cell>
          <cell r="T75">
            <v>0</v>
          </cell>
          <cell r="U75">
            <v>78</v>
          </cell>
          <cell r="V75">
            <v>66</v>
          </cell>
          <cell r="W75" t="str">
            <v xml:space="preserve">-사업화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v>
          </cell>
        </row>
        <row r="76">
          <cell r="B76">
            <v>20425984</v>
          </cell>
          <cell r="C76" t="str">
            <v>지역기반</v>
          </cell>
          <cell r="D76" t="str">
            <v>화공ㆍ섬유</v>
          </cell>
          <cell r="E76" t="str">
            <v>수요는 있고 브랜드는 없는 율무 화장품의 글로벌 직진출 사업화</v>
          </cell>
          <cell r="F76" t="str">
            <v>1,759,756</v>
          </cell>
          <cell r="G76" t="str">
            <v>0</v>
          </cell>
          <cell r="H76" t="str">
            <v>초기</v>
          </cell>
          <cell r="I76" t="str">
            <v>청년</v>
          </cell>
          <cell r="J76">
            <v>0</v>
          </cell>
          <cell r="K76">
            <v>7</v>
          </cell>
          <cell r="L76">
            <v>8</v>
          </cell>
          <cell r="M76">
            <v>16</v>
          </cell>
          <cell r="N76">
            <v>15</v>
          </cell>
          <cell r="O76">
            <v>8</v>
          </cell>
          <cell r="P76">
            <v>8</v>
          </cell>
          <cell r="Q76">
            <v>12</v>
          </cell>
          <cell r="R76">
            <v>4</v>
          </cell>
          <cell r="S76">
            <v>78</v>
          </cell>
          <cell r="T76">
            <v>0</v>
          </cell>
          <cell r="U76">
            <v>78</v>
          </cell>
          <cell r="V76">
            <v>66</v>
          </cell>
          <cell r="W76" t="str">
            <v xml:space="preserve">-사업화 아이템의 특성을 고려하여 기존시장의 유사제품과 비교하여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77">
          <cell r="B77">
            <v>20410189</v>
          </cell>
          <cell r="C77" t="str">
            <v>지역기반</v>
          </cell>
          <cell r="D77" t="str">
            <v>화공ㆍ섬유</v>
          </cell>
          <cell r="E77" t="str">
            <v>모듈형 교체식 관절 연동 체결 기술을 적용한 소프트 스윔베이트 (Soft Swim Bait Incorporating Modular Interchangeable Articulated Joint Coupling Technology)</v>
          </cell>
          <cell r="F77" t="str">
            <v>156,016,299</v>
          </cell>
          <cell r="G77" t="str">
            <v>1</v>
          </cell>
          <cell r="H77" t="str">
            <v>초기</v>
          </cell>
          <cell r="I77" t="str">
            <v>중장년</v>
          </cell>
          <cell r="J77">
            <v>0</v>
          </cell>
          <cell r="K77">
            <v>7</v>
          </cell>
          <cell r="L77">
            <v>8</v>
          </cell>
          <cell r="M77">
            <v>15</v>
          </cell>
          <cell r="N77">
            <v>15</v>
          </cell>
          <cell r="O77">
            <v>8</v>
          </cell>
          <cell r="P77">
            <v>8</v>
          </cell>
          <cell r="Q77">
            <v>12</v>
          </cell>
          <cell r="R77">
            <v>4</v>
          </cell>
          <cell r="S77">
            <v>77</v>
          </cell>
          <cell r="T77">
            <v>0</v>
          </cell>
          <cell r="U77">
            <v>77</v>
          </cell>
          <cell r="V77">
            <v>70</v>
          </cell>
          <cell r="W77" t="str">
            <v>-기존시장의 유사제품에 대한 경쟁요소 발굴을 통해 경쟁력있는 마케팅 이슈 도출에 대한 고민이 필요해 보입니다.
-창업지원사업의 성격에 적합한 성과 지표 제시 및 달성방안에 대한 고민이 필요해 보입니다.</v>
          </cell>
        </row>
        <row r="78">
          <cell r="B78">
            <v>20419492</v>
          </cell>
          <cell r="C78" t="str">
            <v>지역기반</v>
          </cell>
          <cell r="D78" t="str">
            <v>화공ㆍ섬유</v>
          </cell>
          <cell r="E78" t="str">
            <v>스마트 소재와 인체공학적 보정 패턴 기술이 융합된  5060 시니어 여성 특화 데일리 캐주얼 &amp;lt;헤이린드&amp;gt;</v>
          </cell>
          <cell r="F78" t="str">
            <v>10,000,000</v>
          </cell>
          <cell r="G78" t="str">
            <v>0</v>
          </cell>
          <cell r="H78" t="str">
            <v>초기</v>
          </cell>
          <cell r="I78" t="str">
            <v>중장년</v>
          </cell>
          <cell r="J78">
            <v>0</v>
          </cell>
          <cell r="K78">
            <v>8</v>
          </cell>
          <cell r="L78">
            <v>8</v>
          </cell>
          <cell r="M78">
            <v>14</v>
          </cell>
          <cell r="N78">
            <v>15</v>
          </cell>
          <cell r="O78">
            <v>8</v>
          </cell>
          <cell r="P78">
            <v>7</v>
          </cell>
          <cell r="Q78">
            <v>13</v>
          </cell>
          <cell r="R78">
            <v>4</v>
          </cell>
          <cell r="S78">
            <v>77</v>
          </cell>
          <cell r="T78">
            <v>0</v>
          </cell>
          <cell r="U78">
            <v>77</v>
          </cell>
          <cell r="V78">
            <v>70</v>
          </cell>
          <cell r="W78" t="str">
            <v xml:space="preserve">-사업화 아이템의 특성을 고려하여 기존의 유사제품에 대한 차별화 요소를 바탕으로 세부적인 경쟁분석이 필요해 보입니다.
-사업의 지속성 확보를 위해 보다 구체적인 수익창출을 기반으로 하는 마케팅 전략에 대한 고민이 필요해 보입니다.
-창업지원사업의 특성을 고려한 정량적 성과지표 및 달성방안에 대한 설명이 필요해 보입니다.  </v>
          </cell>
        </row>
        <row r="79">
          <cell r="B79">
            <v>20422094</v>
          </cell>
          <cell r="C79" t="str">
            <v>지역기반</v>
          </cell>
          <cell r="D79" t="str">
            <v>화공ㆍ섬유</v>
          </cell>
          <cell r="E79" t="str">
            <v>피부를 숨기지 않아도 되는 안심 베이스</v>
          </cell>
          <cell r="F79" t="str">
            <v>150,000,000</v>
          </cell>
          <cell r="G79" t="str">
            <v>1</v>
          </cell>
          <cell r="H79" t="str">
            <v>초기</v>
          </cell>
          <cell r="I79" t="str">
            <v>청년</v>
          </cell>
          <cell r="J79">
            <v>0</v>
          </cell>
          <cell r="K79">
            <v>8</v>
          </cell>
          <cell r="L79">
            <v>8</v>
          </cell>
          <cell r="M79">
            <v>16</v>
          </cell>
          <cell r="N79">
            <v>15</v>
          </cell>
          <cell r="O79">
            <v>7</v>
          </cell>
          <cell r="P79">
            <v>8</v>
          </cell>
          <cell r="Q79">
            <v>11</v>
          </cell>
          <cell r="R79">
            <v>4</v>
          </cell>
          <cell r="S79">
            <v>77</v>
          </cell>
          <cell r="T79">
            <v>0</v>
          </cell>
          <cell r="U79">
            <v>77</v>
          </cell>
          <cell r="V79">
            <v>70</v>
          </cell>
          <cell r="W79" t="str">
            <v xml:space="preserve">-사업화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80">
          <cell r="B80">
            <v>20432460</v>
          </cell>
          <cell r="C80" t="str">
            <v>지역기반</v>
          </cell>
          <cell r="D80" t="str">
            <v>화공ㆍ섬유</v>
          </cell>
          <cell r="E80" t="str">
            <v>여성 선수 체형 설계 데이터베이스 기반 퍼포먼스 스포츠웨어 '주키트(JUKIT) 우먼스 라인'</v>
          </cell>
          <cell r="F80" t="str">
            <v>77,000,000</v>
          </cell>
          <cell r="G80" t="str">
            <v>2</v>
          </cell>
          <cell r="H80" t="str">
            <v>초기</v>
          </cell>
          <cell r="I80" t="str">
            <v>청년</v>
          </cell>
          <cell r="J80">
            <v>0</v>
          </cell>
          <cell r="K80">
            <v>8</v>
          </cell>
          <cell r="L80">
            <v>7</v>
          </cell>
          <cell r="M80">
            <v>16</v>
          </cell>
          <cell r="N80">
            <v>15</v>
          </cell>
          <cell r="O80">
            <v>8</v>
          </cell>
          <cell r="P80">
            <v>7</v>
          </cell>
          <cell r="Q80">
            <v>12</v>
          </cell>
          <cell r="R80">
            <v>4</v>
          </cell>
          <cell r="S80">
            <v>77</v>
          </cell>
          <cell r="T80">
            <v>0</v>
          </cell>
          <cell r="U80">
            <v>77</v>
          </cell>
          <cell r="V80">
            <v>70</v>
          </cell>
          <cell r="W80" t="str">
            <v>-기존시장의 유사제품과 비교하여 소비자의 니즈 및 우리 제품의 차별화 요소를 바탕으로 보다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81">
          <cell r="B81">
            <v>20401633</v>
          </cell>
          <cell r="C81" t="str">
            <v>지역기반</v>
          </cell>
          <cell r="D81" t="str">
            <v>화공ㆍ섬유</v>
          </cell>
          <cell r="E81" t="str">
            <v>수면 시간을 관리하는 수면 뷰티 솔루션 네루미인 제품 사업화</v>
          </cell>
          <cell r="F81" t="str">
            <v>20,000,000</v>
          </cell>
          <cell r="G81" t="str">
            <v>2</v>
          </cell>
          <cell r="H81" t="str">
            <v>도약</v>
          </cell>
          <cell r="I81" t="str">
            <v>청년</v>
          </cell>
          <cell r="J81">
            <v>0</v>
          </cell>
          <cell r="K81">
            <v>8</v>
          </cell>
          <cell r="L81">
            <v>7</v>
          </cell>
          <cell r="M81">
            <v>16</v>
          </cell>
          <cell r="N81">
            <v>15</v>
          </cell>
          <cell r="O81">
            <v>8</v>
          </cell>
          <cell r="P81">
            <v>7</v>
          </cell>
          <cell r="Q81">
            <v>12</v>
          </cell>
          <cell r="R81">
            <v>4</v>
          </cell>
          <cell r="S81">
            <v>77</v>
          </cell>
          <cell r="T81">
            <v>0</v>
          </cell>
          <cell r="U81">
            <v>77</v>
          </cell>
          <cell r="V81">
            <v>70</v>
          </cell>
          <cell r="W81"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82">
          <cell r="B82">
            <v>20427672</v>
          </cell>
          <cell r="C82" t="str">
            <v>지역기반</v>
          </cell>
          <cell r="D82" t="str">
            <v>화공ㆍ섬유</v>
          </cell>
          <cell r="E82" t="str">
            <v>연화소재 기반 K-유자껍질 업사이클링 원료와 PLA 친환경 패키징을 활용하여 국내외로 지속가능 웰니스 경험을 선사하는 바디케어(바디로션) 제품 개발</v>
          </cell>
          <cell r="F82" t="str">
            <v>99,561,204</v>
          </cell>
          <cell r="G82" t="str">
            <v>2</v>
          </cell>
          <cell r="H82" t="str">
            <v>도약</v>
          </cell>
          <cell r="I82" t="str">
            <v>청년</v>
          </cell>
          <cell r="J82">
            <v>0</v>
          </cell>
          <cell r="K82">
            <v>8</v>
          </cell>
          <cell r="L82">
            <v>7</v>
          </cell>
          <cell r="M82">
            <v>16</v>
          </cell>
          <cell r="N82">
            <v>15</v>
          </cell>
          <cell r="O82">
            <v>8</v>
          </cell>
          <cell r="P82">
            <v>7</v>
          </cell>
          <cell r="Q82">
            <v>12</v>
          </cell>
          <cell r="R82">
            <v>4</v>
          </cell>
          <cell r="S82">
            <v>77</v>
          </cell>
          <cell r="T82">
            <v>0</v>
          </cell>
          <cell r="U82">
            <v>77</v>
          </cell>
          <cell r="V82">
            <v>70</v>
          </cell>
          <cell r="W82" t="str">
            <v>-우리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83">
          <cell r="B83">
            <v>20421385</v>
          </cell>
          <cell r="C83" t="str">
            <v>지역기반</v>
          </cell>
          <cell r="D83" t="str">
            <v>화공ㆍ섬유</v>
          </cell>
          <cell r="E83" t="str">
            <v>분자증류를 이용한 전자재료용 고순도 Special Chemicals 제조 (Total 8종)</v>
          </cell>
          <cell r="F83" t="str">
            <v>0</v>
          </cell>
          <cell r="G83" t="str">
            <v>0</v>
          </cell>
          <cell r="H83" t="str">
            <v>예비</v>
          </cell>
          <cell r="I83" t="str">
            <v>중장년</v>
          </cell>
          <cell r="J83">
            <v>0</v>
          </cell>
          <cell r="K83">
            <v>8</v>
          </cell>
          <cell r="L83">
            <v>8</v>
          </cell>
          <cell r="M83">
            <v>16</v>
          </cell>
          <cell r="N83">
            <v>15</v>
          </cell>
          <cell r="O83">
            <v>6</v>
          </cell>
          <cell r="P83">
            <v>7</v>
          </cell>
          <cell r="Q83">
            <v>12</v>
          </cell>
          <cell r="R83">
            <v>4</v>
          </cell>
          <cell r="S83">
            <v>76</v>
          </cell>
          <cell r="T83">
            <v>0</v>
          </cell>
          <cell r="U83">
            <v>76</v>
          </cell>
          <cell r="V83">
            <v>76</v>
          </cell>
          <cell r="W83" t="str">
            <v>-사업화 아이템의 특성상 경쟁기술에 대해 다각적인 차별화 요소도출 및 후발 경쟁업체에 대한 진입장벽 구축을 위한 전략 수립이 필요해 보입니다.
-창업지원사업의 특서을 고려한 성과목표 도출 및 달성 방안에 대해 보다 상세한 설명이 필요해 보입니다.</v>
          </cell>
        </row>
        <row r="84">
          <cell r="B84">
            <v>20426750</v>
          </cell>
          <cell r="C84" t="str">
            <v>지역기반</v>
          </cell>
          <cell r="D84" t="str">
            <v>화공ㆍ섬유</v>
          </cell>
          <cell r="E84" t="str">
            <v>AI 제형 최적화 기술 기반 스마트 올인원 젤과 네일숍을 위한 AI 제고 운영 관리 SaaS 솔루션, ARO NAIL</v>
          </cell>
          <cell r="F84" t="str">
            <v>0</v>
          </cell>
          <cell r="G84" t="str">
            <v>0</v>
          </cell>
          <cell r="H84" t="str">
            <v>예비</v>
          </cell>
          <cell r="I84" t="str">
            <v>청년</v>
          </cell>
          <cell r="J84">
            <v>0</v>
          </cell>
          <cell r="K84">
            <v>7</v>
          </cell>
          <cell r="L84">
            <v>8</v>
          </cell>
          <cell r="M84">
            <v>15</v>
          </cell>
          <cell r="N84">
            <v>16</v>
          </cell>
          <cell r="O84">
            <v>7</v>
          </cell>
          <cell r="P84">
            <v>7</v>
          </cell>
          <cell r="Q84">
            <v>12</v>
          </cell>
          <cell r="R84">
            <v>4</v>
          </cell>
          <cell r="S84">
            <v>76</v>
          </cell>
          <cell r="T84">
            <v>0</v>
          </cell>
          <cell r="U84">
            <v>76</v>
          </cell>
          <cell r="V84">
            <v>76</v>
          </cell>
          <cell r="W84" t="str">
            <v>-사업화 아이템의 성공 가능성 향상을 위해 경쟁력 확보 및 지속적인 수익 창출 방안에 대한 고민이 필요해 보입니다.
-창업지원사업의 성격을 고려한 성과목표 제시 및 달성방안에 대해 보다 구체적인 설명이 필요해 보입니다.</v>
          </cell>
        </row>
        <row r="85">
          <cell r="B85">
            <v>20430515</v>
          </cell>
          <cell r="C85" t="str">
            <v>지역기반</v>
          </cell>
          <cell r="D85" t="str">
            <v>화공ㆍ섬유</v>
          </cell>
          <cell r="E85" t="str">
            <v>소재의 한지의 느낌을 살려 수묵화 등 한국 전통의 디자인을 적용한  글로벌 진출용 친환경(타이벡) 양산</v>
          </cell>
          <cell r="F85" t="str">
            <v>0</v>
          </cell>
          <cell r="G85" t="str">
            <v>0</v>
          </cell>
          <cell r="H85" t="str">
            <v>예비</v>
          </cell>
          <cell r="I85" t="str">
            <v>중장년</v>
          </cell>
          <cell r="J85">
            <v>0</v>
          </cell>
          <cell r="K85">
            <v>7</v>
          </cell>
          <cell r="L85">
            <v>7</v>
          </cell>
          <cell r="M85">
            <v>15</v>
          </cell>
          <cell r="N85">
            <v>15</v>
          </cell>
          <cell r="O85">
            <v>8</v>
          </cell>
          <cell r="P85">
            <v>8</v>
          </cell>
          <cell r="Q85">
            <v>12</v>
          </cell>
          <cell r="R85">
            <v>4</v>
          </cell>
          <cell r="S85">
            <v>76</v>
          </cell>
          <cell r="T85">
            <v>0</v>
          </cell>
          <cell r="U85">
            <v>76</v>
          </cell>
          <cell r="V85">
            <v>76</v>
          </cell>
          <cell r="W85" t="str">
            <v xml:space="preserve">-사업화 아이템의 특성을 고려하여 기존 시장의 유사제품에 대해 다양한 관점에서 경쟁력 확보방안에 대한 설명이 필요해 보입니다.
-창업지원 사업의 특성을 고려하여 보다 세부적인 사업성과 목표 시 및 달성방안에 대한 고민이 필요해 보입니다. </v>
          </cell>
        </row>
        <row r="86">
          <cell r="B86">
            <v>20432239</v>
          </cell>
          <cell r="C86" t="str">
            <v>지역기반</v>
          </cell>
          <cell r="D86" t="str">
            <v>화공ㆍ섬유</v>
          </cell>
          <cell r="E86" t="str">
            <v>플라스틱 업사이클링 기술이 적용된 셀프케어 기능의 홈 퍼머넌트 키트</v>
          </cell>
          <cell r="F86" t="str">
            <v>0</v>
          </cell>
          <cell r="G86" t="str">
            <v>0</v>
          </cell>
          <cell r="H86" t="str">
            <v>예비</v>
          </cell>
          <cell r="I86" t="str">
            <v>청년</v>
          </cell>
          <cell r="J86">
            <v>0</v>
          </cell>
          <cell r="K86">
            <v>6</v>
          </cell>
          <cell r="L86">
            <v>7</v>
          </cell>
          <cell r="M86">
            <v>15</v>
          </cell>
          <cell r="N86">
            <v>16</v>
          </cell>
          <cell r="O86">
            <v>8</v>
          </cell>
          <cell r="P86">
            <v>8</v>
          </cell>
          <cell r="Q86">
            <v>12</v>
          </cell>
          <cell r="R86">
            <v>4</v>
          </cell>
          <cell r="S86">
            <v>76</v>
          </cell>
          <cell r="T86">
            <v>0</v>
          </cell>
          <cell r="U86">
            <v>76</v>
          </cell>
          <cell r="V86">
            <v>76</v>
          </cell>
          <cell r="W86" t="str">
            <v xml:space="preserve">-사업화아이템의 성공가능성 향상 및 후발 경쟁자의 시장진입 억제를 위한 전략에 대한 고민이 필요해 보입니다.
-사업의 지속성 확를 위하여 보다 구체적인 수익 창줄 방안에 대한 고민이 필요해 보입니다. 
-제품의 시장 독점성 확보를 위해 제품의 고도화 방안 검토 및 산업재산권 확보에 대한 고민도 필요해 보입니다 .   </v>
          </cell>
        </row>
        <row r="87">
          <cell r="B87">
            <v>20417598</v>
          </cell>
          <cell r="C87" t="str">
            <v>지역기반</v>
          </cell>
          <cell r="D87" t="str">
            <v>화공ㆍ섬유</v>
          </cell>
          <cell r="E87" t="str">
            <v>편리한 위생관리를 위한 건조형 음식물처리기 전용세제</v>
          </cell>
          <cell r="F87" t="str">
            <v>0</v>
          </cell>
          <cell r="G87" t="str">
            <v>0</v>
          </cell>
          <cell r="H87" t="str">
            <v>초기</v>
          </cell>
          <cell r="I87" t="str">
            <v>청년</v>
          </cell>
          <cell r="J87">
            <v>0</v>
          </cell>
          <cell r="K87">
            <v>8</v>
          </cell>
          <cell r="L87">
            <v>8</v>
          </cell>
          <cell r="M87">
            <v>14</v>
          </cell>
          <cell r="N87">
            <v>15</v>
          </cell>
          <cell r="O87">
            <v>7</v>
          </cell>
          <cell r="P87">
            <v>8</v>
          </cell>
          <cell r="Q87">
            <v>12</v>
          </cell>
          <cell r="R87">
            <v>4</v>
          </cell>
          <cell r="S87">
            <v>76</v>
          </cell>
          <cell r="T87">
            <v>0</v>
          </cell>
          <cell r="U87">
            <v>76</v>
          </cell>
          <cell r="V87">
            <v>76</v>
          </cell>
          <cell r="W87" t="str">
            <v xml:space="preserve">-사업화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v>
          </cell>
        </row>
        <row r="88">
          <cell r="B88">
            <v>20420533</v>
          </cell>
          <cell r="C88" t="str">
            <v>지역기반</v>
          </cell>
          <cell r="D88" t="str">
            <v>화공ㆍ섬유</v>
          </cell>
          <cell r="E88" t="str">
            <v>소가죽 용접복의 문제점 해결 가능한 &amp;quot;재생가죽 용접복&amp;quot;</v>
          </cell>
          <cell r="F88" t="str">
            <v>35,000,000</v>
          </cell>
          <cell r="G88" t="str">
            <v>0</v>
          </cell>
          <cell r="H88" t="str">
            <v>초기</v>
          </cell>
          <cell r="I88" t="str">
            <v>중장년</v>
          </cell>
          <cell r="J88">
            <v>0</v>
          </cell>
          <cell r="K88">
            <v>7</v>
          </cell>
          <cell r="L88">
            <v>8</v>
          </cell>
          <cell r="M88">
            <v>15</v>
          </cell>
          <cell r="N88">
            <v>15</v>
          </cell>
          <cell r="O88">
            <v>8</v>
          </cell>
          <cell r="P88">
            <v>7</v>
          </cell>
          <cell r="Q88">
            <v>12</v>
          </cell>
          <cell r="R88">
            <v>4</v>
          </cell>
          <cell r="S88">
            <v>76</v>
          </cell>
          <cell r="T88">
            <v>0</v>
          </cell>
          <cell r="U88">
            <v>76</v>
          </cell>
          <cell r="V88">
            <v>76</v>
          </cell>
          <cell r="W88" t="str">
            <v xml:space="preserve">-사업화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89">
          <cell r="B89">
            <v>20423688</v>
          </cell>
          <cell r="C89" t="str">
            <v>지역기반</v>
          </cell>
          <cell r="D89" t="str">
            <v>화공ㆍ섬유</v>
          </cell>
          <cell r="E89" t="str">
            <v>즉각적 피부 심미성 개선 효과를 부여하는 스킨케어 브랜드</v>
          </cell>
          <cell r="F89" t="str">
            <v>0</v>
          </cell>
          <cell r="G89" t="str">
            <v>1</v>
          </cell>
          <cell r="H89" t="str">
            <v>초기</v>
          </cell>
          <cell r="I89" t="str">
            <v>중장년</v>
          </cell>
          <cell r="J89">
            <v>0</v>
          </cell>
          <cell r="K89">
            <v>7</v>
          </cell>
          <cell r="L89">
            <v>8</v>
          </cell>
          <cell r="M89">
            <v>15</v>
          </cell>
          <cell r="N89">
            <v>16</v>
          </cell>
          <cell r="O89">
            <v>7</v>
          </cell>
          <cell r="P89">
            <v>8</v>
          </cell>
          <cell r="Q89">
            <v>12</v>
          </cell>
          <cell r="R89">
            <v>3</v>
          </cell>
          <cell r="S89">
            <v>76</v>
          </cell>
          <cell r="T89">
            <v>0</v>
          </cell>
          <cell r="U89">
            <v>76</v>
          </cell>
          <cell r="V89">
            <v>76</v>
          </cell>
          <cell r="W89" t="str">
            <v xml:space="preserve">-사업화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90">
          <cell r="B90">
            <v>20412068</v>
          </cell>
          <cell r="C90" t="str">
            <v>지역기반</v>
          </cell>
          <cell r="D90" t="str">
            <v>화공ㆍ섬유</v>
          </cell>
          <cell r="E90" t="str">
            <v>계면활성제 10% 이하 초저계면 세정 기술이 적용된  탄산 마이크로버블 브랜드 ‘beurth’ 양산화 및 글로벌(아마존) 스케일업</v>
          </cell>
          <cell r="F90" t="str">
            <v>209,000,000</v>
          </cell>
          <cell r="G90" t="str">
            <v>3</v>
          </cell>
          <cell r="H90" t="str">
            <v>도약</v>
          </cell>
          <cell r="I90" t="str">
            <v>청년</v>
          </cell>
          <cell r="J90">
            <v>0</v>
          </cell>
          <cell r="K90">
            <v>8</v>
          </cell>
          <cell r="L90">
            <v>7</v>
          </cell>
          <cell r="M90">
            <v>15</v>
          </cell>
          <cell r="N90">
            <v>14</v>
          </cell>
          <cell r="O90">
            <v>8</v>
          </cell>
          <cell r="P90">
            <v>8</v>
          </cell>
          <cell r="Q90">
            <v>12</v>
          </cell>
          <cell r="R90">
            <v>4</v>
          </cell>
          <cell r="S90">
            <v>76</v>
          </cell>
          <cell r="T90">
            <v>0</v>
          </cell>
          <cell r="U90">
            <v>76</v>
          </cell>
          <cell r="V90">
            <v>76</v>
          </cell>
          <cell r="W90" t="str">
            <v>-소비자의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91">
          <cell r="B91">
            <v>20426973</v>
          </cell>
          <cell r="C91" t="str">
            <v>지역기반</v>
          </cell>
          <cell r="D91" t="str">
            <v>화공ㆍ섬유</v>
          </cell>
          <cell r="E91" t="str">
            <v>혁신신소재 에어로젤을 활용한 응용소비재</v>
          </cell>
          <cell r="F91" t="str">
            <v>0</v>
          </cell>
          <cell r="G91" t="str">
            <v>0</v>
          </cell>
          <cell r="H91" t="str">
            <v>예비</v>
          </cell>
          <cell r="I91" t="str">
            <v>청년</v>
          </cell>
          <cell r="J91">
            <v>0</v>
          </cell>
          <cell r="K91">
            <v>6</v>
          </cell>
          <cell r="L91">
            <v>7</v>
          </cell>
          <cell r="M91">
            <v>14</v>
          </cell>
          <cell r="N91">
            <v>15</v>
          </cell>
          <cell r="O91">
            <v>7</v>
          </cell>
          <cell r="P91">
            <v>8</v>
          </cell>
          <cell r="Q91">
            <v>12</v>
          </cell>
          <cell r="R91">
            <v>4</v>
          </cell>
          <cell r="S91">
            <v>73</v>
          </cell>
          <cell r="T91">
            <v>2</v>
          </cell>
          <cell r="U91">
            <v>75</v>
          </cell>
          <cell r="V91">
            <v>84</v>
          </cell>
          <cell r="W91" t="str">
            <v>-사업화 아이템의 성공가능성 향상을 위해 보다 세부적인 수익 창출 방안 및 경쟁력 강화방안에 대한 고민이 필요해 보입니다. 
-창업지원사업의 성격을 고려한 성과목표 제시 및 달성 방안에 대한 설명이 필요해 보입니다.</v>
          </cell>
        </row>
        <row r="92">
          <cell r="B92">
            <v>20411886</v>
          </cell>
          <cell r="C92" t="str">
            <v>지역기반</v>
          </cell>
          <cell r="D92" t="str">
            <v>화공ㆍ섬유</v>
          </cell>
          <cell r="E92" t="str">
            <v>마이크로에센셜 포물러 기술이 적용된 패밀리 더마 웰니스 바디케어 키트 개발</v>
          </cell>
          <cell r="F92" t="str">
            <v>40,000,000</v>
          </cell>
          <cell r="G92" t="str">
            <v>0</v>
          </cell>
          <cell r="H92" t="str">
            <v>초기</v>
          </cell>
          <cell r="I92" t="str">
            <v>중장년</v>
          </cell>
          <cell r="J92">
            <v>0</v>
          </cell>
          <cell r="K92">
            <v>7</v>
          </cell>
          <cell r="L92">
            <v>8</v>
          </cell>
          <cell r="M92">
            <v>15</v>
          </cell>
          <cell r="N92">
            <v>14</v>
          </cell>
          <cell r="O92">
            <v>8</v>
          </cell>
          <cell r="P92">
            <v>7</v>
          </cell>
          <cell r="Q92">
            <v>12</v>
          </cell>
          <cell r="R92">
            <v>4</v>
          </cell>
          <cell r="S92">
            <v>75</v>
          </cell>
          <cell r="T92">
            <v>0</v>
          </cell>
          <cell r="U92">
            <v>75</v>
          </cell>
          <cell r="V92">
            <v>84</v>
          </cell>
          <cell r="W92" t="str">
            <v xml:space="preserve">-기존제품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v>
          </cell>
        </row>
        <row r="93">
          <cell r="B93">
            <v>20424847</v>
          </cell>
          <cell r="C93" t="str">
            <v>지역기반</v>
          </cell>
          <cell r="D93" t="str">
            <v>화공ㆍ섬유</v>
          </cell>
          <cell r="E93" t="str">
            <v>Ag⁺/Zn²⁺ 항균 기술이 적용된IAD 억제 기능의4층 무봉제 요실금팬티</v>
          </cell>
          <cell r="F93" t="str">
            <v>2,500,000</v>
          </cell>
          <cell r="G93" t="str">
            <v>1</v>
          </cell>
          <cell r="H93" t="str">
            <v>초기</v>
          </cell>
          <cell r="I93" t="str">
            <v>중장년</v>
          </cell>
          <cell r="J93">
            <v>0</v>
          </cell>
          <cell r="K93">
            <v>7</v>
          </cell>
          <cell r="L93">
            <v>7</v>
          </cell>
          <cell r="M93">
            <v>14</v>
          </cell>
          <cell r="N93">
            <v>15</v>
          </cell>
          <cell r="O93">
            <v>8</v>
          </cell>
          <cell r="P93">
            <v>8</v>
          </cell>
          <cell r="Q93">
            <v>12</v>
          </cell>
          <cell r="R93">
            <v>4</v>
          </cell>
          <cell r="S93">
            <v>75</v>
          </cell>
          <cell r="T93">
            <v>0</v>
          </cell>
          <cell r="U93">
            <v>75</v>
          </cell>
          <cell r="V93">
            <v>84</v>
          </cell>
          <cell r="W93" t="str">
            <v xml:space="preserve">-사업화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v>
          </cell>
        </row>
        <row r="94">
          <cell r="B94">
            <v>20429506</v>
          </cell>
          <cell r="C94" t="str">
            <v>지역기반</v>
          </cell>
          <cell r="D94" t="str">
            <v>화공ㆍ섬유</v>
          </cell>
          <cell r="E94" t="str">
            <v>멜라노사이트 표적 리포좀 기술이 적용된 임산부 색소침착 개선 기능을 제공하는 피트산 리포좀 립 마스크</v>
          </cell>
          <cell r="F94" t="str">
            <v>20,995,197</v>
          </cell>
          <cell r="G94" t="str">
            <v>0</v>
          </cell>
          <cell r="H94" t="str">
            <v>초기</v>
          </cell>
          <cell r="I94" t="str">
            <v>청년</v>
          </cell>
          <cell r="J94">
            <v>0</v>
          </cell>
          <cell r="K94">
            <v>8</v>
          </cell>
          <cell r="L94">
            <v>7</v>
          </cell>
          <cell r="M94">
            <v>15</v>
          </cell>
          <cell r="N94">
            <v>15</v>
          </cell>
          <cell r="O94">
            <v>7</v>
          </cell>
          <cell r="P94">
            <v>7</v>
          </cell>
          <cell r="Q94">
            <v>12</v>
          </cell>
          <cell r="R94">
            <v>4</v>
          </cell>
          <cell r="S94">
            <v>75</v>
          </cell>
          <cell r="T94">
            <v>0</v>
          </cell>
          <cell r="U94">
            <v>75</v>
          </cell>
          <cell r="V94">
            <v>84</v>
          </cell>
          <cell r="W94" t="str">
            <v>-기존시장의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95">
          <cell r="B95">
            <v>20430628</v>
          </cell>
          <cell r="C95" t="str">
            <v>지역기반</v>
          </cell>
          <cell r="D95" t="str">
            <v>화공ㆍ섬유</v>
          </cell>
          <cell r="E95" t="str">
            <v>째피 저속노화 바디 루틴</v>
          </cell>
          <cell r="F95" t="str">
            <v>0</v>
          </cell>
          <cell r="G95" t="str">
            <v>0</v>
          </cell>
          <cell r="H95" t="str">
            <v>초기</v>
          </cell>
          <cell r="I95" t="str">
            <v>중장년</v>
          </cell>
          <cell r="J95">
            <v>0</v>
          </cell>
          <cell r="K95">
            <v>8</v>
          </cell>
          <cell r="L95">
            <v>7</v>
          </cell>
          <cell r="M95">
            <v>15</v>
          </cell>
          <cell r="N95">
            <v>14</v>
          </cell>
          <cell r="O95">
            <v>8</v>
          </cell>
          <cell r="P95">
            <v>8</v>
          </cell>
          <cell r="Q95">
            <v>11</v>
          </cell>
          <cell r="R95">
            <v>4</v>
          </cell>
          <cell r="S95">
            <v>75</v>
          </cell>
          <cell r="T95">
            <v>0</v>
          </cell>
          <cell r="U95">
            <v>75</v>
          </cell>
          <cell r="V95">
            <v>84</v>
          </cell>
          <cell r="W95"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v>
          </cell>
        </row>
        <row r="96">
          <cell r="B96">
            <v>20424266</v>
          </cell>
          <cell r="C96" t="str">
            <v>지역기반</v>
          </cell>
          <cell r="D96" t="str">
            <v>화공ㆍ섬유</v>
          </cell>
          <cell r="E96" t="str">
            <v>AI 자가 피부진단 기반 맞춤형 화장품 제품화 및 글로벌 K-뷰티 진출</v>
          </cell>
          <cell r="F96" t="str">
            <v>0</v>
          </cell>
          <cell r="G96" t="str">
            <v>0</v>
          </cell>
          <cell r="H96" t="str">
            <v>예비</v>
          </cell>
          <cell r="I96" t="str">
            <v>중장년</v>
          </cell>
          <cell r="J96">
            <v>0</v>
          </cell>
          <cell r="K96">
            <v>7</v>
          </cell>
          <cell r="L96">
            <v>8</v>
          </cell>
          <cell r="M96">
            <v>15</v>
          </cell>
          <cell r="N96">
            <v>14</v>
          </cell>
          <cell r="O96">
            <v>7</v>
          </cell>
          <cell r="P96">
            <v>7</v>
          </cell>
          <cell r="Q96">
            <v>12</v>
          </cell>
          <cell r="R96">
            <v>4</v>
          </cell>
          <cell r="S96">
            <v>74</v>
          </cell>
          <cell r="T96">
            <v>0</v>
          </cell>
          <cell r="U96">
            <v>74</v>
          </cell>
          <cell r="V96">
            <v>89</v>
          </cell>
          <cell r="W96" t="str">
            <v>-사업화 아이템의 성공가능성 향상을 위해 보다 세부적인 수익 창출 방안 및 경쟁력 강화방안에 대한 고민이 필요해 보입니다. 
-창업지원사업의 성격을 고려한 성과목표 제시 및 달성 방안에 대한 설명이 필요해 보입니다.</v>
          </cell>
        </row>
        <row r="97">
          <cell r="B97">
            <v>20403598</v>
          </cell>
          <cell r="C97" t="str">
            <v>지역기반</v>
          </cell>
          <cell r="D97" t="str">
            <v>화공ㆍ섬유</v>
          </cell>
          <cell r="E97" t="str">
            <v>리텐션 고도화형 B2B 글로벌 수출 K-뷰티 속눈썹·글루 제품</v>
          </cell>
          <cell r="F97" t="str">
            <v>0</v>
          </cell>
          <cell r="G97" t="str">
            <v>0</v>
          </cell>
          <cell r="H97" t="str">
            <v>초기</v>
          </cell>
          <cell r="I97" t="str">
            <v>중장년</v>
          </cell>
          <cell r="J97">
            <v>0</v>
          </cell>
          <cell r="K97">
            <v>6</v>
          </cell>
          <cell r="L97">
            <v>7</v>
          </cell>
          <cell r="M97">
            <v>15</v>
          </cell>
          <cell r="N97">
            <v>14</v>
          </cell>
          <cell r="O97">
            <v>7</v>
          </cell>
          <cell r="P97">
            <v>8</v>
          </cell>
          <cell r="Q97">
            <v>13</v>
          </cell>
          <cell r="R97">
            <v>4</v>
          </cell>
          <cell r="S97">
            <v>74</v>
          </cell>
          <cell r="T97">
            <v>0</v>
          </cell>
          <cell r="U97">
            <v>74</v>
          </cell>
          <cell r="V97">
            <v>89</v>
          </cell>
          <cell r="W97" t="str">
            <v xml:space="preserve">-기존의 유사제품에 대한 차별화 요소 분석에 대한 관점이 조금더 다양했으면 하는 생각입니다.
-사업의 연속성 확보 및 후발업체에 대한 경쟁력 확보를 위해 보다 다양한 산업재산권 확보 위한 고민이 필요해 보입니다.  </v>
          </cell>
        </row>
        <row r="98">
          <cell r="B98">
            <v>20404733</v>
          </cell>
          <cell r="C98" t="str">
            <v>지역기반</v>
          </cell>
          <cell r="D98" t="str">
            <v>화공ㆍ섬유</v>
          </cell>
          <cell r="E98" t="str">
            <v xml:space="preserve">기능성 재활용 필름 기술이 적용된 방취, 고강도 기능의 친환경 반려동물 위생 소재 </v>
          </cell>
          <cell r="F98" t="str">
            <v>35,000,000</v>
          </cell>
          <cell r="G98" t="str">
            <v>3</v>
          </cell>
          <cell r="H98" t="str">
            <v>초기</v>
          </cell>
          <cell r="I98" t="str">
            <v>중장년</v>
          </cell>
          <cell r="J98">
            <v>0</v>
          </cell>
          <cell r="K98">
            <v>7</v>
          </cell>
          <cell r="L98">
            <v>7</v>
          </cell>
          <cell r="M98">
            <v>15</v>
          </cell>
          <cell r="N98">
            <v>15</v>
          </cell>
          <cell r="O98">
            <v>7</v>
          </cell>
          <cell r="P98">
            <v>7</v>
          </cell>
          <cell r="Q98">
            <v>12</v>
          </cell>
          <cell r="R98">
            <v>4</v>
          </cell>
          <cell r="S98">
            <v>74</v>
          </cell>
          <cell r="T98">
            <v>0</v>
          </cell>
          <cell r="U98">
            <v>74</v>
          </cell>
          <cell r="V98">
            <v>89</v>
          </cell>
          <cell r="W98" t="str">
            <v>-사업화 아이템의 성공가능성 향상을 위해 기존 시장 제품에 대한 경쟁력 강화를 위한 방안 검토가 필요해 보입니다.
-창업지원사업의 성격을 고려한 정량적성과목표의 달성방안에 대한 구체적인 설명이 필요해 보입니다.</v>
          </cell>
        </row>
        <row r="99">
          <cell r="B99">
            <v>20426252</v>
          </cell>
          <cell r="C99" t="str">
            <v>지역기반</v>
          </cell>
          <cell r="D99" t="str">
            <v>화공ㆍ섬유</v>
          </cell>
          <cell r="E99" t="str">
            <v>지속적인 음용이 가능하도록 기획된 라이프스타일형 소용량 블렌드 과·채즙</v>
          </cell>
          <cell r="F99" t="str">
            <v>48,000,000</v>
          </cell>
          <cell r="G99" t="str">
            <v>0</v>
          </cell>
          <cell r="H99" t="str">
            <v>초기</v>
          </cell>
          <cell r="I99" t="str">
            <v>중장년</v>
          </cell>
          <cell r="J99">
            <v>0</v>
          </cell>
          <cell r="K99">
            <v>8</v>
          </cell>
          <cell r="L99">
            <v>7</v>
          </cell>
          <cell r="M99">
            <v>14</v>
          </cell>
          <cell r="N99">
            <v>14</v>
          </cell>
          <cell r="O99">
            <v>8</v>
          </cell>
          <cell r="P99">
            <v>7</v>
          </cell>
          <cell r="Q99">
            <v>12</v>
          </cell>
          <cell r="R99">
            <v>4</v>
          </cell>
          <cell r="S99">
            <v>74</v>
          </cell>
          <cell r="T99">
            <v>0</v>
          </cell>
          <cell r="U99">
            <v>74</v>
          </cell>
          <cell r="V99">
            <v>89</v>
          </cell>
          <cell r="W99" t="str">
            <v>-사업화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v>
          </cell>
        </row>
        <row r="100">
          <cell r="B100">
            <v>20427594</v>
          </cell>
          <cell r="C100" t="str">
            <v>지역기반</v>
          </cell>
          <cell r="D100" t="str">
            <v>화공ㆍ섬유</v>
          </cell>
          <cell r="E100" t="str">
            <v>“나노 하이브리드 코팅 기술이 적용된 선크림 차단막 보존 기능의  SWEIN 테크니컬 스킨 타월”</v>
          </cell>
          <cell r="F100" t="str">
            <v>27,898,000</v>
          </cell>
          <cell r="G100" t="str">
            <v>1</v>
          </cell>
          <cell r="H100" t="str">
            <v>초기</v>
          </cell>
          <cell r="I100" t="str">
            <v>청년</v>
          </cell>
          <cell r="J100">
            <v>0</v>
          </cell>
          <cell r="K100">
            <v>7</v>
          </cell>
          <cell r="L100">
            <v>7</v>
          </cell>
          <cell r="M100">
            <v>15</v>
          </cell>
          <cell r="N100">
            <v>15</v>
          </cell>
          <cell r="O100">
            <v>7</v>
          </cell>
          <cell r="P100">
            <v>7</v>
          </cell>
          <cell r="Q100">
            <v>12</v>
          </cell>
          <cell r="R100">
            <v>4</v>
          </cell>
          <cell r="S100">
            <v>74</v>
          </cell>
          <cell r="T100">
            <v>0</v>
          </cell>
          <cell r="U100">
            <v>74</v>
          </cell>
          <cell r="V100">
            <v>89</v>
          </cell>
          <cell r="W100" t="str">
            <v xml:space="preserve">-사업화 아이템의 특성을 고려하여 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v>
          </cell>
        </row>
        <row r="101">
          <cell r="B101">
            <v>20427695</v>
          </cell>
          <cell r="C101" t="str">
            <v>지역기반</v>
          </cell>
          <cell r="D101" t="str">
            <v>화공ㆍ섬유</v>
          </cell>
          <cell r="E101" t="str">
            <v>국내외 중소 브랜드를 위한 MOQ 100 기반 K-Denim End-to-End OEM 플랫폼</v>
          </cell>
          <cell r="F101" t="str">
            <v>3,192,172,185</v>
          </cell>
          <cell r="G101" t="str">
            <v>11</v>
          </cell>
          <cell r="H101" t="str">
            <v>초기</v>
          </cell>
          <cell r="I101" t="str">
            <v>중장년</v>
          </cell>
          <cell r="J101">
            <v>0</v>
          </cell>
          <cell r="K101">
            <v>8</v>
          </cell>
          <cell r="L101">
            <v>7</v>
          </cell>
          <cell r="M101">
            <v>15</v>
          </cell>
          <cell r="N101">
            <v>14</v>
          </cell>
          <cell r="O101">
            <v>7</v>
          </cell>
          <cell r="P101">
            <v>7</v>
          </cell>
          <cell r="Q101">
            <v>12</v>
          </cell>
          <cell r="R101">
            <v>4</v>
          </cell>
          <cell r="S101">
            <v>74</v>
          </cell>
          <cell r="T101">
            <v>0</v>
          </cell>
          <cell r="U101">
            <v>74</v>
          </cell>
          <cell r="V101">
            <v>89</v>
          </cell>
          <cell r="W101" t="str">
            <v xml:space="preserve">-기존시장의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v>
          </cell>
        </row>
        <row r="102">
          <cell r="B102">
            <v>20427962</v>
          </cell>
          <cell r="C102" t="str">
            <v>지역기반</v>
          </cell>
          <cell r="D102" t="str">
            <v>화공ㆍ섬유</v>
          </cell>
          <cell r="E102" t="str">
            <v>천연 염색 기술이 적용된 영유아 프리미엄 친환경 아동복</v>
          </cell>
          <cell r="F102" t="str">
            <v>151,982,715</v>
          </cell>
          <cell r="G102" t="str">
            <v>0</v>
          </cell>
          <cell r="H102" t="str">
            <v>초기</v>
          </cell>
          <cell r="I102" t="str">
            <v>청년</v>
          </cell>
          <cell r="J102">
            <v>0</v>
          </cell>
          <cell r="K102">
            <v>8</v>
          </cell>
          <cell r="L102">
            <v>8</v>
          </cell>
          <cell r="M102">
            <v>15</v>
          </cell>
          <cell r="N102">
            <v>14</v>
          </cell>
          <cell r="O102">
            <v>7</v>
          </cell>
          <cell r="P102">
            <v>7</v>
          </cell>
          <cell r="Q102">
            <v>12</v>
          </cell>
          <cell r="R102">
            <v>3</v>
          </cell>
          <cell r="S102">
            <v>74</v>
          </cell>
          <cell r="T102">
            <v>0</v>
          </cell>
          <cell r="U102">
            <v>74</v>
          </cell>
          <cell r="V102">
            <v>89</v>
          </cell>
          <cell r="W102" t="str">
            <v xml:space="preserve">-기존시장의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v>
          </cell>
        </row>
        <row r="103">
          <cell r="B103">
            <v>20417179</v>
          </cell>
          <cell r="C103" t="str">
            <v>지역기반</v>
          </cell>
          <cell r="D103" t="str">
            <v>화공ㆍ섬유</v>
          </cell>
          <cell r="E103" t="str">
            <v>VOCs 저감 및 재활용 분리가 가능한 무접착 열라미네이팅 기반 친환경 합지소재 기술개발</v>
          </cell>
          <cell r="F103" t="str">
            <v>30,000,000</v>
          </cell>
          <cell r="G103" t="str">
            <v>1</v>
          </cell>
          <cell r="H103" t="str">
            <v>도약</v>
          </cell>
          <cell r="I103" t="str">
            <v>중장년</v>
          </cell>
          <cell r="J103">
            <v>0</v>
          </cell>
          <cell r="K103">
            <v>7</v>
          </cell>
          <cell r="L103">
            <v>7</v>
          </cell>
          <cell r="M103">
            <v>15</v>
          </cell>
          <cell r="N103">
            <v>14</v>
          </cell>
          <cell r="O103">
            <v>8</v>
          </cell>
          <cell r="P103">
            <v>7</v>
          </cell>
          <cell r="Q103">
            <v>12</v>
          </cell>
          <cell r="R103">
            <v>4</v>
          </cell>
          <cell r="S103">
            <v>74</v>
          </cell>
          <cell r="T103">
            <v>0</v>
          </cell>
          <cell r="U103">
            <v>74</v>
          </cell>
          <cell r="V103">
            <v>89</v>
          </cell>
          <cell r="W103"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104">
          <cell r="B104">
            <v>20424264</v>
          </cell>
          <cell r="C104" t="str">
            <v>지역기반</v>
          </cell>
          <cell r="D104" t="str">
            <v>화공ㆍ섬유</v>
          </cell>
          <cell r="E104" t="str">
            <v>Changpo-Cica Relief 기반, 꽉 묶는 헤어스타일로 인한 두피 통증 완화 및 견인성 탈모 예방 쿨링 스칼프 앰플</v>
          </cell>
          <cell r="F104" t="str">
            <v>0</v>
          </cell>
          <cell r="G104" t="str">
            <v>0</v>
          </cell>
          <cell r="H104" t="str">
            <v>예비</v>
          </cell>
          <cell r="I104" t="str">
            <v>청년</v>
          </cell>
          <cell r="J104">
            <v>0</v>
          </cell>
          <cell r="K104">
            <v>6</v>
          </cell>
          <cell r="L104">
            <v>7</v>
          </cell>
          <cell r="M104">
            <v>14</v>
          </cell>
          <cell r="N104">
            <v>14</v>
          </cell>
          <cell r="O104">
            <v>7</v>
          </cell>
          <cell r="P104">
            <v>7</v>
          </cell>
          <cell r="Q104">
            <v>12</v>
          </cell>
          <cell r="R104">
            <v>4</v>
          </cell>
          <cell r="S104">
            <v>71</v>
          </cell>
          <cell r="T104">
            <v>2</v>
          </cell>
          <cell r="U104">
            <v>73</v>
          </cell>
          <cell r="V104">
            <v>97</v>
          </cell>
          <cell r="W104" t="str">
            <v xml:space="preserve">-사업의 지속성 확보및 경쟁력 강화를 위해 다양한 측면에서 산업재산권 확보방안에 대한 검토가 필요해 보입니다. 
-창업지원사업의 성격을 고려한 성과목표 설정 및 달성방안에 대해 보다 상세한 설명이 필요해 보입니다. </v>
          </cell>
        </row>
        <row r="105">
          <cell r="B105">
            <v>20427911</v>
          </cell>
          <cell r="C105" t="str">
            <v>지역기반</v>
          </cell>
          <cell r="D105" t="str">
            <v>화공ㆍ섬유</v>
          </cell>
          <cell r="E105" t="str">
            <v>탄닌계 바이오 매염제 기반 저온 편물 가먼트 염색 기술이 적용된 냉·온감 기능 유지 및 색상 확장 기능의 홀가먼트 침구</v>
          </cell>
          <cell r="F105" t="str">
            <v>0</v>
          </cell>
          <cell r="G105" t="str">
            <v>0</v>
          </cell>
          <cell r="H105" t="str">
            <v>예비</v>
          </cell>
          <cell r="I105" t="str">
            <v>청년</v>
          </cell>
          <cell r="J105">
            <v>0</v>
          </cell>
          <cell r="K105">
            <v>7</v>
          </cell>
          <cell r="L105">
            <v>7</v>
          </cell>
          <cell r="M105">
            <v>14</v>
          </cell>
          <cell r="N105">
            <v>14</v>
          </cell>
          <cell r="O105">
            <v>7</v>
          </cell>
          <cell r="P105">
            <v>8</v>
          </cell>
          <cell r="Q105">
            <v>12</v>
          </cell>
          <cell r="R105">
            <v>4</v>
          </cell>
          <cell r="S105">
            <v>73</v>
          </cell>
          <cell r="T105">
            <v>0</v>
          </cell>
          <cell r="U105">
            <v>73</v>
          </cell>
          <cell r="V105">
            <v>97</v>
          </cell>
          <cell r="W105" t="str">
            <v>-사업화아이템의 성공가능성 향상을 위하여 기존시장의 유사제품에 대한 차별화 요인 도출 및 경쟁력 강화요인 도출에 대한 고민이 필요해 보입니다.
-창업지원사업의 성격을 고려한 성과목표 제시 및 달성방안에 대한 고민이 필요해 보입니다.</v>
          </cell>
        </row>
        <row r="106">
          <cell r="B106">
            <v>20417978</v>
          </cell>
          <cell r="C106" t="str">
            <v>지역기반</v>
          </cell>
          <cell r="D106" t="str">
            <v>화공ㆍ섬유</v>
          </cell>
          <cell r="E106" t="str">
            <v>캡 자동닫힘 물티슈 수분건조 방지, 위생, 편의, 실용성, 혜택 서비스를 제공</v>
          </cell>
          <cell r="F106" t="str">
            <v>22,000,000</v>
          </cell>
          <cell r="G106" t="str">
            <v>3</v>
          </cell>
          <cell r="H106" t="str">
            <v>초기</v>
          </cell>
          <cell r="I106" t="str">
            <v>중장년</v>
          </cell>
          <cell r="J106">
            <v>0</v>
          </cell>
          <cell r="K106">
            <v>7</v>
          </cell>
          <cell r="L106">
            <v>8</v>
          </cell>
          <cell r="M106">
            <v>14</v>
          </cell>
          <cell r="N106">
            <v>14</v>
          </cell>
          <cell r="O106">
            <v>7</v>
          </cell>
          <cell r="P106">
            <v>7</v>
          </cell>
          <cell r="Q106">
            <v>12</v>
          </cell>
          <cell r="R106">
            <v>4</v>
          </cell>
          <cell r="S106">
            <v>73</v>
          </cell>
          <cell r="T106">
            <v>0</v>
          </cell>
          <cell r="U106">
            <v>73</v>
          </cell>
          <cell r="V106">
            <v>97</v>
          </cell>
          <cell r="W106" t="str">
            <v xml:space="preserve">-사업화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v>
          </cell>
        </row>
        <row r="107">
          <cell r="B107">
            <v>20428180</v>
          </cell>
          <cell r="C107" t="str">
            <v>지역기반</v>
          </cell>
          <cell r="D107" t="str">
            <v>화공ㆍ섬유</v>
          </cell>
          <cell r="E107" t="str">
            <v>소각되는 우유팩을 고부가가치 ‘비건 레더’로 재탄생시켜, 공공기관의녹색제품 구매 딜레마를 해결하는 ‘실속형 ESG 오피스 키트’ 제품</v>
          </cell>
          <cell r="F107" t="str">
            <v>50,000,000</v>
          </cell>
          <cell r="G107" t="str">
            <v>1</v>
          </cell>
          <cell r="H107" t="str">
            <v>초기</v>
          </cell>
          <cell r="I107" t="str">
            <v>청년</v>
          </cell>
          <cell r="J107">
            <v>0</v>
          </cell>
          <cell r="K107">
            <v>8</v>
          </cell>
          <cell r="L107">
            <v>7</v>
          </cell>
          <cell r="M107">
            <v>14</v>
          </cell>
          <cell r="N107">
            <v>14</v>
          </cell>
          <cell r="O107">
            <v>7</v>
          </cell>
          <cell r="P107">
            <v>7</v>
          </cell>
          <cell r="Q107">
            <v>12</v>
          </cell>
          <cell r="R107">
            <v>4</v>
          </cell>
          <cell r="S107">
            <v>73</v>
          </cell>
          <cell r="T107">
            <v>0</v>
          </cell>
          <cell r="U107">
            <v>73</v>
          </cell>
          <cell r="V107">
            <v>97</v>
          </cell>
          <cell r="W107" t="str">
            <v xml:space="preserve">-기존시장의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v>
          </cell>
        </row>
        <row r="108">
          <cell r="B108">
            <v>20432575</v>
          </cell>
          <cell r="C108" t="str">
            <v>지역기반</v>
          </cell>
          <cell r="D108" t="str">
            <v>화공ㆍ섬유</v>
          </cell>
          <cell r="E108" t="str">
            <v>비건·할랄 기준을 적용한 피부장벽·탄력 개선 기능의 글로벌 스킨케어 제품</v>
          </cell>
          <cell r="F108" t="str">
            <v>150,000,000</v>
          </cell>
          <cell r="G108" t="str">
            <v>3</v>
          </cell>
          <cell r="H108" t="str">
            <v>초기</v>
          </cell>
          <cell r="I108" t="str">
            <v>청년</v>
          </cell>
          <cell r="J108">
            <v>0</v>
          </cell>
          <cell r="K108">
            <v>7</v>
          </cell>
          <cell r="L108">
            <v>7</v>
          </cell>
          <cell r="M108">
            <v>15</v>
          </cell>
          <cell r="N108">
            <v>14</v>
          </cell>
          <cell r="O108">
            <v>8</v>
          </cell>
          <cell r="P108">
            <v>7</v>
          </cell>
          <cell r="Q108">
            <v>11</v>
          </cell>
          <cell r="R108">
            <v>4</v>
          </cell>
          <cell r="S108">
            <v>73</v>
          </cell>
          <cell r="T108">
            <v>0</v>
          </cell>
          <cell r="U108">
            <v>73</v>
          </cell>
          <cell r="V108">
            <v>97</v>
          </cell>
          <cell r="W108" t="str">
            <v>-기존시장의 유사제품과 비교하여 소비자의 니즈 및 우리 제품의 차별화 요소를 바탕으로 보다 다각적인 경쟁분석을 통한 사업화 아이템의 성공가능성 향상에 대한 고민이 필요해 보입니다.
-창업지원사업의 특성을 고려한 정량적 성과지표 및 달성방안에 대한 설명이 필요해 보입니다.</v>
          </cell>
        </row>
        <row r="109">
          <cell r="B109">
            <v>20423311</v>
          </cell>
          <cell r="C109" t="str">
            <v>대학발</v>
          </cell>
          <cell r="D109" t="str">
            <v>화공ㆍ섬유</v>
          </cell>
          <cell r="E109" t="str">
            <v>리사이클 팩토리 AI</v>
          </cell>
          <cell r="F109" t="str">
            <v>155,756,130</v>
          </cell>
          <cell r="G109" t="str">
            <v>1</v>
          </cell>
          <cell r="H109" t="str">
            <v>초기</v>
          </cell>
          <cell r="I109" t="str">
            <v>중장년</v>
          </cell>
          <cell r="J109">
            <v>0</v>
          </cell>
          <cell r="K109">
            <v>7</v>
          </cell>
          <cell r="L109">
            <v>7</v>
          </cell>
          <cell r="M109">
            <v>14</v>
          </cell>
          <cell r="N109">
            <v>14</v>
          </cell>
          <cell r="O109">
            <v>7</v>
          </cell>
          <cell r="P109">
            <v>7</v>
          </cell>
          <cell r="Q109">
            <v>13</v>
          </cell>
          <cell r="R109">
            <v>4</v>
          </cell>
          <cell r="S109">
            <v>73</v>
          </cell>
          <cell r="T109">
            <v>0</v>
          </cell>
          <cell r="U109">
            <v>73</v>
          </cell>
          <cell r="V109">
            <v>97</v>
          </cell>
          <cell r="W109" t="str">
            <v>-기존시장의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cell r="X109" t="str">
            <v>일치</v>
          </cell>
          <cell r="Y109" t="str">
            <v>과제의 제목 및 사업화 아이템의 기능구성 중에 AI요소가 포함되어 일치로 판별함.</v>
          </cell>
        </row>
        <row r="110">
          <cell r="B110">
            <v>20429774</v>
          </cell>
          <cell r="C110" t="str">
            <v>지역기반</v>
          </cell>
          <cell r="D110" t="str">
            <v>화공ㆍ섬유</v>
          </cell>
          <cell r="E110" t="str">
            <v>주짓수 도복 및 스포츠웨어 스마트 제조 및 제작</v>
          </cell>
          <cell r="F110" t="str">
            <v>650,000,000</v>
          </cell>
          <cell r="G110" t="str">
            <v>1</v>
          </cell>
          <cell r="H110" t="str">
            <v>도약</v>
          </cell>
          <cell r="I110" t="str">
            <v>중장년</v>
          </cell>
          <cell r="J110">
            <v>0</v>
          </cell>
          <cell r="K110">
            <v>8</v>
          </cell>
          <cell r="L110">
            <v>7</v>
          </cell>
          <cell r="M110">
            <v>15</v>
          </cell>
          <cell r="N110">
            <v>14</v>
          </cell>
          <cell r="O110">
            <v>7</v>
          </cell>
          <cell r="P110">
            <v>7</v>
          </cell>
          <cell r="Q110">
            <v>12</v>
          </cell>
          <cell r="R110">
            <v>3</v>
          </cell>
          <cell r="S110">
            <v>73</v>
          </cell>
          <cell r="T110">
            <v>0</v>
          </cell>
          <cell r="U110">
            <v>73</v>
          </cell>
          <cell r="V110">
            <v>97</v>
          </cell>
          <cell r="W110" t="str">
            <v>-우리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111">
          <cell r="B111">
            <v>20407919</v>
          </cell>
          <cell r="C111" t="str">
            <v>지역기반</v>
          </cell>
          <cell r="D111" t="str">
            <v>화공ㆍ섬유</v>
          </cell>
          <cell r="E111" t="str">
            <v>세제를 함유하고 간편한 일회용 건식 수세미</v>
          </cell>
          <cell r="F111" t="str">
            <v>195,000,000</v>
          </cell>
          <cell r="G111" t="str">
            <v>0</v>
          </cell>
          <cell r="H111" t="str">
            <v>초기</v>
          </cell>
          <cell r="I111" t="str">
            <v>중장년</v>
          </cell>
          <cell r="J111">
            <v>0</v>
          </cell>
          <cell r="K111">
            <v>7</v>
          </cell>
          <cell r="L111">
            <v>7</v>
          </cell>
          <cell r="M111">
            <v>14</v>
          </cell>
          <cell r="N111">
            <v>15</v>
          </cell>
          <cell r="O111">
            <v>7</v>
          </cell>
          <cell r="P111">
            <v>7</v>
          </cell>
          <cell r="Q111">
            <v>11</v>
          </cell>
          <cell r="R111">
            <v>4</v>
          </cell>
          <cell r="S111">
            <v>72</v>
          </cell>
          <cell r="T111">
            <v>0</v>
          </cell>
          <cell r="U111">
            <v>72</v>
          </cell>
          <cell r="V111">
            <v>104</v>
          </cell>
          <cell r="W111" t="str">
            <v>-사업화 아이템의 성공가능성 향상을 위해 기존 시장 제품에 대한 경쟁력 강화를 위한 방안 검토가 필요해 보입니다.
-창업지원사업의 성격을 고려한 정량적성과목표의 달성방안에 대한 구체적인 설명이 필요해 보입니다.</v>
          </cell>
        </row>
        <row r="112">
          <cell r="B112">
            <v>20431143</v>
          </cell>
          <cell r="C112" t="str">
            <v>지역기반</v>
          </cell>
          <cell r="D112" t="str">
            <v>화공ㆍ섬유</v>
          </cell>
          <cell r="E112" t="str">
            <v>멀티유즈 프리미엄 라이프케어 제품 개발 및 브랜드 사업화</v>
          </cell>
          <cell r="F112" t="str">
            <v>0</v>
          </cell>
          <cell r="G112" t="str">
            <v>0</v>
          </cell>
          <cell r="H112" t="str">
            <v>초기</v>
          </cell>
          <cell r="I112" t="str">
            <v>청년</v>
          </cell>
          <cell r="J112">
            <v>0</v>
          </cell>
          <cell r="K112">
            <v>8</v>
          </cell>
          <cell r="L112">
            <v>7</v>
          </cell>
          <cell r="M112">
            <v>14</v>
          </cell>
          <cell r="N112">
            <v>14</v>
          </cell>
          <cell r="O112">
            <v>8</v>
          </cell>
          <cell r="P112">
            <v>7</v>
          </cell>
          <cell r="Q112">
            <v>11</v>
          </cell>
          <cell r="R112">
            <v>3</v>
          </cell>
          <cell r="S112">
            <v>72</v>
          </cell>
          <cell r="T112">
            <v>0</v>
          </cell>
          <cell r="U112">
            <v>72</v>
          </cell>
          <cell r="V112">
            <v>104</v>
          </cell>
          <cell r="W112" t="str">
            <v>-기존시장의 유사제품과 비교하여 소비자의 니즈 및 우리 제품의 차별화 요소를 바탕으로 보다 다각적인 차별화 요소에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row>
        <row r="113">
          <cell r="B113">
            <v>20425558</v>
          </cell>
          <cell r="C113" t="str">
            <v>지역기반</v>
          </cell>
          <cell r="D113" t="str">
            <v>화공ㆍ섬유</v>
          </cell>
          <cell r="E113" t="str">
            <v>국내산 집성재의 이익극대화를 위한 상온 경화형 집성재 제조 공정 개발</v>
          </cell>
          <cell r="F113" t="str">
            <v>31,000,000</v>
          </cell>
          <cell r="G113" t="str">
            <v>1</v>
          </cell>
          <cell r="H113" t="str">
            <v>도약</v>
          </cell>
          <cell r="I113" t="str">
            <v>중장년</v>
          </cell>
          <cell r="J113">
            <v>0</v>
          </cell>
          <cell r="K113">
            <v>7</v>
          </cell>
          <cell r="L113">
            <v>7</v>
          </cell>
          <cell r="M113">
            <v>14</v>
          </cell>
          <cell r="N113">
            <v>14</v>
          </cell>
          <cell r="O113">
            <v>7</v>
          </cell>
          <cell r="P113">
            <v>7</v>
          </cell>
          <cell r="Q113">
            <v>12</v>
          </cell>
          <cell r="R113">
            <v>4</v>
          </cell>
          <cell r="S113">
            <v>72</v>
          </cell>
          <cell r="T113">
            <v>0</v>
          </cell>
          <cell r="U113">
            <v>72</v>
          </cell>
          <cell r="V113">
            <v>104</v>
          </cell>
          <cell r="W113" t="str">
            <v>-기존시장의 유사제품에 대한 우리 제품의 차별화 요소를 바탕으로 다각적인 경쟁분석을 통한 사업화 아이템의 성공가능성 향상에 대한 고민이 필요해 보입니다.
-창업지원사업의 특성을 고려한 정량적 성과지표 및 달성방안에 대한 설명이 필요해 보입니다.</v>
          </cell>
        </row>
        <row r="114">
          <cell r="B114">
            <v>20422189</v>
          </cell>
          <cell r="C114" t="str">
            <v>대학발</v>
          </cell>
          <cell r="D114" t="str">
            <v>화공ㆍ섬유</v>
          </cell>
          <cell r="E114" t="str">
            <v>피부 장벽 개선 및 복합적 피부 고민 관리를 위한 스킨케어 솔루션</v>
          </cell>
          <cell r="F114" t="str">
            <v>2,000,000</v>
          </cell>
          <cell r="G114" t="str">
            <v>1</v>
          </cell>
          <cell r="H114" t="str">
            <v>도약</v>
          </cell>
          <cell r="I114" t="str">
            <v>중장년</v>
          </cell>
          <cell r="J114">
            <v>0</v>
          </cell>
          <cell r="K114">
            <v>8</v>
          </cell>
          <cell r="L114">
            <v>7</v>
          </cell>
          <cell r="M114">
            <v>14</v>
          </cell>
          <cell r="N114">
            <v>14</v>
          </cell>
          <cell r="O114">
            <v>7</v>
          </cell>
          <cell r="P114">
            <v>7</v>
          </cell>
          <cell r="Q114">
            <v>11</v>
          </cell>
          <cell r="R114">
            <v>4</v>
          </cell>
          <cell r="S114">
            <v>72</v>
          </cell>
          <cell r="T114">
            <v>0</v>
          </cell>
          <cell r="U114">
            <v>72</v>
          </cell>
          <cell r="V114">
            <v>104</v>
          </cell>
          <cell r="W114" t="str">
            <v>-우리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v>
          </cell>
          <cell r="X114" t="str">
            <v>불일치</v>
          </cell>
          <cell r="Y114" t="str">
            <v>단순화학제품 제조이므로 주력산업분야에 해당하지 않음</v>
          </cell>
        </row>
        <row r="115">
          <cell r="B115">
            <v>20422874</v>
          </cell>
          <cell r="C115" t="str">
            <v>지역기반</v>
          </cell>
          <cell r="D115" t="str">
            <v>화공ㆍ섬유</v>
          </cell>
          <cell r="E115" t="str">
            <v>굴패각과 리싸이클 패트병을 활용한 친환경 원단 개발 및 지속가능한 의류 제작</v>
          </cell>
          <cell r="F115" t="str">
            <v>0</v>
          </cell>
          <cell r="G115" t="str">
            <v>0</v>
          </cell>
          <cell r="H115" t="str">
            <v>예비</v>
          </cell>
          <cell r="I115" t="str">
            <v>중장년</v>
          </cell>
          <cell r="J115">
            <v>0</v>
          </cell>
          <cell r="K115">
            <v>6</v>
          </cell>
          <cell r="L115">
            <v>6</v>
          </cell>
          <cell r="M115">
            <v>15</v>
          </cell>
          <cell r="N115">
            <v>16</v>
          </cell>
          <cell r="O115">
            <v>7</v>
          </cell>
          <cell r="P115">
            <v>6</v>
          </cell>
          <cell r="Q115">
            <v>11</v>
          </cell>
          <cell r="R115">
            <v>3</v>
          </cell>
          <cell r="S115">
            <v>70</v>
          </cell>
          <cell r="T115">
            <v>0</v>
          </cell>
          <cell r="U115">
            <v>70</v>
          </cell>
          <cell r="V115">
            <v>108</v>
          </cell>
          <cell r="W115" t="str">
            <v>-사업화 아이템의 성공가능성 향상을 위해 보다 다양한 측면에서 차별화 이슈의 도출 및 후발 경쟁자의 진입 억제를 위한 산업재산권 확보방안에 대한 고민이 필요해 보입니다.
-사업의 지속성 확보를 위해 보다 구체적인 수익 창출 방안에 대한 설명이 필요해 보입니다.</v>
          </cell>
        </row>
        <row r="116">
          <cell r="B116">
            <v>20402057</v>
          </cell>
          <cell r="C116" t="str">
            <v>지역기반</v>
          </cell>
          <cell r="D116" t="str">
            <v>화공ㆍ섬유</v>
          </cell>
          <cell r="E116" t="str">
            <v>CODEBI 러닝·퍼포먼스 기능성 의류 (쇼츠, 상의, 타이즈, 액세서리)</v>
          </cell>
          <cell r="F116" t="str">
            <v>0</v>
          </cell>
          <cell r="G116" t="str">
            <v>0</v>
          </cell>
          <cell r="H116" t="str">
            <v>예비</v>
          </cell>
          <cell r="I116" t="str">
            <v>중장년</v>
          </cell>
          <cell r="J116">
            <v>0</v>
          </cell>
          <cell r="K116">
            <v>7</v>
          </cell>
          <cell r="L116">
            <v>8</v>
          </cell>
          <cell r="M116">
            <v>13</v>
          </cell>
          <cell r="N116">
            <v>12</v>
          </cell>
          <cell r="O116">
            <v>6</v>
          </cell>
          <cell r="P116">
            <v>6</v>
          </cell>
          <cell r="Q116">
            <v>13</v>
          </cell>
          <cell r="R116">
            <v>3</v>
          </cell>
          <cell r="S116">
            <v>68</v>
          </cell>
          <cell r="T116">
            <v>0</v>
          </cell>
          <cell r="U116">
            <v>68</v>
          </cell>
          <cell r="V116">
            <v>109</v>
          </cell>
          <cell r="W116" t="str">
            <v xml:space="preserve">- 사업화아이템의 성공가능성 향상을 위하여 보다 상세한 마케팅전략에 대한 고민이 필요해 보입니다.
- 사업화 아이템의 경쟁력 확보를 위하여 기존의 경쟁제품에 대한 보다 다양한 차별화 방안에 대한 고민이 필요해 보입니다. </v>
          </cell>
        </row>
        <row r="117">
          <cell r="B117">
            <v>20424187</v>
          </cell>
          <cell r="C117" t="str">
            <v>지역기반</v>
          </cell>
          <cell r="D117" t="str">
            <v>화공ㆍ섬유</v>
          </cell>
          <cell r="E117" t="str">
            <v>지게미 업사이클링 기반 지역농산물 활용 K-디저트 개발</v>
          </cell>
          <cell r="F117" t="str">
            <v>0</v>
          </cell>
          <cell r="G117" t="str">
            <v>0</v>
          </cell>
          <cell r="H117" t="str">
            <v>예비</v>
          </cell>
          <cell r="I117" t="str">
            <v>청년</v>
          </cell>
          <cell r="J117">
            <v>0</v>
          </cell>
          <cell r="K117">
            <v>6</v>
          </cell>
          <cell r="L117">
            <v>6</v>
          </cell>
          <cell r="M117">
            <v>14</v>
          </cell>
          <cell r="N117">
            <v>15</v>
          </cell>
          <cell r="O117">
            <v>6</v>
          </cell>
          <cell r="P117">
            <v>6</v>
          </cell>
          <cell r="Q117">
            <v>12</v>
          </cell>
          <cell r="R117">
            <v>3</v>
          </cell>
          <cell r="S117">
            <v>68</v>
          </cell>
          <cell r="T117">
            <v>0</v>
          </cell>
          <cell r="U117">
            <v>68</v>
          </cell>
          <cell r="V117">
            <v>109</v>
          </cell>
          <cell r="W117" t="str">
            <v>-사업화 아이템의 성공 가능성 향상을 위해 경쟁력 확보 및 지속적인 수익 창출 방안에 대한 고민이 필요해 보입니다.
-사업의 지속성 확보를 위해 중장기적인 원재료 확보 방안에 대한 고민이 필요해 보입니다.</v>
          </cell>
        </row>
        <row r="118">
          <cell r="B118">
            <v>20411654</v>
          </cell>
          <cell r="C118" t="str">
            <v>지역기반</v>
          </cell>
          <cell r="D118" t="str">
            <v>화공ㆍ섬유</v>
          </cell>
          <cell r="E118" t="str">
            <v>여성 착용 편안성을 개선한 기능성 심리스 브라 및 언더웨어 제품 개발 사업</v>
          </cell>
          <cell r="F118" t="str">
            <v>230,000,000</v>
          </cell>
          <cell r="G118" t="str">
            <v>3</v>
          </cell>
          <cell r="H118" t="str">
            <v>초기</v>
          </cell>
          <cell r="I118" t="str">
            <v>중장년</v>
          </cell>
          <cell r="J118">
            <v>0</v>
          </cell>
          <cell r="K118">
            <v>7</v>
          </cell>
          <cell r="L118">
            <v>6</v>
          </cell>
          <cell r="M118">
            <v>14</v>
          </cell>
          <cell r="N118">
            <v>14</v>
          </cell>
          <cell r="O118">
            <v>7</v>
          </cell>
          <cell r="P118">
            <v>6</v>
          </cell>
          <cell r="Q118">
            <v>11</v>
          </cell>
          <cell r="R118">
            <v>3</v>
          </cell>
          <cell r="S118">
            <v>68</v>
          </cell>
          <cell r="T118">
            <v>0</v>
          </cell>
          <cell r="U118">
            <v>68</v>
          </cell>
          <cell r="V118">
            <v>109</v>
          </cell>
          <cell r="W118" t="str">
            <v xml:space="preserve">-기존제품 대비 특화된 경쟁요소 도출 및 그것의 활용에 대한 설명이 필요해 보입니다.
-보다 구체적인 수익창출 방안 설명 및 창업지원사업의 특성을 고려한 성과지표제시 및 달성방안에 대한 설명이 필요해 보입니다. </v>
          </cell>
        </row>
        <row r="119">
          <cell r="B119">
            <v>20399602</v>
          </cell>
          <cell r="C119" t="str">
            <v>지역기반</v>
          </cell>
          <cell r="D119" t="str">
            <v>화공ㆍ섬유</v>
          </cell>
          <cell r="E119" t="str">
            <v>임상 기반 기능성 아로마 바디케어 제품 개발 및 브랜드 사업화</v>
          </cell>
          <cell r="F119" t="str">
            <v>0</v>
          </cell>
          <cell r="G119" t="str">
            <v>0</v>
          </cell>
          <cell r="H119" t="str">
            <v>예비</v>
          </cell>
          <cell r="I119" t="str">
            <v>중장년</v>
          </cell>
          <cell r="J119">
            <v>0</v>
          </cell>
          <cell r="K119">
            <v>7</v>
          </cell>
          <cell r="L119">
            <v>7</v>
          </cell>
          <cell r="M119">
            <v>13</v>
          </cell>
          <cell r="N119">
            <v>13</v>
          </cell>
          <cell r="O119">
            <v>6</v>
          </cell>
          <cell r="P119">
            <v>5</v>
          </cell>
          <cell r="Q119">
            <v>12</v>
          </cell>
          <cell r="R119">
            <v>3</v>
          </cell>
          <cell r="S119">
            <v>66</v>
          </cell>
          <cell r="T119">
            <v>0</v>
          </cell>
          <cell r="U119">
            <v>66</v>
          </cell>
          <cell r="V119">
            <v>112</v>
          </cell>
          <cell r="W119" t="str">
            <v>-기존 시장의 경쟁제품에 대한 경쟁분석을 통한 사업화아이템의 사업화 성공가능성 향상에 대한고민이 필요해 보입니다.
-보다 구체적인 수익 창출 방안에 대한 설명이 필요해 보입니다.</v>
          </cell>
        </row>
        <row r="120">
          <cell r="B120">
            <v>20439838</v>
          </cell>
          <cell r="C120" t="str">
            <v>지역기반</v>
          </cell>
          <cell r="D120" t="str">
            <v>화공ㆍ섬유</v>
          </cell>
          <cell r="E120" t="str">
            <v>핏 중심 기능성 러닝웨어 브랜드 개발 및 사업화</v>
          </cell>
          <cell r="F120" t="str">
            <v>0</v>
          </cell>
          <cell r="G120" t="str">
            <v>1</v>
          </cell>
          <cell r="H120" t="str">
            <v>예비</v>
          </cell>
          <cell r="I120" t="str">
            <v>청년</v>
          </cell>
          <cell r="J120">
            <v>0</v>
          </cell>
          <cell r="K120">
            <v>5</v>
          </cell>
          <cell r="L120">
            <v>6</v>
          </cell>
          <cell r="M120">
            <v>14</v>
          </cell>
          <cell r="N120">
            <v>14</v>
          </cell>
          <cell r="O120">
            <v>6</v>
          </cell>
          <cell r="P120">
            <v>5</v>
          </cell>
          <cell r="Q120">
            <v>10</v>
          </cell>
          <cell r="R120">
            <v>3</v>
          </cell>
          <cell r="S120">
            <v>63</v>
          </cell>
          <cell r="T120">
            <v>0</v>
          </cell>
          <cell r="U120">
            <v>63</v>
          </cell>
          <cell r="V120">
            <v>113</v>
          </cell>
          <cell r="W120" t="str">
            <v xml:space="preserve">-사업화 아이템의 성공가능성 향상을 위하여 기존의 경쟁제품에 대한 차별화 요인 분석을 통한 마케팅 이슈 도출이 필요해 보입니다.
-창업지원사업의 특성을 고려한 성과목표 제시 및 달성방안에 대한 설명이 필요해 보입니다. </v>
          </cell>
        </row>
        <row r="121">
          <cell r="B121">
            <v>20428898</v>
          </cell>
          <cell r="C121" t="str">
            <v>지역기반</v>
          </cell>
          <cell r="D121" t="str">
            <v>화공ㆍ섬유</v>
          </cell>
          <cell r="E121" t="str">
            <v>천연소재 복합배합 기반 친환경 반려동물 위생용품 개발</v>
          </cell>
          <cell r="F121" t="str">
            <v>0</v>
          </cell>
          <cell r="G121" t="str">
            <v>0</v>
          </cell>
          <cell r="H121" t="str">
            <v>예비</v>
          </cell>
          <cell r="I121" t="str">
            <v>청년</v>
          </cell>
          <cell r="J121">
            <v>0</v>
          </cell>
          <cell r="K121">
            <v>6</v>
          </cell>
          <cell r="L121">
            <v>6</v>
          </cell>
          <cell r="M121">
            <v>11</v>
          </cell>
          <cell r="N121">
            <v>11</v>
          </cell>
          <cell r="O121">
            <v>6</v>
          </cell>
          <cell r="P121">
            <v>7</v>
          </cell>
          <cell r="Q121">
            <v>11</v>
          </cell>
          <cell r="R121">
            <v>3</v>
          </cell>
          <cell r="S121">
            <v>61</v>
          </cell>
          <cell r="T121">
            <v>0</v>
          </cell>
          <cell r="U121">
            <v>61</v>
          </cell>
          <cell r="V121">
            <v>114</v>
          </cell>
          <cell r="W121" t="str">
            <v xml:space="preserve">-사업화 아이템의 성공가능성 향상을 위해 보다 다양한 관점에서 경쟁분석이 필요해 보입니다. 
-사업의 지속성 확보를 위해 보다 구체적인 수익 창출 방안에 대한 설명이 필요해 보입니다.
-창업지원사업의 특성을 고려한 성과목표 제시 및 달성방안에 대한 설명이 필요해 보입니다. </v>
          </cell>
        </row>
        <row r="122">
          <cell r="B122">
            <v>20406606</v>
          </cell>
          <cell r="C122" t="str">
            <v>지역기반</v>
          </cell>
          <cell r="D122" t="str">
            <v>화공ㆍ섬유</v>
          </cell>
          <cell r="E122" t="str">
            <v>즉석 맥반석 구이김 단지 순회공급 시스템 구축</v>
          </cell>
          <cell r="F122" t="str">
            <v>0</v>
          </cell>
          <cell r="G122" t="str">
            <v>0</v>
          </cell>
          <cell r="H122" t="str">
            <v>예비</v>
          </cell>
          <cell r="I122" t="str">
            <v>중장년</v>
          </cell>
          <cell r="J122">
            <v>0</v>
          </cell>
          <cell r="K122">
            <v>6</v>
          </cell>
          <cell r="L122">
            <v>6</v>
          </cell>
          <cell r="M122">
            <v>12</v>
          </cell>
          <cell r="N122">
            <v>12</v>
          </cell>
          <cell r="O122">
            <v>5</v>
          </cell>
          <cell r="P122">
            <v>4</v>
          </cell>
          <cell r="Q122">
            <v>12</v>
          </cell>
          <cell r="R122">
            <v>3</v>
          </cell>
          <cell r="S122">
            <v>60</v>
          </cell>
          <cell r="T122">
            <v>0</v>
          </cell>
          <cell r="U122">
            <v>60</v>
          </cell>
          <cell r="V122">
            <v>115</v>
          </cell>
          <cell r="W122" t="str">
            <v>- 사업 아이템의 성공가능성 향상을 위하여 기존의 유사 사업모델과 비교하여 보다 다양한 차별화요인 발굴과 함께 보다 구체적인 수익창출 방안에 대한 설명이 필요해 보입니다.</v>
          </cell>
        </row>
        <row r="123">
          <cell r="B123">
            <v>20421393</v>
          </cell>
          <cell r="C123" t="str">
            <v>대학발</v>
          </cell>
          <cell r="D123" t="str">
            <v>화공ㆍ섬유</v>
          </cell>
          <cell r="E123" t="str">
            <v>AI, IOT 다중시설 환경 위생관리 솔루션</v>
          </cell>
          <cell r="F123" t="str">
            <v>0</v>
          </cell>
          <cell r="G123" t="str">
            <v>0</v>
          </cell>
          <cell r="H123" t="str">
            <v>예비</v>
          </cell>
          <cell r="I123" t="str">
            <v>청년</v>
          </cell>
          <cell r="J123" t="str">
            <v>요건탈락</v>
          </cell>
          <cell r="S123" t="str">
            <v/>
          </cell>
          <cell r="T123">
            <v>0</v>
          </cell>
          <cell r="U123" t="str">
            <v/>
          </cell>
          <cell r="V123" t="str">
            <v/>
          </cell>
        </row>
        <row r="124">
          <cell r="B124">
            <v>20401269</v>
          </cell>
          <cell r="C124" t="str">
            <v>지역기반</v>
          </cell>
          <cell r="D124" t="str">
            <v>화공ㆍ섬유</v>
          </cell>
          <cell r="E124" t="str">
            <v>수상 스포츠 이후 아로마테라피를 활용한 ‘After-Water Ritual’ 스킨케어 브랜드</v>
          </cell>
          <cell r="F124" t="str">
            <v>41,352,356</v>
          </cell>
          <cell r="G124" t="str">
            <v>0</v>
          </cell>
          <cell r="H124" t="str">
            <v>초기</v>
          </cell>
          <cell r="I124" t="str">
            <v>청년</v>
          </cell>
          <cell r="J124" t="str">
            <v>면제</v>
          </cell>
          <cell r="S124" t="str">
            <v/>
          </cell>
          <cell r="T124">
            <v>0</v>
          </cell>
          <cell r="U124">
            <v>100</v>
          </cell>
          <cell r="V124" t="str">
            <v/>
          </cell>
        </row>
        <row r="125">
          <cell r="B125">
            <v>20424839</v>
          </cell>
          <cell r="C125" t="str">
            <v>지역기반</v>
          </cell>
          <cell r="D125" t="str">
            <v>화공ㆍ섬유</v>
          </cell>
          <cell r="E125" t="str">
            <v>옷장 속 미술관 : 입는 예술, 글로벌 아트웨어 브랜드 사업화</v>
          </cell>
          <cell r="F125" t="str">
            <v>71,776,812</v>
          </cell>
          <cell r="G125" t="str">
            <v>3</v>
          </cell>
          <cell r="H125" t="str">
            <v>초기</v>
          </cell>
          <cell r="I125" t="str">
            <v>청년</v>
          </cell>
          <cell r="J125" t="str">
            <v>면제</v>
          </cell>
          <cell r="S125" t="str">
            <v/>
          </cell>
          <cell r="T125">
            <v>0</v>
          </cell>
          <cell r="U125">
            <v>100</v>
          </cell>
          <cell r="V125" t="str">
            <v/>
          </cell>
        </row>
        <row r="126">
          <cell r="B126">
            <v>20428258</v>
          </cell>
          <cell r="C126" t="str">
            <v>지역기반</v>
          </cell>
          <cell r="D126" t="str">
            <v>화공ㆍ섬유</v>
          </cell>
          <cell r="E126" t="str">
            <v>친환경 원천 소재 기술 기반의 제로 웨이스트 브랜드 고도화 솔루션</v>
          </cell>
          <cell r="F126" t="str">
            <v>27,818,182</v>
          </cell>
          <cell r="G126" t="str">
            <v>1</v>
          </cell>
          <cell r="H126" t="str">
            <v>초기</v>
          </cell>
          <cell r="I126" t="str">
            <v>청년</v>
          </cell>
          <cell r="J126" t="str">
            <v>면제</v>
          </cell>
          <cell r="S126" t="str">
            <v/>
          </cell>
          <cell r="T126">
            <v>0</v>
          </cell>
          <cell r="U126">
            <v>100</v>
          </cell>
          <cell r="V126" t="str">
            <v/>
          </cell>
        </row>
        <row r="127">
          <cell r="B127">
            <v>20429258</v>
          </cell>
          <cell r="C127" t="str">
            <v>대학발</v>
          </cell>
          <cell r="D127" t="str">
            <v>화공ㆍ섬유</v>
          </cell>
          <cell r="E127" t="str">
            <v>피부를 숨기지 않아도 되는 안심 베이스</v>
          </cell>
          <cell r="F127" t="str">
            <v>150,000,000</v>
          </cell>
          <cell r="G127" t="str">
            <v>1</v>
          </cell>
          <cell r="H127" t="str">
            <v>초기</v>
          </cell>
          <cell r="I127" t="str">
            <v>청년</v>
          </cell>
          <cell r="J127" t="str">
            <v>요건탈락</v>
          </cell>
          <cell r="S127" t="str">
            <v/>
          </cell>
          <cell r="T127">
            <v>0</v>
          </cell>
          <cell r="U127" t="str">
            <v/>
          </cell>
          <cell r="V127" t="str">
            <v/>
          </cell>
        </row>
        <row r="128">
          <cell r="B128">
            <v>20410202</v>
          </cell>
          <cell r="C128" t="str">
            <v>지역기반</v>
          </cell>
          <cell r="D128" t="str">
            <v>화공ㆍ섬유</v>
          </cell>
          <cell r="E128" t="str">
            <v>AI 기반 고급 가죽 잡화 맞춤 제작 솔루션</v>
          </cell>
          <cell r="F128" t="str">
            <v>210,766,110</v>
          </cell>
          <cell r="G128" t="str">
            <v>4</v>
          </cell>
          <cell r="H128" t="str">
            <v>도약</v>
          </cell>
          <cell r="I128" t="str">
            <v>청년</v>
          </cell>
          <cell r="J128" t="str">
            <v>면제</v>
          </cell>
          <cell r="S128" t="str">
            <v/>
          </cell>
          <cell r="T128">
            <v>0</v>
          </cell>
          <cell r="U128">
            <v>100</v>
          </cell>
          <cell r="V128" t="str">
            <v/>
          </cell>
        </row>
        <row r="129">
          <cell r="B129">
            <v>20414167</v>
          </cell>
          <cell r="C129" t="str">
            <v>지역기반</v>
          </cell>
          <cell r="D129" t="str">
            <v>화공ㆍ섬유</v>
          </cell>
          <cell r="E129" t="str">
            <v>다층 복합 구조 레이저 방호 원단을 활용한 경량형 레이저 보호복</v>
          </cell>
          <cell r="F129" t="str">
            <v>1,177,000,000</v>
          </cell>
          <cell r="G129" t="str">
            <v>8</v>
          </cell>
          <cell r="H129" t="str">
            <v>도약</v>
          </cell>
          <cell r="I129" t="str">
            <v>청년</v>
          </cell>
          <cell r="J129" t="str">
            <v>면제</v>
          </cell>
          <cell r="S129" t="str">
            <v/>
          </cell>
          <cell r="T129">
            <v>0</v>
          </cell>
          <cell r="U129">
            <v>100</v>
          </cell>
          <cell r="V129" t="str">
            <v/>
          </cell>
        </row>
        <row r="130">
          <cell r="C130" t="str">
            <v/>
          </cell>
          <cell r="D130" t="str">
            <v/>
          </cell>
          <cell r="E130" t="str">
            <v/>
          </cell>
          <cell r="F130" t="str">
            <v/>
          </cell>
          <cell r="G130" t="str">
            <v/>
          </cell>
          <cell r="H130" t="str">
            <v/>
          </cell>
          <cell r="I130" t="str">
            <v/>
          </cell>
          <cell r="J130" t="str">
            <v/>
          </cell>
          <cell r="S130">
            <v>0</v>
          </cell>
          <cell r="T130" t="str">
            <v/>
          </cell>
          <cell r="U130" t="str">
            <v/>
          </cell>
          <cell r="V130" t="str">
            <v/>
          </cell>
        </row>
        <row r="131">
          <cell r="C131" t="str">
            <v/>
          </cell>
          <cell r="D131" t="str">
            <v/>
          </cell>
          <cell r="E131" t="str">
            <v/>
          </cell>
          <cell r="F131" t="str">
            <v/>
          </cell>
          <cell r="G131" t="str">
            <v/>
          </cell>
          <cell r="H131" t="str">
            <v/>
          </cell>
          <cell r="I131" t="str">
            <v/>
          </cell>
          <cell r="J131" t="str">
            <v/>
          </cell>
          <cell r="S131">
            <v>0</v>
          </cell>
          <cell r="T131" t="str">
            <v/>
          </cell>
          <cell r="U131" t="str">
            <v/>
          </cell>
          <cell r="V131" t="str">
            <v/>
          </cell>
        </row>
        <row r="132">
          <cell r="C132" t="str">
            <v/>
          </cell>
          <cell r="D132" t="str">
            <v/>
          </cell>
          <cell r="E132" t="str">
            <v/>
          </cell>
          <cell r="F132" t="str">
            <v/>
          </cell>
          <cell r="G132" t="str">
            <v/>
          </cell>
          <cell r="H132" t="str">
            <v/>
          </cell>
          <cell r="I132" t="str">
            <v/>
          </cell>
          <cell r="J132" t="str">
            <v/>
          </cell>
          <cell r="S132">
            <v>0</v>
          </cell>
          <cell r="T132" t="str">
            <v/>
          </cell>
          <cell r="U132" t="str">
            <v/>
          </cell>
          <cell r="V132" t="str">
            <v/>
          </cell>
        </row>
        <row r="133">
          <cell r="C133" t="str">
            <v/>
          </cell>
          <cell r="D133" t="str">
            <v/>
          </cell>
          <cell r="E133" t="str">
            <v/>
          </cell>
          <cell r="F133" t="str">
            <v/>
          </cell>
          <cell r="G133" t="str">
            <v/>
          </cell>
          <cell r="H133" t="str">
            <v/>
          </cell>
          <cell r="I133" t="str">
            <v/>
          </cell>
          <cell r="J133" t="str">
            <v/>
          </cell>
          <cell r="S133">
            <v>0</v>
          </cell>
          <cell r="T133" t="str">
            <v/>
          </cell>
          <cell r="U133" t="str">
            <v/>
          </cell>
          <cell r="V133" t="str">
            <v/>
          </cell>
        </row>
        <row r="134">
          <cell r="C134" t="str">
            <v/>
          </cell>
          <cell r="D134" t="str">
            <v/>
          </cell>
          <cell r="E134" t="str">
            <v/>
          </cell>
          <cell r="F134" t="str">
            <v/>
          </cell>
          <cell r="G134" t="str">
            <v/>
          </cell>
          <cell r="H134" t="str">
            <v/>
          </cell>
          <cell r="I134" t="str">
            <v/>
          </cell>
          <cell r="J134" t="str">
            <v/>
          </cell>
          <cell r="S134">
            <v>0</v>
          </cell>
          <cell r="T134" t="str">
            <v/>
          </cell>
          <cell r="U134" t="str">
            <v/>
          </cell>
          <cell r="V134" t="str">
            <v/>
          </cell>
        </row>
        <row r="135">
          <cell r="C135" t="str">
            <v/>
          </cell>
          <cell r="D135" t="str">
            <v/>
          </cell>
          <cell r="E135" t="str">
            <v/>
          </cell>
          <cell r="F135" t="str">
            <v/>
          </cell>
          <cell r="G135" t="str">
            <v/>
          </cell>
          <cell r="H135" t="str">
            <v/>
          </cell>
          <cell r="I135" t="str">
            <v/>
          </cell>
          <cell r="J135" t="str">
            <v/>
          </cell>
          <cell r="S135">
            <v>0</v>
          </cell>
          <cell r="T135" t="str">
            <v/>
          </cell>
          <cell r="U135" t="str">
            <v/>
          </cell>
          <cell r="V135" t="str">
            <v/>
          </cell>
        </row>
        <row r="136">
          <cell r="C136" t="str">
            <v/>
          </cell>
          <cell r="D136" t="str">
            <v/>
          </cell>
          <cell r="E136" t="str">
            <v/>
          </cell>
          <cell r="F136" t="str">
            <v/>
          </cell>
          <cell r="G136" t="str">
            <v/>
          </cell>
          <cell r="H136" t="str">
            <v/>
          </cell>
          <cell r="I136" t="str">
            <v/>
          </cell>
          <cell r="J136" t="str">
            <v/>
          </cell>
          <cell r="S136">
            <v>0</v>
          </cell>
          <cell r="T136" t="str">
            <v/>
          </cell>
          <cell r="U136" t="str">
            <v/>
          </cell>
          <cell r="V136" t="str">
            <v/>
          </cell>
        </row>
        <row r="137">
          <cell r="C137" t="str">
            <v/>
          </cell>
          <cell r="D137" t="str">
            <v/>
          </cell>
          <cell r="E137" t="str">
            <v/>
          </cell>
          <cell r="F137" t="str">
            <v/>
          </cell>
          <cell r="G137" t="str">
            <v/>
          </cell>
          <cell r="H137" t="str">
            <v/>
          </cell>
          <cell r="I137" t="str">
            <v/>
          </cell>
          <cell r="J137" t="str">
            <v/>
          </cell>
          <cell r="S137">
            <v>0</v>
          </cell>
          <cell r="T137" t="str">
            <v/>
          </cell>
          <cell r="U137" t="str">
            <v/>
          </cell>
          <cell r="V137" t="str">
            <v/>
          </cell>
        </row>
        <row r="138">
          <cell r="C138" t="str">
            <v/>
          </cell>
          <cell r="D138" t="str">
            <v/>
          </cell>
          <cell r="E138" t="str">
            <v/>
          </cell>
          <cell r="F138" t="str">
            <v/>
          </cell>
          <cell r="G138" t="str">
            <v/>
          </cell>
          <cell r="H138" t="str">
            <v/>
          </cell>
          <cell r="I138" t="str">
            <v/>
          </cell>
          <cell r="J138" t="str">
            <v/>
          </cell>
          <cell r="S138">
            <v>0</v>
          </cell>
          <cell r="T138" t="str">
            <v/>
          </cell>
          <cell r="U138" t="str">
            <v/>
          </cell>
          <cell r="V138" t="str">
            <v/>
          </cell>
        </row>
        <row r="139">
          <cell r="C139" t="str">
            <v/>
          </cell>
          <cell r="D139" t="str">
            <v/>
          </cell>
          <cell r="E139" t="str">
            <v/>
          </cell>
          <cell r="F139" t="str">
            <v/>
          </cell>
          <cell r="G139" t="str">
            <v/>
          </cell>
          <cell r="H139" t="str">
            <v/>
          </cell>
          <cell r="I139" t="str">
            <v/>
          </cell>
          <cell r="J139" t="str">
            <v/>
          </cell>
          <cell r="S139">
            <v>0</v>
          </cell>
          <cell r="T139" t="str">
            <v/>
          </cell>
          <cell r="U139" t="str">
            <v/>
          </cell>
          <cell r="V139" t="str">
            <v/>
          </cell>
        </row>
        <row r="140">
          <cell r="C140" t="str">
            <v/>
          </cell>
          <cell r="D140" t="str">
            <v/>
          </cell>
          <cell r="E140" t="str">
            <v/>
          </cell>
          <cell r="F140" t="str">
            <v/>
          </cell>
          <cell r="G140" t="str">
            <v/>
          </cell>
          <cell r="H140" t="str">
            <v/>
          </cell>
          <cell r="I140" t="str">
            <v/>
          </cell>
          <cell r="J140" t="str">
            <v/>
          </cell>
          <cell r="S140">
            <v>0</v>
          </cell>
          <cell r="T140" t="str">
            <v/>
          </cell>
          <cell r="U140" t="str">
            <v/>
          </cell>
          <cell r="V140" t="str">
            <v/>
          </cell>
        </row>
        <row r="141">
          <cell r="C141" t="str">
            <v/>
          </cell>
          <cell r="D141" t="str">
            <v/>
          </cell>
          <cell r="E141" t="str">
            <v/>
          </cell>
          <cell r="F141" t="str">
            <v/>
          </cell>
          <cell r="G141" t="str">
            <v/>
          </cell>
          <cell r="H141" t="str">
            <v/>
          </cell>
          <cell r="I141" t="str">
            <v/>
          </cell>
          <cell r="J141" t="str">
            <v/>
          </cell>
          <cell r="S141">
            <v>0</v>
          </cell>
          <cell r="T141" t="str">
            <v/>
          </cell>
          <cell r="U141" t="str">
            <v/>
          </cell>
          <cell r="V141" t="str">
            <v/>
          </cell>
        </row>
        <row r="142">
          <cell r="C142" t="str">
            <v/>
          </cell>
          <cell r="D142" t="str">
            <v/>
          </cell>
          <cell r="E142" t="str">
            <v/>
          </cell>
          <cell r="F142" t="str">
            <v/>
          </cell>
          <cell r="G142" t="str">
            <v/>
          </cell>
          <cell r="H142" t="str">
            <v/>
          </cell>
          <cell r="I142" t="str">
            <v/>
          </cell>
          <cell r="J142" t="str">
            <v/>
          </cell>
          <cell r="S142">
            <v>0</v>
          </cell>
          <cell r="T142" t="str">
            <v/>
          </cell>
          <cell r="U142" t="str">
            <v/>
          </cell>
          <cell r="V142" t="str">
            <v/>
          </cell>
        </row>
        <row r="143">
          <cell r="C143" t="str">
            <v/>
          </cell>
          <cell r="D143" t="str">
            <v/>
          </cell>
          <cell r="E143" t="str">
            <v/>
          </cell>
          <cell r="F143" t="str">
            <v/>
          </cell>
          <cell r="G143" t="str">
            <v/>
          </cell>
          <cell r="H143" t="str">
            <v/>
          </cell>
          <cell r="I143" t="str">
            <v/>
          </cell>
          <cell r="J143" t="str">
            <v/>
          </cell>
          <cell r="S143">
            <v>0</v>
          </cell>
          <cell r="T143" t="str">
            <v/>
          </cell>
          <cell r="U143" t="str">
            <v/>
          </cell>
          <cell r="V143" t="str">
            <v/>
          </cell>
        </row>
        <row r="144">
          <cell r="C144" t="str">
            <v/>
          </cell>
          <cell r="D144" t="str">
            <v/>
          </cell>
          <cell r="E144" t="str">
            <v/>
          </cell>
          <cell r="F144" t="str">
            <v/>
          </cell>
          <cell r="G144" t="str">
            <v/>
          </cell>
          <cell r="H144" t="str">
            <v/>
          </cell>
          <cell r="I144" t="str">
            <v/>
          </cell>
          <cell r="J144" t="str">
            <v/>
          </cell>
          <cell r="S144">
            <v>0</v>
          </cell>
          <cell r="T144" t="str">
            <v/>
          </cell>
          <cell r="U144" t="str">
            <v/>
          </cell>
          <cell r="V144" t="str">
            <v/>
          </cell>
        </row>
        <row r="145">
          <cell r="C145" t="str">
            <v/>
          </cell>
          <cell r="D145" t="str">
            <v/>
          </cell>
          <cell r="E145" t="str">
            <v/>
          </cell>
          <cell r="F145" t="str">
            <v/>
          </cell>
          <cell r="G145" t="str">
            <v/>
          </cell>
          <cell r="H145" t="str">
            <v/>
          </cell>
          <cell r="I145" t="str">
            <v/>
          </cell>
          <cell r="J145" t="str">
            <v/>
          </cell>
          <cell r="S145">
            <v>0</v>
          </cell>
          <cell r="T145" t="str">
            <v/>
          </cell>
          <cell r="U145" t="str">
            <v/>
          </cell>
          <cell r="V145" t="str">
            <v/>
          </cell>
        </row>
        <row r="146">
          <cell r="C146" t="str">
            <v/>
          </cell>
          <cell r="D146" t="str">
            <v/>
          </cell>
          <cell r="E146" t="str">
            <v/>
          </cell>
          <cell r="F146" t="str">
            <v/>
          </cell>
          <cell r="G146" t="str">
            <v/>
          </cell>
          <cell r="H146" t="str">
            <v/>
          </cell>
          <cell r="I146" t="str">
            <v/>
          </cell>
          <cell r="J146" t="str">
            <v/>
          </cell>
          <cell r="S146">
            <v>0</v>
          </cell>
          <cell r="T146" t="str">
            <v/>
          </cell>
          <cell r="U146" t="str">
            <v/>
          </cell>
          <cell r="V146" t="str">
            <v/>
          </cell>
        </row>
        <row r="147">
          <cell r="C147" t="str">
            <v/>
          </cell>
          <cell r="D147" t="str">
            <v/>
          </cell>
          <cell r="E147" t="str">
            <v/>
          </cell>
          <cell r="F147" t="str">
            <v/>
          </cell>
          <cell r="G147" t="str">
            <v/>
          </cell>
          <cell r="H147" t="str">
            <v/>
          </cell>
          <cell r="I147" t="str">
            <v/>
          </cell>
          <cell r="J147" t="str">
            <v/>
          </cell>
          <cell r="S147">
            <v>0</v>
          </cell>
          <cell r="T147" t="str">
            <v/>
          </cell>
          <cell r="U147" t="str">
            <v/>
          </cell>
          <cell r="V147" t="str">
            <v/>
          </cell>
        </row>
        <row r="148">
          <cell r="C148" t="str">
            <v/>
          </cell>
          <cell r="D148" t="str">
            <v/>
          </cell>
          <cell r="E148" t="str">
            <v/>
          </cell>
          <cell r="F148" t="str">
            <v/>
          </cell>
          <cell r="G148" t="str">
            <v/>
          </cell>
          <cell r="H148" t="str">
            <v/>
          </cell>
          <cell r="I148" t="str">
            <v/>
          </cell>
          <cell r="J148" t="str">
            <v/>
          </cell>
          <cell r="S148">
            <v>0</v>
          </cell>
          <cell r="T148" t="str">
            <v/>
          </cell>
          <cell r="U148" t="str">
            <v/>
          </cell>
          <cell r="V148" t="str">
            <v/>
          </cell>
        </row>
        <row r="149">
          <cell r="C149" t="str">
            <v/>
          </cell>
          <cell r="D149" t="str">
            <v/>
          </cell>
          <cell r="E149" t="str">
            <v/>
          </cell>
          <cell r="F149" t="str">
            <v/>
          </cell>
          <cell r="G149" t="str">
            <v/>
          </cell>
          <cell r="H149" t="str">
            <v/>
          </cell>
          <cell r="I149" t="str">
            <v/>
          </cell>
          <cell r="J149" t="str">
            <v/>
          </cell>
          <cell r="S149">
            <v>0</v>
          </cell>
          <cell r="T149" t="str">
            <v/>
          </cell>
          <cell r="U149" t="str">
            <v/>
          </cell>
          <cell r="V149" t="str">
            <v/>
          </cell>
        </row>
        <row r="150">
          <cell r="C150" t="str">
            <v/>
          </cell>
          <cell r="D150" t="str">
            <v/>
          </cell>
          <cell r="E150" t="str">
            <v/>
          </cell>
          <cell r="F150" t="str">
            <v/>
          </cell>
          <cell r="G150" t="str">
            <v/>
          </cell>
          <cell r="H150" t="str">
            <v/>
          </cell>
          <cell r="I150" t="str">
            <v/>
          </cell>
          <cell r="J150" t="str">
            <v/>
          </cell>
          <cell r="S150">
            <v>0</v>
          </cell>
          <cell r="T150" t="str">
            <v/>
          </cell>
          <cell r="U150" t="str">
            <v/>
          </cell>
          <cell r="V150" t="str">
            <v/>
          </cell>
        </row>
        <row r="151">
          <cell r="C151" t="str">
            <v/>
          </cell>
          <cell r="D151" t="str">
            <v/>
          </cell>
          <cell r="E151" t="str">
            <v/>
          </cell>
          <cell r="F151" t="str">
            <v/>
          </cell>
          <cell r="G151" t="str">
            <v/>
          </cell>
          <cell r="H151" t="str">
            <v/>
          </cell>
          <cell r="I151" t="str">
            <v/>
          </cell>
          <cell r="J151" t="str">
            <v/>
          </cell>
          <cell r="S151">
            <v>0</v>
          </cell>
          <cell r="T151" t="str">
            <v/>
          </cell>
          <cell r="U151" t="str">
            <v/>
          </cell>
          <cell r="V151" t="str">
            <v/>
          </cell>
        </row>
        <row r="152">
          <cell r="C152" t="str">
            <v/>
          </cell>
          <cell r="D152" t="str">
            <v/>
          </cell>
          <cell r="E152" t="str">
            <v/>
          </cell>
          <cell r="F152" t="str">
            <v/>
          </cell>
          <cell r="G152" t="str">
            <v/>
          </cell>
          <cell r="H152" t="str">
            <v/>
          </cell>
          <cell r="I152" t="str">
            <v/>
          </cell>
          <cell r="J152" t="str">
            <v/>
          </cell>
          <cell r="S152">
            <v>0</v>
          </cell>
          <cell r="T152" t="str">
            <v/>
          </cell>
          <cell r="U152" t="str">
            <v/>
          </cell>
          <cell r="V152" t="str">
            <v/>
          </cell>
        </row>
        <row r="153">
          <cell r="C153" t="str">
            <v/>
          </cell>
          <cell r="D153" t="str">
            <v/>
          </cell>
          <cell r="E153" t="str">
            <v/>
          </cell>
          <cell r="F153" t="str">
            <v/>
          </cell>
          <cell r="G153" t="str">
            <v/>
          </cell>
          <cell r="H153" t="str">
            <v/>
          </cell>
          <cell r="I153" t="str">
            <v/>
          </cell>
          <cell r="J153" t="str">
            <v/>
          </cell>
          <cell r="S153">
            <v>0</v>
          </cell>
          <cell r="T153" t="str">
            <v/>
          </cell>
          <cell r="U153" t="str">
            <v/>
          </cell>
          <cell r="V153" t="str">
            <v/>
          </cell>
        </row>
        <row r="154">
          <cell r="C154" t="str">
            <v/>
          </cell>
          <cell r="D154" t="str">
            <v/>
          </cell>
          <cell r="E154" t="str">
            <v/>
          </cell>
          <cell r="F154" t="str">
            <v/>
          </cell>
          <cell r="G154" t="str">
            <v/>
          </cell>
          <cell r="H154" t="str">
            <v/>
          </cell>
          <cell r="I154" t="str">
            <v/>
          </cell>
          <cell r="J154" t="str">
            <v/>
          </cell>
          <cell r="S154">
            <v>0</v>
          </cell>
          <cell r="T154" t="str">
            <v/>
          </cell>
          <cell r="U154" t="str">
            <v/>
          </cell>
          <cell r="V154" t="str">
            <v/>
          </cell>
        </row>
        <row r="155">
          <cell r="C155" t="str">
            <v/>
          </cell>
          <cell r="D155" t="str">
            <v/>
          </cell>
          <cell r="E155" t="str">
            <v/>
          </cell>
          <cell r="F155" t="str">
            <v/>
          </cell>
          <cell r="G155" t="str">
            <v/>
          </cell>
          <cell r="H155" t="str">
            <v/>
          </cell>
          <cell r="I155" t="str">
            <v/>
          </cell>
          <cell r="J155" t="str">
            <v/>
          </cell>
          <cell r="S155">
            <v>0</v>
          </cell>
          <cell r="T155" t="str">
            <v/>
          </cell>
          <cell r="U155" t="str">
            <v/>
          </cell>
          <cell r="V155" t="str">
            <v/>
          </cell>
        </row>
        <row r="156">
          <cell r="C156" t="str">
            <v/>
          </cell>
          <cell r="D156" t="str">
            <v/>
          </cell>
          <cell r="E156" t="str">
            <v/>
          </cell>
          <cell r="F156" t="str">
            <v/>
          </cell>
          <cell r="G156" t="str">
            <v/>
          </cell>
          <cell r="H156" t="str">
            <v/>
          </cell>
          <cell r="I156" t="str">
            <v/>
          </cell>
          <cell r="J156" t="str">
            <v/>
          </cell>
          <cell r="S156">
            <v>0</v>
          </cell>
          <cell r="T156" t="str">
            <v/>
          </cell>
          <cell r="U156" t="str">
            <v/>
          </cell>
          <cell r="V156" t="str">
            <v/>
          </cell>
        </row>
        <row r="157">
          <cell r="C157" t="str">
            <v/>
          </cell>
          <cell r="D157" t="str">
            <v/>
          </cell>
          <cell r="E157" t="str">
            <v/>
          </cell>
          <cell r="F157" t="str">
            <v/>
          </cell>
          <cell r="G157" t="str">
            <v/>
          </cell>
          <cell r="H157" t="str">
            <v/>
          </cell>
          <cell r="I157" t="str">
            <v/>
          </cell>
          <cell r="J157" t="str">
            <v/>
          </cell>
          <cell r="S157">
            <v>0</v>
          </cell>
          <cell r="T157" t="str">
            <v/>
          </cell>
          <cell r="U157" t="str">
            <v/>
          </cell>
          <cell r="V157" t="str">
            <v/>
          </cell>
        </row>
        <row r="158">
          <cell r="C158" t="str">
            <v/>
          </cell>
          <cell r="D158" t="str">
            <v/>
          </cell>
          <cell r="E158" t="str">
            <v/>
          </cell>
          <cell r="F158" t="str">
            <v/>
          </cell>
          <cell r="G158" t="str">
            <v/>
          </cell>
          <cell r="H158" t="str">
            <v/>
          </cell>
          <cell r="I158" t="str">
            <v/>
          </cell>
          <cell r="J158" t="str">
            <v/>
          </cell>
          <cell r="S158">
            <v>0</v>
          </cell>
          <cell r="T158" t="str">
            <v/>
          </cell>
          <cell r="U158" t="str">
            <v/>
          </cell>
          <cell r="V158" t="str">
            <v/>
          </cell>
        </row>
        <row r="159">
          <cell r="C159" t="str">
            <v/>
          </cell>
          <cell r="D159" t="str">
            <v/>
          </cell>
          <cell r="E159" t="str">
            <v/>
          </cell>
          <cell r="F159" t="str">
            <v/>
          </cell>
          <cell r="G159" t="str">
            <v/>
          </cell>
          <cell r="H159" t="str">
            <v/>
          </cell>
          <cell r="I159" t="str">
            <v/>
          </cell>
          <cell r="J159" t="str">
            <v/>
          </cell>
          <cell r="S159">
            <v>0</v>
          </cell>
          <cell r="T159" t="str">
            <v/>
          </cell>
          <cell r="U159" t="str">
            <v/>
          </cell>
          <cell r="V159" t="str">
            <v/>
          </cell>
        </row>
        <row r="160">
          <cell r="C160" t="str">
            <v/>
          </cell>
          <cell r="D160" t="str">
            <v/>
          </cell>
          <cell r="E160" t="str">
            <v/>
          </cell>
          <cell r="F160" t="str">
            <v/>
          </cell>
          <cell r="G160" t="str">
            <v/>
          </cell>
          <cell r="H160" t="str">
            <v/>
          </cell>
          <cell r="I160" t="str">
            <v/>
          </cell>
          <cell r="J160" t="str">
            <v/>
          </cell>
          <cell r="S160">
            <v>0</v>
          </cell>
          <cell r="T160" t="str">
            <v/>
          </cell>
          <cell r="U160" t="str">
            <v/>
          </cell>
          <cell r="V160" t="str">
            <v/>
          </cell>
        </row>
        <row r="161">
          <cell r="C161" t="str">
            <v/>
          </cell>
          <cell r="D161" t="str">
            <v/>
          </cell>
          <cell r="E161" t="str">
            <v/>
          </cell>
          <cell r="F161" t="str">
            <v/>
          </cell>
          <cell r="G161" t="str">
            <v/>
          </cell>
          <cell r="H161" t="str">
            <v/>
          </cell>
          <cell r="I161" t="str">
            <v/>
          </cell>
          <cell r="J161" t="str">
            <v/>
          </cell>
          <cell r="S161">
            <v>0</v>
          </cell>
          <cell r="T161" t="str">
            <v/>
          </cell>
          <cell r="U161" t="str">
            <v/>
          </cell>
          <cell r="V161" t="str">
            <v/>
          </cell>
        </row>
        <row r="162">
          <cell r="C162" t="str">
            <v/>
          </cell>
          <cell r="D162" t="str">
            <v/>
          </cell>
          <cell r="E162" t="str">
            <v/>
          </cell>
          <cell r="F162" t="str">
            <v/>
          </cell>
          <cell r="G162" t="str">
            <v/>
          </cell>
          <cell r="H162" t="str">
            <v/>
          </cell>
          <cell r="I162" t="str">
            <v/>
          </cell>
          <cell r="J162" t="str">
            <v/>
          </cell>
          <cell r="S162">
            <v>0</v>
          </cell>
          <cell r="T162" t="str">
            <v/>
          </cell>
          <cell r="U162" t="str">
            <v/>
          </cell>
          <cell r="V162" t="str">
            <v/>
          </cell>
        </row>
        <row r="163">
          <cell r="C163" t="str">
            <v/>
          </cell>
          <cell r="D163" t="str">
            <v/>
          </cell>
          <cell r="E163" t="str">
            <v/>
          </cell>
          <cell r="F163" t="str">
            <v/>
          </cell>
          <cell r="G163" t="str">
            <v/>
          </cell>
          <cell r="H163" t="str">
            <v/>
          </cell>
          <cell r="I163" t="str">
            <v/>
          </cell>
          <cell r="J163" t="str">
            <v/>
          </cell>
          <cell r="S163">
            <v>0</v>
          </cell>
          <cell r="T163" t="str">
            <v/>
          </cell>
          <cell r="U163" t="str">
            <v/>
          </cell>
          <cell r="V163" t="str">
            <v/>
          </cell>
        </row>
        <row r="164">
          <cell r="C164" t="str">
            <v/>
          </cell>
          <cell r="D164" t="str">
            <v/>
          </cell>
          <cell r="E164" t="str">
            <v/>
          </cell>
          <cell r="F164" t="str">
            <v/>
          </cell>
          <cell r="G164" t="str">
            <v/>
          </cell>
          <cell r="H164" t="str">
            <v/>
          </cell>
          <cell r="I164" t="str">
            <v/>
          </cell>
          <cell r="J164" t="str">
            <v/>
          </cell>
          <cell r="S164">
            <v>0</v>
          </cell>
          <cell r="T164" t="str">
            <v/>
          </cell>
          <cell r="U164" t="str">
            <v/>
          </cell>
          <cell r="V164" t="str">
            <v/>
          </cell>
        </row>
        <row r="165">
          <cell r="C165" t="str">
            <v/>
          </cell>
          <cell r="D165" t="str">
            <v/>
          </cell>
          <cell r="E165" t="str">
            <v/>
          </cell>
          <cell r="F165" t="str">
            <v/>
          </cell>
          <cell r="G165" t="str">
            <v/>
          </cell>
          <cell r="H165" t="str">
            <v/>
          </cell>
          <cell r="I165" t="str">
            <v/>
          </cell>
          <cell r="J165" t="str">
            <v/>
          </cell>
          <cell r="S165">
            <v>0</v>
          </cell>
          <cell r="T165" t="str">
            <v/>
          </cell>
          <cell r="U165" t="str">
            <v/>
          </cell>
          <cell r="V165" t="str">
            <v/>
          </cell>
        </row>
        <row r="166">
          <cell r="C166" t="str">
            <v/>
          </cell>
          <cell r="D166" t="str">
            <v/>
          </cell>
          <cell r="E166" t="str">
            <v/>
          </cell>
          <cell r="F166" t="str">
            <v/>
          </cell>
          <cell r="G166" t="str">
            <v/>
          </cell>
          <cell r="H166" t="str">
            <v/>
          </cell>
          <cell r="I166" t="str">
            <v/>
          </cell>
          <cell r="J166" t="str">
            <v/>
          </cell>
          <cell r="S166">
            <v>0</v>
          </cell>
          <cell r="T166" t="str">
            <v/>
          </cell>
          <cell r="U166" t="str">
            <v/>
          </cell>
          <cell r="V166" t="str">
            <v/>
          </cell>
        </row>
        <row r="167">
          <cell r="C167" t="str">
            <v/>
          </cell>
          <cell r="D167" t="str">
            <v/>
          </cell>
          <cell r="E167" t="str">
            <v/>
          </cell>
          <cell r="F167" t="str">
            <v/>
          </cell>
          <cell r="G167" t="str">
            <v/>
          </cell>
          <cell r="H167" t="str">
            <v/>
          </cell>
          <cell r="I167" t="str">
            <v/>
          </cell>
          <cell r="J167" t="str">
            <v/>
          </cell>
          <cell r="S167">
            <v>0</v>
          </cell>
          <cell r="T167" t="str">
            <v/>
          </cell>
          <cell r="U167" t="str">
            <v/>
          </cell>
          <cell r="V167" t="str">
            <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29.699999999999989</v>
          </cell>
          <cell r="H2">
            <v>48.800000000000004</v>
          </cell>
          <cell r="I2">
            <v>30.5</v>
          </cell>
          <cell r="J2">
            <v>13</v>
          </cell>
          <cell r="K2">
            <v>5</v>
          </cell>
          <cell r="L2">
            <v>18</v>
          </cell>
          <cell r="M2">
            <v>122</v>
          </cell>
          <cell r="N2" t="str">
            <v>90점 이상 합격
*예비 87~89점 1~2명</v>
          </cell>
          <cell r="Q2" t="str">
            <v>지역기반</v>
          </cell>
          <cell r="R2">
            <v>11</v>
          </cell>
          <cell r="S2">
            <v>4</v>
          </cell>
          <cell r="T2">
            <v>6</v>
          </cell>
          <cell r="U2">
            <v>5</v>
          </cell>
          <cell r="V2">
            <v>11</v>
          </cell>
        </row>
        <row r="3">
          <cell r="E3" t="str">
            <v>평가
현황</v>
          </cell>
          <cell r="F3">
            <v>2</v>
          </cell>
          <cell r="G3">
            <v>28</v>
          </cell>
          <cell r="H3">
            <v>40</v>
          </cell>
          <cell r="I3">
            <v>39</v>
          </cell>
          <cell r="J3">
            <v>8</v>
          </cell>
          <cell r="K3">
            <v>5</v>
          </cell>
          <cell r="L3">
            <v>13</v>
          </cell>
          <cell r="M3">
            <v>122</v>
          </cell>
          <cell r="Q3" t="str">
            <v>대학발</v>
          </cell>
          <cell r="R3">
            <v>1</v>
          </cell>
          <cell r="S3">
            <v>0</v>
          </cell>
          <cell r="T3">
            <v>1</v>
          </cell>
          <cell r="U3">
            <v>0</v>
          </cell>
          <cell r="V3">
            <v>1</v>
          </cell>
        </row>
        <row r="4">
          <cell r="E4" t="str">
            <v>청년</v>
          </cell>
          <cell r="F4" t="str">
            <v>*지역기반만 집계</v>
          </cell>
          <cell r="J4">
            <v>11</v>
          </cell>
          <cell r="K4">
            <v>5</v>
          </cell>
          <cell r="L4">
            <v>16</v>
          </cell>
          <cell r="M4">
            <v>16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20416443</v>
          </cell>
          <cell r="C8" t="str">
            <v>지역기반</v>
          </cell>
          <cell r="D8" t="str">
            <v>화공ㆍ섬유</v>
          </cell>
          <cell r="E8" t="str">
            <v>고해상도 DFSR(Dry Film Solder Resist) 제조기술 개발</v>
          </cell>
          <cell r="F8" t="str">
            <v>250,000,000</v>
          </cell>
          <cell r="G8" t="str">
            <v>2</v>
          </cell>
          <cell r="H8" t="str">
            <v>초기</v>
          </cell>
          <cell r="I8" t="str">
            <v>중장년</v>
          </cell>
          <cell r="J8">
            <v>0</v>
          </cell>
          <cell r="K8">
            <v>10</v>
          </cell>
          <cell r="L8">
            <v>10</v>
          </cell>
          <cell r="M8">
            <v>18</v>
          </cell>
          <cell r="N8">
            <v>18</v>
          </cell>
          <cell r="O8">
            <v>10</v>
          </cell>
          <cell r="P8">
            <v>10</v>
          </cell>
          <cell r="Q8">
            <v>15</v>
          </cell>
          <cell r="R8">
            <v>5</v>
          </cell>
          <cell r="S8">
            <v>96</v>
          </cell>
          <cell r="T8">
            <v>0</v>
          </cell>
          <cell r="U8">
            <v>96</v>
          </cell>
          <cell r="V8">
            <v>1</v>
          </cell>
          <cell r="W8" t="str">
            <v>반도체 산업의 필요소재로 해외 제품 대체효과가 있고 현재 개발 제품의 평가가 완료되었으며 유통업체와의 협업이 진행된 상황이므로 중기적 매출  발생은 가능할 것으로 판단됨. 국내 개발이 필요한 소재로 지원의 필요성이 있슴</v>
          </cell>
        </row>
        <row r="9">
          <cell r="B9">
            <v>20426887</v>
          </cell>
          <cell r="C9" t="str">
            <v>지역기반</v>
          </cell>
          <cell r="D9" t="str">
            <v>화공ㆍ섬유</v>
          </cell>
          <cell r="E9" t="str">
            <v>NIDT 변형 리포좀 기술을 적용하여 피부 열감과 속건조를 동시 해결하는 ‘기후 대응형(Zero-Heat) 고기능성 스킨케어’</v>
          </cell>
          <cell r="F9" t="str">
            <v>77,000,000</v>
          </cell>
          <cell r="G9" t="str">
            <v>4</v>
          </cell>
          <cell r="H9" t="str">
            <v>초기</v>
          </cell>
          <cell r="I9" t="str">
            <v>청년</v>
          </cell>
          <cell r="J9">
            <v>0</v>
          </cell>
          <cell r="K9">
            <v>10</v>
          </cell>
          <cell r="L9">
            <v>10</v>
          </cell>
          <cell r="M9">
            <v>17</v>
          </cell>
          <cell r="N9">
            <v>18</v>
          </cell>
          <cell r="O9">
            <v>10</v>
          </cell>
          <cell r="P9">
            <v>10</v>
          </cell>
          <cell r="Q9">
            <v>15</v>
          </cell>
          <cell r="R9">
            <v>5</v>
          </cell>
          <cell r="S9">
            <v>95</v>
          </cell>
          <cell r="T9">
            <v>0</v>
          </cell>
          <cell r="U9">
            <v>95</v>
          </cell>
          <cell r="V9">
            <v>2</v>
          </cell>
          <cell r="W9" t="str">
            <v>시장 대응형 제품개발로 기존 제품과의 차별성이 있고 자체 개발 역량을 보유하므로써 목표제품의 개발 완료 및 영업 가능성이 높은 것으로 판단됨.  사전 인증시험과 마켓팅이 진행되고 있어 향후 영업 확장성도 높을 것으로 판단됨</v>
          </cell>
        </row>
        <row r="10">
          <cell r="B10">
            <v>20421742</v>
          </cell>
          <cell r="C10" t="str">
            <v>실험실</v>
          </cell>
          <cell r="D10" t="str">
            <v>화공ㆍ섬유</v>
          </cell>
          <cell r="E10" t="str">
            <v>고난도 첨단 연구용 유기화합물 맞춤형 합성·공급 플랫폼</v>
          </cell>
          <cell r="F10" t="str">
            <v>26,081,000</v>
          </cell>
          <cell r="G10" t="str">
            <v>1</v>
          </cell>
          <cell r="H10" t="str">
            <v>초기</v>
          </cell>
          <cell r="I10" t="str">
            <v>청년</v>
          </cell>
          <cell r="J10" t="str">
            <v/>
          </cell>
          <cell r="K10">
            <v>10</v>
          </cell>
          <cell r="L10">
            <v>10</v>
          </cell>
          <cell r="M10">
            <v>17</v>
          </cell>
          <cell r="N10">
            <v>18</v>
          </cell>
          <cell r="O10">
            <v>9</v>
          </cell>
          <cell r="P10">
            <v>10</v>
          </cell>
          <cell r="Q10">
            <v>15</v>
          </cell>
          <cell r="R10">
            <v>5</v>
          </cell>
          <cell r="S10">
            <v>94</v>
          </cell>
          <cell r="T10">
            <v>0</v>
          </cell>
          <cell r="U10">
            <v>94</v>
          </cell>
          <cell r="V10">
            <v>3</v>
          </cell>
          <cell r="W10" t="str">
            <v>특수 유기 합성 기술과 위탁 기술의 필요성과 향후 고부가성 합성기술을 위한 필요한 과제로 개발 기업의 대응 기술에 대한 역량이 높고 협업화 시스템이 확보된 것으로 판단됨</v>
          </cell>
        </row>
        <row r="11">
          <cell r="B11">
            <v>20415499</v>
          </cell>
          <cell r="C11" t="str">
            <v>지역기반</v>
          </cell>
          <cell r="D11" t="str">
            <v>화공ㆍ섬유</v>
          </cell>
          <cell r="E11" t="str">
            <v>초고속 냉연/도금 강판 생산 라인을 위한 반응형 초계면(Super-Interface) 탈지제</v>
          </cell>
          <cell r="F11" t="str">
            <v>504,000,000</v>
          </cell>
          <cell r="G11" t="str">
            <v>1</v>
          </cell>
          <cell r="H11" t="str">
            <v>초기</v>
          </cell>
          <cell r="I11" t="str">
            <v>청년</v>
          </cell>
          <cell r="J11">
            <v>0</v>
          </cell>
          <cell r="K11">
            <v>10</v>
          </cell>
          <cell r="L11">
            <v>10</v>
          </cell>
          <cell r="M11">
            <v>16</v>
          </cell>
          <cell r="N11">
            <v>17</v>
          </cell>
          <cell r="O11">
            <v>10</v>
          </cell>
          <cell r="P11">
            <v>10</v>
          </cell>
          <cell r="Q11">
            <v>15</v>
          </cell>
          <cell r="R11">
            <v>5</v>
          </cell>
          <cell r="S11">
            <v>93</v>
          </cell>
          <cell r="T11">
            <v>0</v>
          </cell>
          <cell r="U11">
            <v>93</v>
          </cell>
          <cell r="V11">
            <v>4</v>
          </cell>
          <cell r="W11" t="str">
            <v>개발 제품에 대한 대표와 담당자의 역량이 높고 관련 제품의 기술이 완료된 상태로 지원시 목표 제품 개발 가능성이 높을 것으로 판단됨. 개발 제품의 필요성과 희소성은 있으나 매출 연계성이 높을 것으로 판단됨</v>
          </cell>
        </row>
        <row r="12">
          <cell r="B12">
            <v>20402078</v>
          </cell>
          <cell r="C12" t="str">
            <v>지역기반</v>
          </cell>
          <cell r="D12" t="str">
            <v>화공ㆍ섬유</v>
          </cell>
          <cell r="E12" t="str">
            <v>[글로벌 타겟] AI 톤적응 마이크로캡슐 기반 스킨케어형 컬러체인지 커버선크림 개발 및 사업화</v>
          </cell>
          <cell r="F12" t="str">
            <v>128,835,710</v>
          </cell>
          <cell r="G12" t="str">
            <v>2</v>
          </cell>
          <cell r="H12" t="str">
            <v>초기</v>
          </cell>
          <cell r="I12" t="str">
            <v>청년</v>
          </cell>
          <cell r="J12">
            <v>0</v>
          </cell>
          <cell r="K12">
            <v>10</v>
          </cell>
          <cell r="L12">
            <v>10</v>
          </cell>
          <cell r="M12">
            <v>15</v>
          </cell>
          <cell r="N12">
            <v>16</v>
          </cell>
          <cell r="O12">
            <v>10</v>
          </cell>
          <cell r="P12">
            <v>9</v>
          </cell>
          <cell r="Q12">
            <v>15</v>
          </cell>
          <cell r="R12">
            <v>5</v>
          </cell>
          <cell r="S12">
            <v>90</v>
          </cell>
          <cell r="T12">
            <v>2</v>
          </cell>
          <cell r="U12">
            <v>92</v>
          </cell>
          <cell r="V12">
            <v>5</v>
          </cell>
          <cell r="W12" t="str">
            <v>천연성분을 활용한 제품개발과 K-뷰티산업에 대응한 제품개발로 시장 분석 및 제품화 전략 수립이 양호하고 개발 제품의 독점성 및 시장 선점 가능성이 높을 것으로 판단됨</v>
          </cell>
        </row>
        <row r="13">
          <cell r="B13">
            <v>20416668</v>
          </cell>
          <cell r="C13" t="str">
            <v>대학발</v>
          </cell>
          <cell r="D13" t="str">
            <v>화공ㆍ섬유</v>
          </cell>
          <cell r="E13" t="str">
            <v>여름철 민감·트러블 진정용 스킨케어 샤워기용 타블렛 개발</v>
          </cell>
          <cell r="F13" t="str">
            <v>52,678,928</v>
          </cell>
          <cell r="G13" t="str">
            <v>4</v>
          </cell>
          <cell r="H13" t="str">
            <v>초기</v>
          </cell>
          <cell r="I13" t="str">
            <v>청년</v>
          </cell>
          <cell r="J13">
            <v>0</v>
          </cell>
          <cell r="K13">
            <v>10</v>
          </cell>
          <cell r="L13">
            <v>10</v>
          </cell>
          <cell r="M13">
            <v>16</v>
          </cell>
          <cell r="N13">
            <v>16</v>
          </cell>
          <cell r="O13">
            <v>9</v>
          </cell>
          <cell r="P13">
            <v>10</v>
          </cell>
          <cell r="Q13">
            <v>15</v>
          </cell>
          <cell r="R13">
            <v>5</v>
          </cell>
          <cell r="S13">
            <v>91</v>
          </cell>
          <cell r="T13">
            <v>0</v>
          </cell>
          <cell r="U13">
            <v>91</v>
          </cell>
          <cell r="V13">
            <v>6</v>
          </cell>
          <cell r="W13" t="str">
            <v xml:space="preserve">세정 용품의 차별성과 쿨링효과 등의 기능성 보유 기술로 개발 난이도가 있고 소비자 요구에 대응 가능한 제품으로 평가되나 실질적 사용과 반응에 대한 분석 보완이 필요하며 수요층 포지셔닝에 맞는 영업전략 수립이 요구됨 </v>
          </cell>
          <cell r="X13" t="str">
            <v>일치</v>
          </cell>
          <cell r="Y13" t="str">
            <v>주력산업 분야에 정확한 포함여부 확인 필요</v>
          </cell>
        </row>
        <row r="14">
          <cell r="B14">
            <v>20414625</v>
          </cell>
          <cell r="C14" t="str">
            <v>지역기반</v>
          </cell>
          <cell r="D14" t="str">
            <v>화공ㆍ섬유</v>
          </cell>
          <cell r="E14" t="str">
            <v>초음파 향미 추출 기반 조주·조리용 향미 주류 (비터스·기주) 개발</v>
          </cell>
          <cell r="F14" t="str">
            <v>0</v>
          </cell>
          <cell r="G14" t="str">
            <v>0</v>
          </cell>
          <cell r="H14" t="str">
            <v>예비</v>
          </cell>
          <cell r="I14" t="str">
            <v>중장년</v>
          </cell>
          <cell r="J14">
            <v>0</v>
          </cell>
          <cell r="K14">
            <v>10</v>
          </cell>
          <cell r="L14">
            <v>10</v>
          </cell>
          <cell r="M14">
            <v>16</v>
          </cell>
          <cell r="N14">
            <v>15</v>
          </cell>
          <cell r="O14">
            <v>10</v>
          </cell>
          <cell r="P14">
            <v>10</v>
          </cell>
          <cell r="Q14">
            <v>15</v>
          </cell>
          <cell r="R14">
            <v>5</v>
          </cell>
          <cell r="S14">
            <v>91</v>
          </cell>
          <cell r="T14">
            <v>0</v>
          </cell>
          <cell r="U14">
            <v>91</v>
          </cell>
          <cell r="V14">
            <v>6</v>
          </cell>
          <cell r="W14" t="str">
            <v>농업 부산물 활용의 의미와 개인 소비 시장확대에 대응한 제품개발로 시장 방향성에 맞고 대표 역량이 높아 매출가능성도 있다고 판단되나 유사 제품 대응 전략 보완이 필요할 것으로 판단됨</v>
          </cell>
        </row>
        <row r="15">
          <cell r="B15">
            <v>20426411</v>
          </cell>
          <cell r="C15" t="str">
            <v>지역기반</v>
          </cell>
          <cell r="D15" t="str">
            <v>화공ㆍ섬유</v>
          </cell>
          <cell r="E15" t="str">
            <v>해조류 청각 기반 메탄저감 사료첨가제</v>
          </cell>
          <cell r="F15" t="str">
            <v>37,915,000</v>
          </cell>
          <cell r="G15" t="str">
            <v>2</v>
          </cell>
          <cell r="H15" t="str">
            <v>초기</v>
          </cell>
          <cell r="I15" t="str">
            <v>청년</v>
          </cell>
          <cell r="J15">
            <v>0</v>
          </cell>
          <cell r="K15">
            <v>10</v>
          </cell>
          <cell r="L15">
            <v>10</v>
          </cell>
          <cell r="M15">
            <v>15</v>
          </cell>
          <cell r="N15">
            <v>16</v>
          </cell>
          <cell r="O15">
            <v>10</v>
          </cell>
          <cell r="P15">
            <v>9</v>
          </cell>
          <cell r="Q15">
            <v>15</v>
          </cell>
          <cell r="R15">
            <v>5</v>
          </cell>
          <cell r="S15">
            <v>90</v>
          </cell>
          <cell r="T15">
            <v>0</v>
          </cell>
          <cell r="U15">
            <v>90</v>
          </cell>
          <cell r="V15">
            <v>8</v>
          </cell>
          <cell r="W15" t="str">
            <v>기존 사료첨가제의 부작용 대응 제품 개발로 메탄성분 분석과 제품 제조 공정 및 원료 설계, 실증환경 및 시험분석 등 개발 준비 사항이 완료되었고 목표 수요처에 대한 조사도 완료된 것으로 판단됨</v>
          </cell>
        </row>
        <row r="16">
          <cell r="B16">
            <v>20429165</v>
          </cell>
          <cell r="C16" t="str">
            <v>지역기반</v>
          </cell>
          <cell r="D16" t="str">
            <v>화공ㆍ섬유</v>
          </cell>
          <cell r="E16" t="str">
            <v>AI x IoT 기반 Off-Grid 재난·안전 대응 스마트 모바일 쉘터</v>
          </cell>
          <cell r="F16" t="str">
            <v>608,370,260</v>
          </cell>
          <cell r="G16" t="str">
            <v>2</v>
          </cell>
          <cell r="H16" t="str">
            <v>도약</v>
          </cell>
          <cell r="I16" t="str">
            <v>중장년</v>
          </cell>
          <cell r="J16">
            <v>0</v>
          </cell>
          <cell r="K16">
            <v>10</v>
          </cell>
          <cell r="L16">
            <v>10</v>
          </cell>
          <cell r="M16">
            <v>14</v>
          </cell>
          <cell r="N16">
            <v>15</v>
          </cell>
          <cell r="O16">
            <v>10</v>
          </cell>
          <cell r="P16">
            <v>10</v>
          </cell>
          <cell r="Q16">
            <v>15</v>
          </cell>
          <cell r="R16">
            <v>5</v>
          </cell>
          <cell r="S16">
            <v>89</v>
          </cell>
          <cell r="T16">
            <v>0</v>
          </cell>
          <cell r="U16">
            <v>89</v>
          </cell>
          <cell r="V16">
            <v>9</v>
          </cell>
          <cell r="W16" t="str">
            <v>개발 제품의 신규성과 기존 제품과의 차별성이 있고 펀딩 유치 등 해외 영업 기반 구축도 완료되어 사업화 가능성은 높을 것으로 판단됨.  과제 기업의 역량이 높고 지적 재산권 등 제품 독창성과 독점적 위치 확보가 된 상태로 확인됨</v>
          </cell>
        </row>
        <row r="17">
          <cell r="B17">
            <v>20416549</v>
          </cell>
          <cell r="C17" t="str">
            <v>지역기반</v>
          </cell>
          <cell r="D17" t="str">
            <v>화공ㆍ섬유</v>
          </cell>
          <cell r="E17" t="str">
            <v>특허 기반 3중 레이어 기술 적용 보습 패드팩 개발 및 글로벌 진출</v>
          </cell>
          <cell r="F17" t="str">
            <v>203,000,000</v>
          </cell>
          <cell r="G17" t="str">
            <v>3</v>
          </cell>
          <cell r="H17" t="str">
            <v>초기</v>
          </cell>
          <cell r="I17" t="str">
            <v>청년</v>
          </cell>
          <cell r="J17">
            <v>0</v>
          </cell>
          <cell r="K17">
            <v>9</v>
          </cell>
          <cell r="L17">
            <v>9</v>
          </cell>
          <cell r="M17">
            <v>14</v>
          </cell>
          <cell r="N17">
            <v>15</v>
          </cell>
          <cell r="O17">
            <v>10</v>
          </cell>
          <cell r="P17">
            <v>10</v>
          </cell>
          <cell r="Q17">
            <v>14</v>
          </cell>
          <cell r="R17">
            <v>5</v>
          </cell>
          <cell r="S17">
            <v>86</v>
          </cell>
          <cell r="T17">
            <v>2</v>
          </cell>
          <cell r="U17">
            <v>88</v>
          </cell>
          <cell r="V17">
            <v>10</v>
          </cell>
          <cell r="W17" t="str">
            <v>개발 제품의 신규성과 개발 역량을 보유하고 있고 현재 다양한 판매망을 보유하고 있어 실질적 매출 기여는 가능한 수준으로 평가되나  전반적으로 개발 제품의 시장 적용성에 대한 근거가 미흡함</v>
          </cell>
        </row>
        <row r="18">
          <cell r="B18">
            <v>20421819</v>
          </cell>
          <cell r="C18" t="str">
            <v>지역기반</v>
          </cell>
          <cell r="D18" t="str">
            <v>화공ㆍ섬유</v>
          </cell>
          <cell r="E18" t="str">
            <v>노령견 피부장벽 예방 기능성 케어 크림 개발</v>
          </cell>
          <cell r="F18" t="str">
            <v>385,902</v>
          </cell>
          <cell r="G18" t="str">
            <v>0</v>
          </cell>
          <cell r="H18" t="str">
            <v>초기</v>
          </cell>
          <cell r="I18" t="str">
            <v>청년</v>
          </cell>
          <cell r="J18">
            <v>0</v>
          </cell>
          <cell r="K18">
            <v>10</v>
          </cell>
          <cell r="L18">
            <v>10</v>
          </cell>
          <cell r="M18">
            <v>14</v>
          </cell>
          <cell r="N18">
            <v>14</v>
          </cell>
          <cell r="O18">
            <v>10</v>
          </cell>
          <cell r="P18">
            <v>10</v>
          </cell>
          <cell r="Q18">
            <v>14</v>
          </cell>
          <cell r="R18">
            <v>5</v>
          </cell>
          <cell r="S18">
            <v>87</v>
          </cell>
          <cell r="T18">
            <v>0</v>
          </cell>
          <cell r="U18">
            <v>87</v>
          </cell>
          <cell r="V18">
            <v>11</v>
          </cell>
          <cell r="W18" t="str">
            <v>노령견 피부케어의 특성화 개발 제품으로 제품의 독창성이 있고 시장 가능성도 높아 영업 연계가 충분할 것으로 판단됨.  다양한 제품 개발 대비 과제 개발 제품에 집중하는 영업 성장 전략의 효과가 높을 것으로 판단됨.</v>
          </cell>
        </row>
        <row r="19">
          <cell r="B19">
            <v>20426750</v>
          </cell>
          <cell r="C19" t="str">
            <v>지역기반</v>
          </cell>
          <cell r="D19" t="str">
            <v>화공ㆍ섬유</v>
          </cell>
          <cell r="E19" t="str">
            <v>AI 제형 최적화 기술 기반 스마트 올인원 젤과 네일숍을 위한 AI 제고 운영 관리 SaaS 솔루션, ARO NAIL</v>
          </cell>
          <cell r="F19" t="str">
            <v>0</v>
          </cell>
          <cell r="G19" t="str">
            <v>0</v>
          </cell>
          <cell r="H19" t="str">
            <v>예비</v>
          </cell>
          <cell r="I19" t="str">
            <v>청년</v>
          </cell>
          <cell r="J19">
            <v>0</v>
          </cell>
          <cell r="K19">
            <v>9</v>
          </cell>
          <cell r="L19">
            <v>10</v>
          </cell>
          <cell r="M19">
            <v>15</v>
          </cell>
          <cell r="N19">
            <v>15</v>
          </cell>
          <cell r="O19">
            <v>9</v>
          </cell>
          <cell r="P19">
            <v>9</v>
          </cell>
          <cell r="Q19">
            <v>15</v>
          </cell>
          <cell r="R19">
            <v>5</v>
          </cell>
          <cell r="S19">
            <v>87</v>
          </cell>
          <cell r="T19">
            <v>0</v>
          </cell>
          <cell r="U19">
            <v>87</v>
          </cell>
          <cell r="V19">
            <v>11</v>
          </cell>
          <cell r="W19" t="str">
            <v>제형기술을 기반으로 특화시장에 대한 제품개발과 적용 제품관련 유통망 확보 등 사전 시장 확장성에 대한 준비가 완료된 상황으로 판단되며 개발과 판매 등에 대한 수직적 쳬게 수립 전략이 양호함</v>
          </cell>
        </row>
        <row r="20">
          <cell r="B20">
            <v>20401779</v>
          </cell>
          <cell r="C20" t="str">
            <v>지역기반</v>
          </cell>
          <cell r="D20" t="str">
            <v>화공ㆍ섬유</v>
          </cell>
          <cell r="E20" t="str">
            <v>안자극이 없는 수경 안티포그액</v>
          </cell>
          <cell r="F20" t="str">
            <v>208,378,702</v>
          </cell>
          <cell r="G20" t="str">
            <v>0</v>
          </cell>
          <cell r="H20" t="str">
            <v>초기</v>
          </cell>
          <cell r="I20" t="str">
            <v>중장년</v>
          </cell>
          <cell r="J20">
            <v>0</v>
          </cell>
          <cell r="K20">
            <v>10</v>
          </cell>
          <cell r="L20">
            <v>10</v>
          </cell>
          <cell r="M20">
            <v>14</v>
          </cell>
          <cell r="N20">
            <v>14</v>
          </cell>
          <cell r="O20">
            <v>9</v>
          </cell>
          <cell r="P20">
            <v>10</v>
          </cell>
          <cell r="Q20">
            <v>14</v>
          </cell>
          <cell r="R20">
            <v>5</v>
          </cell>
          <cell r="S20">
            <v>86</v>
          </cell>
          <cell r="T20">
            <v>0</v>
          </cell>
          <cell r="U20">
            <v>86</v>
          </cell>
          <cell r="V20">
            <v>13</v>
          </cell>
          <cell r="W20" t="str">
            <v>소비층 및 시장 규모에 대응한 차별성 소재 개발로 저자극성에 대한 소비층 형성이 가능하고 소재 기술이 확보되어 향후 매출 가능성이 높을 것으로 판단됨 . 시장 진입 및 사업화 확장 전략 수립이 양호하게 제시되었슴</v>
          </cell>
        </row>
        <row r="21">
          <cell r="B21">
            <v>20429392</v>
          </cell>
          <cell r="C21" t="str">
            <v>지역기반</v>
          </cell>
          <cell r="D21" t="str">
            <v>화공ㆍ섬유</v>
          </cell>
          <cell r="E21" t="str">
            <v>초저온 실링 및 수분차단성을 갖춘 친환경 단일소재 폴리에틸렌 연포장 필름</v>
          </cell>
          <cell r="F21" t="str">
            <v>35,000,000</v>
          </cell>
          <cell r="G21" t="str">
            <v>0</v>
          </cell>
          <cell r="H21" t="str">
            <v>초기</v>
          </cell>
          <cell r="I21" t="str">
            <v>중장년</v>
          </cell>
          <cell r="J21">
            <v>0</v>
          </cell>
          <cell r="K21">
            <v>10</v>
          </cell>
          <cell r="L21">
            <v>10</v>
          </cell>
          <cell r="M21">
            <v>13</v>
          </cell>
          <cell r="N21">
            <v>14</v>
          </cell>
          <cell r="O21">
            <v>10</v>
          </cell>
          <cell r="P21">
            <v>10</v>
          </cell>
          <cell r="Q21">
            <v>14</v>
          </cell>
          <cell r="R21">
            <v>5</v>
          </cell>
          <cell r="S21">
            <v>86</v>
          </cell>
          <cell r="T21">
            <v>0</v>
          </cell>
          <cell r="U21">
            <v>86</v>
          </cell>
          <cell r="V21">
            <v>13</v>
          </cell>
          <cell r="W21" t="str">
            <v>기존 복합필름의 재활용 불가 문제를 대체하기 위한 동종 필름의 개발과 재활용 가능성과 사업화 연계 가능성이 높고 공정 해결에 대한 기술적 난이도 등 기술적 차별성이 높은 것으로 판단됨.  적용 범위가 제한적으로 영업적 확장성은 낮으나 향후 소재 개발과 시장 방향성이 일치하는 것으로 판단됨.</v>
          </cell>
        </row>
        <row r="22">
          <cell r="B22">
            <v>20417527</v>
          </cell>
          <cell r="C22" t="str">
            <v>지역기반</v>
          </cell>
          <cell r="D22" t="str">
            <v>화공ㆍ섬유</v>
          </cell>
          <cell r="E22" t="str">
            <v>초보자도 손쉽게 제모 가능한 고기능성 슈가페이스트 및 자동 충진 제조 시스템의 사업화</v>
          </cell>
          <cell r="F22" t="str">
            <v>100,000,000</v>
          </cell>
          <cell r="G22" t="str">
            <v>1</v>
          </cell>
          <cell r="H22" t="str">
            <v>초기</v>
          </cell>
          <cell r="I22" t="str">
            <v>중장년</v>
          </cell>
          <cell r="J22">
            <v>0</v>
          </cell>
          <cell r="K22">
            <v>9</v>
          </cell>
          <cell r="L22">
            <v>10</v>
          </cell>
          <cell r="M22">
            <v>15</v>
          </cell>
          <cell r="N22">
            <v>13</v>
          </cell>
          <cell r="O22">
            <v>10</v>
          </cell>
          <cell r="P22">
            <v>9</v>
          </cell>
          <cell r="Q22">
            <v>15</v>
          </cell>
          <cell r="R22">
            <v>5</v>
          </cell>
          <cell r="S22">
            <v>86</v>
          </cell>
          <cell r="T22">
            <v>0</v>
          </cell>
          <cell r="U22">
            <v>86</v>
          </cell>
          <cell r="V22">
            <v>13</v>
          </cell>
          <cell r="W22" t="str">
            <v>개발 제품의 차별성과 시장성 확대에 대응하는 제품으로 경쟁력 우위가 있고 현재 개발 완료된 상태로 단기적 매출 발생이 가능함.  고객의 수요와 필요성에 적합하고 개발자의 역량이 높으나 경쟁 제품과의 대응 전략이 다소 미흡한 것으로 판단됨.</v>
          </cell>
        </row>
        <row r="23">
          <cell r="B23">
            <v>20423311</v>
          </cell>
          <cell r="C23" t="str">
            <v>대학발</v>
          </cell>
          <cell r="D23" t="str">
            <v>화공ㆍ섬유</v>
          </cell>
          <cell r="E23" t="str">
            <v>리사이클 팩토리 AI</v>
          </cell>
          <cell r="F23" t="str">
            <v>155,756,130</v>
          </cell>
          <cell r="G23" t="str">
            <v>1</v>
          </cell>
          <cell r="H23" t="str">
            <v>초기</v>
          </cell>
          <cell r="I23" t="str">
            <v>중장년</v>
          </cell>
          <cell r="J23">
            <v>0</v>
          </cell>
          <cell r="K23">
            <v>9</v>
          </cell>
          <cell r="L23">
            <v>9</v>
          </cell>
          <cell r="M23">
            <v>15</v>
          </cell>
          <cell r="N23">
            <v>15</v>
          </cell>
          <cell r="O23">
            <v>9</v>
          </cell>
          <cell r="P23">
            <v>9</v>
          </cell>
          <cell r="Q23">
            <v>15</v>
          </cell>
          <cell r="R23">
            <v>5</v>
          </cell>
          <cell r="S23">
            <v>86</v>
          </cell>
          <cell r="T23">
            <v>0</v>
          </cell>
          <cell r="U23">
            <v>86</v>
          </cell>
          <cell r="V23">
            <v>13</v>
          </cell>
          <cell r="W23" t="str">
            <v>패션의류 유통산업의 변동성에 대응한 생산기획 자동화 시스템 과제로 재고와 유통 수량의 괴리를 개선하는 목적이나 유사 AI기반 재고 물류 플랫폼 형태의 시스템이 존재하므로 이에 대한 대응 전략이 필요할 것으로 판단됨.</v>
          </cell>
          <cell r="X23" t="str">
            <v>일치</v>
          </cell>
          <cell r="Y23" t="str">
            <v>AI 주력산업에 해당함</v>
          </cell>
        </row>
        <row r="24">
          <cell r="B24">
            <v>20410575</v>
          </cell>
          <cell r="C24" t="str">
            <v>지역기반</v>
          </cell>
          <cell r="D24" t="str">
            <v>화공ㆍ섬유</v>
          </cell>
          <cell r="E24" t="str">
            <v>로컬 상생형 프리미엄 수제 쌀 디저트, 'K-설기(K-Seolgi) 하이엔드 솔루션'</v>
          </cell>
          <cell r="F24" t="str">
            <v>0</v>
          </cell>
          <cell r="G24" t="str">
            <v>0</v>
          </cell>
          <cell r="H24" t="str">
            <v>예비</v>
          </cell>
          <cell r="I24" t="str">
            <v>청년</v>
          </cell>
          <cell r="J24">
            <v>0</v>
          </cell>
          <cell r="K24">
            <v>9</v>
          </cell>
          <cell r="L24">
            <v>10</v>
          </cell>
          <cell r="M24">
            <v>16</v>
          </cell>
          <cell r="N24">
            <v>13</v>
          </cell>
          <cell r="O24">
            <v>10</v>
          </cell>
          <cell r="P24">
            <v>9</v>
          </cell>
          <cell r="Q24">
            <v>13</v>
          </cell>
          <cell r="R24">
            <v>5</v>
          </cell>
          <cell r="S24">
            <v>85</v>
          </cell>
          <cell r="T24">
            <v>0</v>
          </cell>
          <cell r="U24">
            <v>85</v>
          </cell>
          <cell r="V24">
            <v>17</v>
          </cell>
          <cell r="W24" t="str">
            <v>개발제품의 특이성과 개발방향은 양호하게 제시되었고 유통망 전략도 양호하며 향후 시장의 선점효과도 있을 것으로 판단됨.</v>
          </cell>
        </row>
        <row r="25">
          <cell r="B25">
            <v>20430941</v>
          </cell>
          <cell r="C25" t="str">
            <v>지역기반</v>
          </cell>
          <cell r="D25" t="str">
            <v>화공ㆍ섬유</v>
          </cell>
          <cell r="E25" t="str">
            <v>버려지는 농업 부산물을 고기능 원료로 전환하고 에어리스 구조로 위생적이고 깔끔한 사용감을 구현한 클렌징 밤</v>
          </cell>
          <cell r="F25" t="str">
            <v>0</v>
          </cell>
          <cell r="G25" t="str">
            <v>0</v>
          </cell>
          <cell r="H25" t="str">
            <v>예비</v>
          </cell>
          <cell r="I25" t="str">
            <v>청년</v>
          </cell>
          <cell r="J25">
            <v>0</v>
          </cell>
          <cell r="K25">
            <v>9</v>
          </cell>
          <cell r="L25">
            <v>10</v>
          </cell>
          <cell r="M25">
            <v>14</v>
          </cell>
          <cell r="N25">
            <v>14</v>
          </cell>
          <cell r="O25">
            <v>9</v>
          </cell>
          <cell r="P25">
            <v>9</v>
          </cell>
          <cell r="Q25">
            <v>15</v>
          </cell>
          <cell r="R25">
            <v>5</v>
          </cell>
          <cell r="S25">
            <v>85</v>
          </cell>
          <cell r="T25">
            <v>0</v>
          </cell>
          <cell r="U25">
            <v>85</v>
          </cell>
          <cell r="V25">
            <v>17</v>
          </cell>
          <cell r="W25" t="str">
            <v>농업 부산물 활용과 비접촉식 용기개발 등 시장 요구성에 적합하며 개발 단계별 추진 전략도 양호하게 기술되었으며 경쟁력 비교 분석과 향후 마켓팅 전략 체계 수립도 양호가게 설정됨</v>
          </cell>
        </row>
        <row r="26">
          <cell r="B26">
            <v>20420970</v>
          </cell>
          <cell r="C26" t="str">
            <v>지역기반</v>
          </cell>
          <cell r="D26" t="str">
            <v>화공ㆍ섬유</v>
          </cell>
          <cell r="E26" t="str">
            <v>Zero-Sticky 왁싱 리페어 에센스</v>
          </cell>
          <cell r="F26" t="str">
            <v>0</v>
          </cell>
          <cell r="G26" t="str">
            <v>1</v>
          </cell>
          <cell r="H26" t="str">
            <v>초기</v>
          </cell>
          <cell r="I26" t="str">
            <v>청년</v>
          </cell>
          <cell r="J26">
            <v>0</v>
          </cell>
          <cell r="K26">
            <v>10</v>
          </cell>
          <cell r="L26">
            <v>9</v>
          </cell>
          <cell r="M26">
            <v>12</v>
          </cell>
          <cell r="N26">
            <v>14</v>
          </cell>
          <cell r="O26">
            <v>10</v>
          </cell>
          <cell r="P26">
            <v>9</v>
          </cell>
          <cell r="Q26">
            <v>14</v>
          </cell>
          <cell r="R26">
            <v>5</v>
          </cell>
          <cell r="S26">
            <v>83</v>
          </cell>
          <cell r="T26">
            <v>2</v>
          </cell>
          <cell r="U26">
            <v>85</v>
          </cell>
          <cell r="V26">
            <v>17</v>
          </cell>
          <cell r="W26" t="str">
            <v>부작용 대응 제품 개발로 시장성은 있으며 사전 임상 시험을 통한 검증이 진행되었고 대표의 역량으로 충분한 영업 진행이 가능한 것으로 판단됨.  부작용 대응 유사 제품의 분석과 시장에서의 대응 전략 수립이 다소 부족함</v>
          </cell>
        </row>
        <row r="27">
          <cell r="B27">
            <v>20425984</v>
          </cell>
          <cell r="C27" t="str">
            <v>지역기반</v>
          </cell>
          <cell r="D27" t="str">
            <v>화공ㆍ섬유</v>
          </cell>
          <cell r="E27" t="str">
            <v>수요는 있고 브랜드는 없는 율무 화장품의 글로벌 직진출 사업화</v>
          </cell>
          <cell r="F27" t="str">
            <v>1,759,756</v>
          </cell>
          <cell r="G27" t="str">
            <v>0</v>
          </cell>
          <cell r="H27" t="str">
            <v>초기</v>
          </cell>
          <cell r="I27" t="str">
            <v>청년</v>
          </cell>
          <cell r="J27">
            <v>0</v>
          </cell>
          <cell r="K27">
            <v>9</v>
          </cell>
          <cell r="L27">
            <v>9</v>
          </cell>
          <cell r="M27">
            <v>15</v>
          </cell>
          <cell r="N27">
            <v>15</v>
          </cell>
          <cell r="O27">
            <v>9</v>
          </cell>
          <cell r="P27">
            <v>9</v>
          </cell>
          <cell r="Q27">
            <v>14</v>
          </cell>
          <cell r="R27">
            <v>5</v>
          </cell>
          <cell r="S27">
            <v>85</v>
          </cell>
          <cell r="T27">
            <v>0</v>
          </cell>
          <cell r="U27">
            <v>85</v>
          </cell>
          <cell r="V27">
            <v>17</v>
          </cell>
          <cell r="W27" t="str">
            <v>특정 소재를 활용한 비건 화장품 개발로 현재 영업이 진행중이며 개발이 완료된 상태로 향후 영업 전략이 구체화되어 있고 기존 제품과의 차별성으로 시장 확장성도 높을 것으로 판단됨, 국내 유사 한국적 원료 제품 대비 시장 조사가 미흡하고 그에 따른 경쟁력 분석이 부족한 것으로 판단됨</v>
          </cell>
        </row>
        <row r="28">
          <cell r="B28">
            <v>20425558</v>
          </cell>
          <cell r="C28" t="str">
            <v>지역기반</v>
          </cell>
          <cell r="D28" t="str">
            <v>화공ㆍ섬유</v>
          </cell>
          <cell r="E28" t="str">
            <v>국내산 집성재의 이익극대화를 위한 상온 경화형 집성재 제조 공정 개발</v>
          </cell>
          <cell r="F28" t="str">
            <v>31,000,000</v>
          </cell>
          <cell r="G28" t="str">
            <v>1</v>
          </cell>
          <cell r="H28" t="str">
            <v>도약</v>
          </cell>
          <cell r="I28" t="str">
            <v>중장년</v>
          </cell>
          <cell r="J28">
            <v>0</v>
          </cell>
          <cell r="K28">
            <v>9</v>
          </cell>
          <cell r="L28">
            <v>9</v>
          </cell>
          <cell r="M28">
            <v>14</v>
          </cell>
          <cell r="N28">
            <v>14</v>
          </cell>
          <cell r="O28">
            <v>9</v>
          </cell>
          <cell r="P28">
            <v>10</v>
          </cell>
          <cell r="Q28">
            <v>14</v>
          </cell>
          <cell r="R28">
            <v>5</v>
          </cell>
          <cell r="S28">
            <v>84</v>
          </cell>
          <cell r="T28">
            <v>0</v>
          </cell>
          <cell r="U28">
            <v>84</v>
          </cell>
          <cell r="V28">
            <v>21</v>
          </cell>
          <cell r="W28" t="str">
            <v xml:space="preserve">집성재 경쟁력 확보를 위한 공정 개선 목적의 상온 접착제 및 경화제 개발은 시장의 필요성과 일치하며 필요한 기술로 판단됨.  기술적 난이도 및 중요성이 있고 시장성도 높은 것으로 판단되나 비교 물성 분석 및 사업화 전략이 다소 미흡한 것으로 판단됨. </v>
          </cell>
        </row>
        <row r="29">
          <cell r="B29">
            <v>20430515</v>
          </cell>
          <cell r="C29" t="str">
            <v>지역기반</v>
          </cell>
          <cell r="D29" t="str">
            <v>화공ㆍ섬유</v>
          </cell>
          <cell r="E29" t="str">
            <v>소재의 한지의 느낌을 살려 수묵화 등 한국 전통의 디자인을 적용한  글로벌 진출용 친환경(타이벡) 양산</v>
          </cell>
          <cell r="F29" t="str">
            <v>0</v>
          </cell>
          <cell r="G29" t="str">
            <v>0</v>
          </cell>
          <cell r="H29" t="str">
            <v>예비</v>
          </cell>
          <cell r="I29" t="str">
            <v>중장년</v>
          </cell>
          <cell r="J29">
            <v>0</v>
          </cell>
          <cell r="K29">
            <v>9</v>
          </cell>
          <cell r="L29">
            <v>9</v>
          </cell>
          <cell r="M29">
            <v>15</v>
          </cell>
          <cell r="N29">
            <v>14</v>
          </cell>
          <cell r="O29">
            <v>9</v>
          </cell>
          <cell r="P29">
            <v>8</v>
          </cell>
          <cell r="Q29">
            <v>15</v>
          </cell>
          <cell r="R29">
            <v>5</v>
          </cell>
          <cell r="S29">
            <v>84</v>
          </cell>
          <cell r="T29">
            <v>0</v>
          </cell>
          <cell r="U29">
            <v>84</v>
          </cell>
          <cell r="V29">
            <v>21</v>
          </cell>
          <cell r="W29" t="str">
            <v>타이벡 소재의 용도 확대 및 국내 제품화에 대한 개발방향은 긍정적이며 자체 기술 보유로 제품개발은 가능할 것으로 판단되나 중국산 유사 소재에 대한 대응전략 수립이 미흡하고 영업망에 대한 구체성이 부족함.</v>
          </cell>
        </row>
        <row r="30">
          <cell r="B30">
            <v>20427195</v>
          </cell>
          <cell r="C30" t="str">
            <v>지역기반</v>
          </cell>
          <cell r="D30" t="str">
            <v>화공ㆍ섬유</v>
          </cell>
          <cell r="E30" t="str">
            <v>제올라이트를 활용한 어싱길 포장재 개발</v>
          </cell>
          <cell r="F30" t="str">
            <v>86,000,000</v>
          </cell>
          <cell r="G30" t="str">
            <v>4</v>
          </cell>
          <cell r="H30" t="str">
            <v>초기</v>
          </cell>
          <cell r="I30" t="str">
            <v>청년</v>
          </cell>
          <cell r="J30">
            <v>0</v>
          </cell>
          <cell r="K30">
            <v>10</v>
          </cell>
          <cell r="L30">
            <v>10</v>
          </cell>
          <cell r="M30">
            <v>13</v>
          </cell>
          <cell r="N30">
            <v>13</v>
          </cell>
          <cell r="O30">
            <v>10</v>
          </cell>
          <cell r="P30">
            <v>8</v>
          </cell>
          <cell r="Q30">
            <v>15</v>
          </cell>
          <cell r="R30">
            <v>5</v>
          </cell>
          <cell r="S30">
            <v>84</v>
          </cell>
          <cell r="T30">
            <v>0</v>
          </cell>
          <cell r="U30">
            <v>84</v>
          </cell>
          <cell r="V30">
            <v>21</v>
          </cell>
          <cell r="W30" t="str">
            <v>개발제품의 신규성과 특이성이 있고 시장 요구성에 부합하는 부분은 있으나 제조 모방 방지 방안과 영업적 부분에서 관급 조달 및 민간 공급등에서도 경쟁력이 치열하므로 이에 대한 대응 방안이 구체화되어야 함</v>
          </cell>
        </row>
        <row r="31">
          <cell r="B31">
            <v>20401633</v>
          </cell>
          <cell r="C31" t="str">
            <v>지역기반</v>
          </cell>
          <cell r="D31" t="str">
            <v>화공ㆍ섬유</v>
          </cell>
          <cell r="E31" t="str">
            <v>수면 시간을 관리하는 수면 뷰티 솔루션 네루미인 제품 사업화</v>
          </cell>
          <cell r="F31" t="str">
            <v>20,000,000</v>
          </cell>
          <cell r="G31" t="str">
            <v>2</v>
          </cell>
          <cell r="H31" t="str">
            <v>도약</v>
          </cell>
          <cell r="I31" t="str">
            <v>청년</v>
          </cell>
          <cell r="J31">
            <v>0</v>
          </cell>
          <cell r="K31">
            <v>9</v>
          </cell>
          <cell r="L31">
            <v>9</v>
          </cell>
          <cell r="M31">
            <v>14</v>
          </cell>
          <cell r="N31">
            <v>15</v>
          </cell>
          <cell r="O31">
            <v>9</v>
          </cell>
          <cell r="P31">
            <v>9</v>
          </cell>
          <cell r="Q31">
            <v>14</v>
          </cell>
          <cell r="R31">
            <v>5</v>
          </cell>
          <cell r="S31">
            <v>84</v>
          </cell>
          <cell r="T31">
            <v>0</v>
          </cell>
          <cell r="U31">
            <v>84</v>
          </cell>
          <cell r="V31">
            <v>21</v>
          </cell>
          <cell r="W31" t="str">
            <v xml:space="preserve">개발 제품의 특이성이 있고 잠재적 시장성과 제품 설계 기술의 필요성 등 제품화에 대한 난이도는 높은 것으로 판단됨. 제품의 컨셉 및 성능 대비 사업화 전략의 다소 미흡하여 시장 확장성에 대한 비젼 제시가 부족한 것으로 판단됨. </v>
          </cell>
        </row>
        <row r="32">
          <cell r="B32">
            <v>20412068</v>
          </cell>
          <cell r="C32" t="str">
            <v>지역기반</v>
          </cell>
          <cell r="D32" t="str">
            <v>화공ㆍ섬유</v>
          </cell>
          <cell r="E32" t="str">
            <v>계면활성제 10% 이하 초저계면 세정 기술이 적용된  탄산 마이크로버블 브랜드 ‘beurth’ 양산화 및 글로벌(아마존) 스케일업</v>
          </cell>
          <cell r="F32" t="str">
            <v>209,000,000</v>
          </cell>
          <cell r="G32" t="str">
            <v>3</v>
          </cell>
          <cell r="H32" t="str">
            <v>도약</v>
          </cell>
          <cell r="I32" t="str">
            <v>청년</v>
          </cell>
          <cell r="J32">
            <v>0</v>
          </cell>
          <cell r="K32">
            <v>9</v>
          </cell>
          <cell r="L32">
            <v>9</v>
          </cell>
          <cell r="M32">
            <v>14</v>
          </cell>
          <cell r="N32">
            <v>15</v>
          </cell>
          <cell r="O32">
            <v>9</v>
          </cell>
          <cell r="P32">
            <v>9</v>
          </cell>
          <cell r="Q32">
            <v>14</v>
          </cell>
          <cell r="R32">
            <v>5</v>
          </cell>
          <cell r="S32">
            <v>84</v>
          </cell>
          <cell r="T32">
            <v>0</v>
          </cell>
          <cell r="U32">
            <v>84</v>
          </cell>
          <cell r="V32">
            <v>21</v>
          </cell>
          <cell r="W32" t="str">
            <v>고함량 계면활성제 화장품의 개선 제품으로 제품 및 개발 기술의 노하우가 있고 시장에 대한 제품성도 있을 것으로 판단되나 제품성에 대한 사전 검증 및 실질적 시장 조사 자료는 다소 부족한 것으로 보임</v>
          </cell>
        </row>
        <row r="33">
          <cell r="B33">
            <v>20417598</v>
          </cell>
          <cell r="C33" t="str">
            <v>지역기반</v>
          </cell>
          <cell r="D33" t="str">
            <v>화공ㆍ섬유</v>
          </cell>
          <cell r="E33" t="str">
            <v>편리한 위생관리를 위한 건조형 음식물처리기 전용세제</v>
          </cell>
          <cell r="F33" t="str">
            <v>0</v>
          </cell>
          <cell r="G33" t="str">
            <v>0</v>
          </cell>
          <cell r="H33" t="str">
            <v>초기</v>
          </cell>
          <cell r="I33" t="str">
            <v>청년</v>
          </cell>
          <cell r="J33">
            <v>0</v>
          </cell>
          <cell r="K33">
            <v>9</v>
          </cell>
          <cell r="L33">
            <v>9</v>
          </cell>
          <cell r="M33">
            <v>14</v>
          </cell>
          <cell r="N33">
            <v>14</v>
          </cell>
          <cell r="O33">
            <v>9</v>
          </cell>
          <cell r="P33">
            <v>9</v>
          </cell>
          <cell r="Q33">
            <v>14</v>
          </cell>
          <cell r="R33">
            <v>5</v>
          </cell>
          <cell r="S33">
            <v>83</v>
          </cell>
          <cell r="T33">
            <v>0</v>
          </cell>
          <cell r="U33">
            <v>83</v>
          </cell>
          <cell r="V33">
            <v>26</v>
          </cell>
          <cell r="W33" t="str">
            <v>소비자의 요구방향과 실제적 검증을 통한 제품 개발이 진행되었고 실질적 사용이 가능하여 기존 시장 진입이 용이한 아이템으로 판단됨.  제품 개발의 방향은 명확하나 영업 전략의 구체성이 미흡함</v>
          </cell>
        </row>
        <row r="34">
          <cell r="B34">
            <v>20408072</v>
          </cell>
          <cell r="C34" t="str">
            <v>지역기반</v>
          </cell>
          <cell r="D34" t="str">
            <v>화공ㆍ섬유</v>
          </cell>
          <cell r="E34" t="str">
            <v>수면·휴식 케어를 위한 수출형 맞춤 웰니스 K-뷰티 아로마 롤온&amp;룸·필로우 스프레이</v>
          </cell>
          <cell r="F34" t="str">
            <v>0</v>
          </cell>
          <cell r="G34" t="str">
            <v>0</v>
          </cell>
          <cell r="H34" t="str">
            <v>예비</v>
          </cell>
          <cell r="I34" t="str">
            <v>청년</v>
          </cell>
          <cell r="J34">
            <v>0</v>
          </cell>
          <cell r="K34">
            <v>9</v>
          </cell>
          <cell r="L34">
            <v>9</v>
          </cell>
          <cell r="M34">
            <v>14</v>
          </cell>
          <cell r="N34">
            <v>13</v>
          </cell>
          <cell r="O34">
            <v>9</v>
          </cell>
          <cell r="P34">
            <v>9</v>
          </cell>
          <cell r="Q34">
            <v>13</v>
          </cell>
          <cell r="R34">
            <v>5</v>
          </cell>
          <cell r="S34">
            <v>81</v>
          </cell>
          <cell r="T34">
            <v>2</v>
          </cell>
          <cell r="U34">
            <v>83</v>
          </cell>
          <cell r="V34">
            <v>26</v>
          </cell>
          <cell r="W34" t="str">
            <v>대표의 역량이 높고 관련 시장 조사 및 분석이 우수하며 향후 시장 진입력이 높을 것으로 평가되나 영업 확장성이 낮아 지속적 성장에 대한 대응 전략이 미흡함</v>
          </cell>
        </row>
        <row r="35">
          <cell r="B35">
            <v>20432239</v>
          </cell>
          <cell r="C35" t="str">
            <v>지역기반</v>
          </cell>
          <cell r="D35" t="str">
            <v>화공ㆍ섬유</v>
          </cell>
          <cell r="E35" t="str">
            <v>플라스틱 업사이클링 기술이 적용된 셀프케어 기능의 홈 퍼머넌트 키트</v>
          </cell>
          <cell r="F35" t="str">
            <v>0</v>
          </cell>
          <cell r="G35" t="str">
            <v>0</v>
          </cell>
          <cell r="H35" t="str">
            <v>예비</v>
          </cell>
          <cell r="I35" t="str">
            <v>청년</v>
          </cell>
          <cell r="J35">
            <v>0</v>
          </cell>
          <cell r="K35">
            <v>9</v>
          </cell>
          <cell r="L35">
            <v>9</v>
          </cell>
          <cell r="M35">
            <v>14</v>
          </cell>
          <cell r="N35">
            <v>14</v>
          </cell>
          <cell r="O35">
            <v>9</v>
          </cell>
          <cell r="P35">
            <v>9</v>
          </cell>
          <cell r="Q35">
            <v>14</v>
          </cell>
          <cell r="R35">
            <v>5</v>
          </cell>
          <cell r="S35">
            <v>83</v>
          </cell>
          <cell r="T35">
            <v>0</v>
          </cell>
          <cell r="U35">
            <v>83</v>
          </cell>
          <cell r="V35">
            <v>26</v>
          </cell>
          <cell r="W35" t="str">
            <v>소비자의 불편을 해소하고 폐플라스틱 활용 등 친환경 트렌드에 병합하고 시장 요구에 대한 분석이 양호하게 진행되었슴. 제조사와의 협업은 완료되었으나 공급체와의  협업 구체성이 미흡하여 단기간 매출에 대한 기대치가 낮음</v>
          </cell>
        </row>
        <row r="36">
          <cell r="B36">
            <v>20421385</v>
          </cell>
          <cell r="C36" t="str">
            <v>지역기반</v>
          </cell>
          <cell r="D36" t="str">
            <v>화공ㆍ섬유</v>
          </cell>
          <cell r="E36" t="str">
            <v>분자증류를 이용한 전자재료용 고순도 Special Chemicals 제조 (Total 8종)</v>
          </cell>
          <cell r="F36" t="str">
            <v>0</v>
          </cell>
          <cell r="G36" t="str">
            <v>0</v>
          </cell>
          <cell r="H36" t="str">
            <v>예비</v>
          </cell>
          <cell r="I36" t="str">
            <v>중장년</v>
          </cell>
          <cell r="J36">
            <v>0</v>
          </cell>
          <cell r="K36">
            <v>8</v>
          </cell>
          <cell r="L36">
            <v>10</v>
          </cell>
          <cell r="M36">
            <v>15</v>
          </cell>
          <cell r="N36">
            <v>15</v>
          </cell>
          <cell r="O36">
            <v>8</v>
          </cell>
          <cell r="P36">
            <v>7</v>
          </cell>
          <cell r="Q36">
            <v>15</v>
          </cell>
          <cell r="R36">
            <v>5</v>
          </cell>
          <cell r="S36">
            <v>83</v>
          </cell>
          <cell r="T36">
            <v>0</v>
          </cell>
          <cell r="U36">
            <v>83</v>
          </cell>
          <cell r="V36">
            <v>26</v>
          </cell>
          <cell r="W36" t="str">
            <v xml:space="preserve">대표와 조직원의 역량이 높고 개발 제품의 필요성과 대체 수요는 있으나 수요기업의 검증 기간이 길어 단시간 매출 발생이 어려울 것으로 판단됨 </v>
          </cell>
        </row>
        <row r="37">
          <cell r="B37">
            <v>20400362</v>
          </cell>
          <cell r="C37" t="str">
            <v>지역기반</v>
          </cell>
          <cell r="D37" t="str">
            <v>화공ㆍ섬유</v>
          </cell>
          <cell r="E37" t="str">
            <v>고기능성 반려견 퀵-레이스 하네스</v>
          </cell>
          <cell r="F37" t="str">
            <v>1,600</v>
          </cell>
          <cell r="G37" t="str">
            <v>1</v>
          </cell>
          <cell r="H37" t="str">
            <v>초기</v>
          </cell>
          <cell r="I37" t="str">
            <v>청년</v>
          </cell>
          <cell r="J37">
            <v>0</v>
          </cell>
          <cell r="K37">
            <v>9</v>
          </cell>
          <cell r="L37">
            <v>9</v>
          </cell>
          <cell r="M37">
            <v>13</v>
          </cell>
          <cell r="N37">
            <v>15</v>
          </cell>
          <cell r="O37">
            <v>9</v>
          </cell>
          <cell r="P37">
            <v>8</v>
          </cell>
          <cell r="Q37">
            <v>15</v>
          </cell>
          <cell r="R37">
            <v>5</v>
          </cell>
          <cell r="S37">
            <v>83</v>
          </cell>
          <cell r="T37">
            <v>0</v>
          </cell>
          <cell r="U37">
            <v>83</v>
          </cell>
          <cell r="V37">
            <v>26</v>
          </cell>
          <cell r="W37" t="str">
            <v>하네스 디자인 기술로 유사 제품과의 차별성 확보로 시장성 검토는 양호하게 이우러졌고 영업 전략 구성은 제시되었으나 최종 매출 연계에 대한 전략의 구체성이 부족하고 구체화된 공급처 제시가 없어 매출 확보 검증이 어려움</v>
          </cell>
        </row>
        <row r="38">
          <cell r="B38">
            <v>20417321</v>
          </cell>
          <cell r="C38" t="str">
            <v>지역기반</v>
          </cell>
          <cell r="D38" t="str">
            <v>화공ㆍ섬유</v>
          </cell>
          <cell r="E38" t="str">
            <v>롤러형먼지크리너겸용방충포집기</v>
          </cell>
          <cell r="F38" t="str">
            <v>10,880,000</v>
          </cell>
          <cell r="G38" t="str">
            <v>0</v>
          </cell>
          <cell r="H38" t="str">
            <v>초기</v>
          </cell>
          <cell r="I38" t="str">
            <v>중장년</v>
          </cell>
          <cell r="J38">
            <v>0</v>
          </cell>
          <cell r="K38">
            <v>9</v>
          </cell>
          <cell r="L38">
            <v>9</v>
          </cell>
          <cell r="M38">
            <v>13</v>
          </cell>
          <cell r="N38">
            <v>14</v>
          </cell>
          <cell r="O38">
            <v>10</v>
          </cell>
          <cell r="P38">
            <v>9</v>
          </cell>
          <cell r="Q38">
            <v>14</v>
          </cell>
          <cell r="R38">
            <v>5</v>
          </cell>
          <cell r="S38">
            <v>83</v>
          </cell>
          <cell r="T38">
            <v>0</v>
          </cell>
          <cell r="U38">
            <v>83</v>
          </cell>
          <cell r="V38">
            <v>26</v>
          </cell>
          <cell r="W38" t="str">
            <v>신규성 있는 제품개발로 생활 편의성 및 적용 용이성이 있고 현제 완제품 전환 단계로 단기적 성과가 예상됨. 개발제품과 사업성의 연계성도 양호하나 기술 보호를 위한 지적 재산권 확보가 조속히 요구됨.</v>
          </cell>
        </row>
        <row r="39">
          <cell r="B39">
            <v>20422688</v>
          </cell>
          <cell r="C39" t="str">
            <v>지역기반</v>
          </cell>
          <cell r="D39" t="str">
            <v>화공ㆍ섬유</v>
          </cell>
          <cell r="E39" t="str">
            <v>산업현장 지속가능성 강화를 위한 업사이클 섬유, 모듈형 설계 기술을 활용한 다기능 워크웨어 서비스</v>
          </cell>
          <cell r="F39" t="str">
            <v>130,000,000</v>
          </cell>
          <cell r="G39" t="str">
            <v>0</v>
          </cell>
          <cell r="H39" t="str">
            <v>초기</v>
          </cell>
          <cell r="I39" t="str">
            <v>중장년</v>
          </cell>
          <cell r="J39">
            <v>0</v>
          </cell>
          <cell r="K39">
            <v>9</v>
          </cell>
          <cell r="L39">
            <v>9</v>
          </cell>
          <cell r="M39">
            <v>14</v>
          </cell>
          <cell r="N39">
            <v>14</v>
          </cell>
          <cell r="O39">
            <v>9</v>
          </cell>
          <cell r="P39">
            <v>9</v>
          </cell>
          <cell r="Q39">
            <v>14</v>
          </cell>
          <cell r="R39">
            <v>5</v>
          </cell>
          <cell r="S39">
            <v>83</v>
          </cell>
          <cell r="T39">
            <v>0</v>
          </cell>
          <cell r="U39">
            <v>83</v>
          </cell>
          <cell r="V39">
            <v>26</v>
          </cell>
          <cell r="W39" t="str">
            <v xml:space="preserve">산업용 작업복의 부분 재활용을 통한 폐기물 절감 효과와 비용 절감에 대한 효과는 높으나 모듈형 디자인에 대한 불편함과 실제적 사용 검증이 미흡하고 제품 개발 뿐아니라 수선 보수 업체와의 연계성 및 전반적 영업 카테고리에 대한 분석이 필요할 것으로 판단됨. </v>
          </cell>
        </row>
        <row r="40">
          <cell r="B40">
            <v>20428424</v>
          </cell>
          <cell r="C40" t="str">
            <v>지역기반</v>
          </cell>
          <cell r="D40" t="str">
            <v>화공ㆍ섬유</v>
          </cell>
          <cell r="E40" t="str">
            <v>다층 압축 기술이 적용된 일상의 샤워를 특별하게 만드는 샤워 향기 태블릿, '딘트 샤워팝'</v>
          </cell>
          <cell r="F40" t="str">
            <v>28,000,000</v>
          </cell>
          <cell r="G40" t="str">
            <v>0</v>
          </cell>
          <cell r="H40" t="str">
            <v>초기</v>
          </cell>
          <cell r="I40" t="str">
            <v>청년</v>
          </cell>
          <cell r="J40">
            <v>0</v>
          </cell>
          <cell r="K40">
            <v>9</v>
          </cell>
          <cell r="L40">
            <v>9</v>
          </cell>
          <cell r="M40">
            <v>14</v>
          </cell>
          <cell r="N40">
            <v>14</v>
          </cell>
          <cell r="O40">
            <v>9</v>
          </cell>
          <cell r="P40">
            <v>9</v>
          </cell>
          <cell r="Q40">
            <v>14</v>
          </cell>
          <cell r="R40">
            <v>5</v>
          </cell>
          <cell r="S40">
            <v>83</v>
          </cell>
          <cell r="T40">
            <v>0</v>
          </cell>
          <cell r="U40">
            <v>83</v>
          </cell>
          <cell r="V40">
            <v>26</v>
          </cell>
          <cell r="W40" t="str">
            <v>개발 제품의 특이성과 기술적 차별성이 있으며 틈새 시장에 대한 시장 요구성도 있을 것으로 판단되며 시장 진입 및 사업화 전략도 양호하게 제기되어 있으나 유사 제품에 대한 방어 전략이 다소 미흡한 것으로 판단됨</v>
          </cell>
        </row>
        <row r="41">
          <cell r="B41">
            <v>20432665</v>
          </cell>
          <cell r="C41" t="str">
            <v>지역기반</v>
          </cell>
          <cell r="D41" t="str">
            <v>화공ㆍ섬유</v>
          </cell>
          <cell r="E41" t="str">
            <v>워크웨어의 진화에 맞춘 툴벨트의 세대교체, 모듈러 테크기어 ‘T.C.R.P.’</v>
          </cell>
          <cell r="F41" t="str">
            <v>0</v>
          </cell>
          <cell r="G41" t="str">
            <v>0</v>
          </cell>
          <cell r="H41" t="str">
            <v>예비</v>
          </cell>
          <cell r="I41" t="str">
            <v>청년</v>
          </cell>
          <cell r="J41">
            <v>0</v>
          </cell>
          <cell r="K41">
            <v>8</v>
          </cell>
          <cell r="L41">
            <v>9</v>
          </cell>
          <cell r="M41">
            <v>15</v>
          </cell>
          <cell r="N41">
            <v>14</v>
          </cell>
          <cell r="O41">
            <v>9</v>
          </cell>
          <cell r="P41">
            <v>8</v>
          </cell>
          <cell r="Q41">
            <v>14</v>
          </cell>
          <cell r="R41">
            <v>5</v>
          </cell>
          <cell r="S41">
            <v>82</v>
          </cell>
          <cell r="T41">
            <v>0</v>
          </cell>
          <cell r="U41">
            <v>82</v>
          </cell>
          <cell r="V41">
            <v>34</v>
          </cell>
          <cell r="W41" t="str">
            <v>시장의 필요성이 높고 작업자의 편의성과 안정성을 위한 제품 설계 기술이 확보된 것으로 판단되며 기존 해외 제품대비 경쟁력 확보가 된 것으로 판단됨.  시장 특성상 영업 난이성과 이에 대한 대응전략이 다소 부족함</v>
          </cell>
        </row>
        <row r="42">
          <cell r="B42">
            <v>20406503</v>
          </cell>
          <cell r="C42" t="str">
            <v>지역기반</v>
          </cell>
          <cell r="D42" t="str">
            <v>화공ㆍ섬유</v>
          </cell>
          <cell r="E42" t="str">
            <v>친환경 생분해 소재 기반 HDPE(High-Density Polyethylene) 대체용  탄소절감, 빗물 재활용, 수목 성장촉진을 위한 수목통 기관 설계 개발</v>
          </cell>
          <cell r="F42" t="str">
            <v>210,000,000</v>
          </cell>
          <cell r="G42" t="str">
            <v>2</v>
          </cell>
          <cell r="H42" t="str">
            <v>초기</v>
          </cell>
          <cell r="I42" t="str">
            <v>중장년</v>
          </cell>
          <cell r="J42">
            <v>0</v>
          </cell>
          <cell r="K42">
            <v>9</v>
          </cell>
          <cell r="L42">
            <v>8</v>
          </cell>
          <cell r="M42">
            <v>14</v>
          </cell>
          <cell r="N42">
            <v>14</v>
          </cell>
          <cell r="O42">
            <v>9</v>
          </cell>
          <cell r="P42">
            <v>9</v>
          </cell>
          <cell r="Q42">
            <v>14</v>
          </cell>
          <cell r="R42">
            <v>5</v>
          </cell>
          <cell r="S42">
            <v>82</v>
          </cell>
          <cell r="T42">
            <v>0</v>
          </cell>
          <cell r="U42">
            <v>82</v>
          </cell>
          <cell r="V42">
            <v>34</v>
          </cell>
          <cell r="W42" t="str">
            <v>적용 소재의 특이성과 친환경 제품에 대한 의의 및 소재 적용 기술의 난이성 등 기존 제품에 대한 대체 효과는 있으나 경쟁력 비교 및 제품화를 위한 구체적 매출 전략이 미흡함</v>
          </cell>
        </row>
        <row r="43">
          <cell r="B43">
            <v>20422094</v>
          </cell>
          <cell r="C43" t="str">
            <v>지역기반</v>
          </cell>
          <cell r="D43" t="str">
            <v>화공ㆍ섬유</v>
          </cell>
          <cell r="E43" t="str">
            <v>피부를 숨기지 않아도 되는 안심 베이스</v>
          </cell>
          <cell r="F43" t="str">
            <v>150,000,000</v>
          </cell>
          <cell r="G43" t="str">
            <v>1</v>
          </cell>
          <cell r="H43" t="str">
            <v>초기</v>
          </cell>
          <cell r="I43" t="str">
            <v>청년</v>
          </cell>
          <cell r="J43">
            <v>0</v>
          </cell>
          <cell r="K43">
            <v>9</v>
          </cell>
          <cell r="L43">
            <v>9</v>
          </cell>
          <cell r="M43">
            <v>13</v>
          </cell>
          <cell r="N43">
            <v>14</v>
          </cell>
          <cell r="O43">
            <v>9</v>
          </cell>
          <cell r="P43">
            <v>9</v>
          </cell>
          <cell r="Q43">
            <v>14</v>
          </cell>
          <cell r="R43">
            <v>5</v>
          </cell>
          <cell r="S43">
            <v>82</v>
          </cell>
          <cell r="T43">
            <v>0</v>
          </cell>
          <cell r="U43">
            <v>82</v>
          </cell>
          <cell r="V43">
            <v>34</v>
          </cell>
          <cell r="W43" t="str">
            <v>민감성 피부 대응 제품으로 대기업 회피 제품군으로 개발하는 전략과 이미 판매가 진행되고 있어 영업 확장성은 높을 것으로 판단되나 OEM 기반의 제품 독점성 확보 방안과 지속적 개발 역량에 대한 방안 제시가 미흡함</v>
          </cell>
        </row>
        <row r="44">
          <cell r="B44">
            <v>20426725</v>
          </cell>
          <cell r="C44" t="str">
            <v>지역기반</v>
          </cell>
          <cell r="D44" t="str">
            <v>화공ㆍ섬유</v>
          </cell>
          <cell r="E44" t="str">
            <v>농산 폐기물(유자 폐껍질·잣송이 외피) 업사이클링 원료 기반의 멘톨·유칼립투스 완전 배제 영유아·민감성 체질 안심 비염 완화 밤 '숲결'</v>
          </cell>
          <cell r="F44" t="str">
            <v>0</v>
          </cell>
          <cell r="G44" t="str">
            <v>1</v>
          </cell>
          <cell r="H44" t="str">
            <v>초기</v>
          </cell>
          <cell r="I44" t="str">
            <v>청년</v>
          </cell>
          <cell r="J44">
            <v>0</v>
          </cell>
          <cell r="K44">
            <v>9</v>
          </cell>
          <cell r="L44">
            <v>9</v>
          </cell>
          <cell r="M44">
            <v>13</v>
          </cell>
          <cell r="N44">
            <v>14</v>
          </cell>
          <cell r="O44">
            <v>9</v>
          </cell>
          <cell r="P44">
            <v>9</v>
          </cell>
          <cell r="Q44">
            <v>14</v>
          </cell>
          <cell r="R44">
            <v>5</v>
          </cell>
          <cell r="S44">
            <v>82</v>
          </cell>
          <cell r="T44">
            <v>0</v>
          </cell>
          <cell r="U44">
            <v>82</v>
          </cell>
          <cell r="V44">
            <v>34</v>
          </cell>
          <cell r="W44" t="str">
            <v>기존 안정성 문제 제품에 대응한 제품 개발로 의미가 있으나 영업에 있어서 관련 제품의 안정성에 대한 소비자의 인지도 부족과 개발 제품의 판매를 위한 마켓팅 기간의 장기화가 필요할 것으로 판단되며 개발자의 마켓팅 역량은 있으나 제품 개발과 판매 연계까지의 수직적 체계의 단기화 전략이 필요할 것으로 판단됨.</v>
          </cell>
        </row>
        <row r="45">
          <cell r="B45">
            <v>20428180</v>
          </cell>
          <cell r="C45" t="str">
            <v>지역기반</v>
          </cell>
          <cell r="D45" t="str">
            <v>화공ㆍ섬유</v>
          </cell>
          <cell r="E45" t="str">
            <v>소각되는 우유팩을 고부가가치 ‘비건 레더’로 재탄생시켜, 공공기관의녹색제품 구매 딜레마를 해결하는 ‘실속형 ESG 오피스 키트’ 제품</v>
          </cell>
          <cell r="F45" t="str">
            <v>50,000,000</v>
          </cell>
          <cell r="G45" t="str">
            <v>1</v>
          </cell>
          <cell r="H45" t="str">
            <v>초기</v>
          </cell>
          <cell r="I45" t="str">
            <v>청년</v>
          </cell>
          <cell r="J45">
            <v>0</v>
          </cell>
          <cell r="K45">
            <v>10</v>
          </cell>
          <cell r="L45">
            <v>8</v>
          </cell>
          <cell r="M45">
            <v>14</v>
          </cell>
          <cell r="N45">
            <v>14</v>
          </cell>
          <cell r="O45">
            <v>9</v>
          </cell>
          <cell r="P45">
            <v>8</v>
          </cell>
          <cell r="Q45">
            <v>14</v>
          </cell>
          <cell r="R45">
            <v>5</v>
          </cell>
          <cell r="S45">
            <v>82</v>
          </cell>
          <cell r="T45">
            <v>0</v>
          </cell>
          <cell r="U45">
            <v>82</v>
          </cell>
          <cell r="V45">
            <v>34</v>
          </cell>
          <cell r="W45" t="str">
            <v>폐자원 활용 및 친환경 제품 개발로 기존 제품과의 차별성과 기술적 역량이 있는 것으로 판단되나 개발 제품의 성능 평가 및 경쟁 제품에 대한 비교 분석 자료가 부족함.  조달 및 친환경 선호 수요처에 대한 영업력 확대는 가능할 것으로 판단됨.</v>
          </cell>
        </row>
        <row r="46">
          <cell r="B46">
            <v>20429506</v>
          </cell>
          <cell r="C46" t="str">
            <v>지역기반</v>
          </cell>
          <cell r="D46" t="str">
            <v>화공ㆍ섬유</v>
          </cell>
          <cell r="E46" t="str">
            <v>멜라노사이트 표적 리포좀 기술이 적용된 임산부 색소침착 개선 기능을 제공하는 피트산 리포좀 립 마스크</v>
          </cell>
          <cell r="F46" t="str">
            <v>20,995,197</v>
          </cell>
          <cell r="G46" t="str">
            <v>0</v>
          </cell>
          <cell r="H46" t="str">
            <v>초기</v>
          </cell>
          <cell r="I46" t="str">
            <v>청년</v>
          </cell>
          <cell r="J46">
            <v>0</v>
          </cell>
          <cell r="K46">
            <v>9</v>
          </cell>
          <cell r="L46">
            <v>9</v>
          </cell>
          <cell r="M46">
            <v>14</v>
          </cell>
          <cell r="N46">
            <v>14</v>
          </cell>
          <cell r="O46">
            <v>9</v>
          </cell>
          <cell r="P46">
            <v>9</v>
          </cell>
          <cell r="Q46">
            <v>13</v>
          </cell>
          <cell r="R46">
            <v>5</v>
          </cell>
          <cell r="S46">
            <v>82</v>
          </cell>
          <cell r="T46">
            <v>0</v>
          </cell>
          <cell r="U46">
            <v>82</v>
          </cell>
          <cell r="V46">
            <v>34</v>
          </cell>
          <cell r="W46" t="str">
            <v xml:space="preserve">기존 미백 성분 대비 저자극성 성분을 이용한 신규성 제품 개발로  시장 수요 규모가 전체 시장 대비 작으나 시장성은 충분할 것으로 판단됨.  향후 사업화를 위한 투자 유치 및 사업화 조달 계획의 명확한 근거가 다소 부족함. </v>
          </cell>
        </row>
        <row r="47">
          <cell r="B47">
            <v>20417179</v>
          </cell>
          <cell r="C47" t="str">
            <v>지역기반</v>
          </cell>
          <cell r="D47" t="str">
            <v>화공ㆍ섬유</v>
          </cell>
          <cell r="E47" t="str">
            <v>VOCs 저감 및 재활용 분리가 가능한 무접착 열라미네이팅 기반 친환경 합지소재 기술개발</v>
          </cell>
          <cell r="F47" t="str">
            <v>30,000,000</v>
          </cell>
          <cell r="G47" t="str">
            <v>1</v>
          </cell>
          <cell r="H47" t="str">
            <v>도약</v>
          </cell>
          <cell r="I47" t="str">
            <v>중장년</v>
          </cell>
          <cell r="J47">
            <v>0</v>
          </cell>
          <cell r="K47">
            <v>10</v>
          </cell>
          <cell r="L47">
            <v>9</v>
          </cell>
          <cell r="M47">
            <v>13</v>
          </cell>
          <cell r="N47">
            <v>13</v>
          </cell>
          <cell r="O47">
            <v>9</v>
          </cell>
          <cell r="P47">
            <v>9</v>
          </cell>
          <cell r="Q47">
            <v>14</v>
          </cell>
          <cell r="R47">
            <v>5</v>
          </cell>
          <cell r="S47">
            <v>82</v>
          </cell>
          <cell r="T47">
            <v>0</v>
          </cell>
          <cell r="U47">
            <v>82</v>
          </cell>
          <cell r="V47">
            <v>34</v>
          </cell>
          <cell r="W47" t="str">
            <v>목표 제품의 분리 용이에 대한 활용도가 높은 반면  열접착에 의한 사용상의 문제점에 대한 고찰 및 기존 접착제 적용 제품과의 성능 비교 분석 및 사전 현장 시험 자료가 부족하여 실질적 사업성에 대한 검증이 어려움</v>
          </cell>
        </row>
        <row r="48">
          <cell r="B48">
            <v>20420487</v>
          </cell>
          <cell r="C48" t="str">
            <v>지역기반</v>
          </cell>
          <cell r="D48" t="str">
            <v>화공ㆍ섬유</v>
          </cell>
          <cell r="E48" t="str">
            <v>업사이클링 천연 원료 기반 복합 기능 조성물 기술을 적용한 문제성 발톱 관리 제품</v>
          </cell>
          <cell r="F48" t="str">
            <v>0</v>
          </cell>
          <cell r="G48" t="str">
            <v>0</v>
          </cell>
          <cell r="H48" t="str">
            <v>예비</v>
          </cell>
          <cell r="I48" t="str">
            <v>청년</v>
          </cell>
          <cell r="J48">
            <v>0</v>
          </cell>
          <cell r="K48">
            <v>8</v>
          </cell>
          <cell r="L48">
            <v>9</v>
          </cell>
          <cell r="M48">
            <v>13</v>
          </cell>
          <cell r="N48">
            <v>14</v>
          </cell>
          <cell r="O48">
            <v>9</v>
          </cell>
          <cell r="P48">
            <v>9</v>
          </cell>
          <cell r="Q48">
            <v>14</v>
          </cell>
          <cell r="R48">
            <v>5</v>
          </cell>
          <cell r="S48">
            <v>81</v>
          </cell>
          <cell r="T48">
            <v>0</v>
          </cell>
          <cell r="U48">
            <v>81</v>
          </cell>
          <cell r="V48">
            <v>41</v>
          </cell>
          <cell r="W48" t="str">
            <v>생활형 발톱관리 예방체계 확보의 의미가 있는 제품개발로 고객 요구에 대응할 수있고 시장 선점성도 있을 것으로 판단됨.  단, 검증 시간과 효과에 대한 선행 시험 및 분석 자료가 미흡함</v>
          </cell>
        </row>
        <row r="49">
          <cell r="B49">
            <v>20409574</v>
          </cell>
          <cell r="C49" t="str">
            <v>지역기반</v>
          </cell>
          <cell r="D49" t="str">
            <v>화공ㆍ섬유</v>
          </cell>
          <cell r="E49" t="str">
            <v>고온 공정 RTD의 원물 풍미 손실을 개선하는 저온 블렌딩 기반 국산 원물 클린라벨 RTD 과일티 개발</v>
          </cell>
          <cell r="F49" t="str">
            <v>0</v>
          </cell>
          <cell r="G49" t="str">
            <v>0</v>
          </cell>
          <cell r="H49" t="str">
            <v>예비</v>
          </cell>
          <cell r="I49" t="str">
            <v>청년</v>
          </cell>
          <cell r="J49">
            <v>0</v>
          </cell>
          <cell r="K49">
            <v>9</v>
          </cell>
          <cell r="L49">
            <v>9</v>
          </cell>
          <cell r="M49">
            <v>15</v>
          </cell>
          <cell r="N49">
            <v>14</v>
          </cell>
          <cell r="O49">
            <v>8</v>
          </cell>
          <cell r="P49">
            <v>8</v>
          </cell>
          <cell r="Q49">
            <v>11</v>
          </cell>
          <cell r="R49">
            <v>5</v>
          </cell>
          <cell r="S49">
            <v>79</v>
          </cell>
          <cell r="T49">
            <v>2</v>
          </cell>
          <cell r="U49">
            <v>81</v>
          </cell>
          <cell r="V49">
            <v>41</v>
          </cell>
          <cell r="W49" t="str">
            <v>선행조사를 통한 제품성 확인 및 시장조사가 양호하고 제품의 차별성이 있어 시장적용성이 있을 것으로 판단됨</v>
          </cell>
        </row>
        <row r="50">
          <cell r="B50">
            <v>20412478</v>
          </cell>
          <cell r="C50" t="str">
            <v>지역기반</v>
          </cell>
          <cell r="D50" t="str">
            <v>화공ㆍ섬유</v>
          </cell>
          <cell r="E50" t="str">
            <v>업사이클링 원료 기반, 1030 트러블 케어 ‘1회분 스틱 파우더 팩’ · ‘10초 바디 진정 미스트’ 세트 개발 및 국내 버티컬 플랫폼 상용화</v>
          </cell>
          <cell r="F50" t="str">
            <v>0</v>
          </cell>
          <cell r="G50" t="str">
            <v>0</v>
          </cell>
          <cell r="H50" t="str">
            <v>예비</v>
          </cell>
          <cell r="I50" t="str">
            <v>청년</v>
          </cell>
          <cell r="J50">
            <v>0</v>
          </cell>
          <cell r="K50">
            <v>9</v>
          </cell>
          <cell r="L50">
            <v>9</v>
          </cell>
          <cell r="M50">
            <v>16</v>
          </cell>
          <cell r="N50">
            <v>14</v>
          </cell>
          <cell r="O50">
            <v>7</v>
          </cell>
          <cell r="P50">
            <v>7</v>
          </cell>
          <cell r="Q50">
            <v>14</v>
          </cell>
          <cell r="R50">
            <v>5</v>
          </cell>
          <cell r="S50">
            <v>81</v>
          </cell>
          <cell r="T50">
            <v>0</v>
          </cell>
          <cell r="U50">
            <v>81</v>
          </cell>
          <cell r="V50">
            <v>41</v>
          </cell>
          <cell r="W50" t="str">
            <v>시장 필요성에 맞는 제품개발로 천연성분에 대한 친화성은 있으나 제품의 지속성과 보관 내구성에 대한 분석내용이 부족함</v>
          </cell>
        </row>
        <row r="51">
          <cell r="B51">
            <v>20418712</v>
          </cell>
          <cell r="C51" t="str">
            <v>지역기반</v>
          </cell>
          <cell r="D51" t="str">
            <v>화공ㆍ섬유</v>
          </cell>
          <cell r="E51" t="str">
            <v>고강도 퍼포먼스 환경에서의 안면 홍조 진정 및 피부 장벽 보호를 위한 '마이크로바이옴 스킨-본딩 쿠션 선크림 HAERI</v>
          </cell>
          <cell r="F51" t="str">
            <v>0</v>
          </cell>
          <cell r="G51" t="str">
            <v>0</v>
          </cell>
          <cell r="H51" t="str">
            <v>예비</v>
          </cell>
          <cell r="I51" t="str">
            <v>청년</v>
          </cell>
          <cell r="J51">
            <v>0</v>
          </cell>
          <cell r="K51">
            <v>8</v>
          </cell>
          <cell r="L51">
            <v>10</v>
          </cell>
          <cell r="M51">
            <v>15</v>
          </cell>
          <cell r="N51">
            <v>15</v>
          </cell>
          <cell r="O51">
            <v>8</v>
          </cell>
          <cell r="P51">
            <v>7</v>
          </cell>
          <cell r="Q51">
            <v>13</v>
          </cell>
          <cell r="R51">
            <v>5</v>
          </cell>
          <cell r="S51">
            <v>81</v>
          </cell>
          <cell r="T51">
            <v>0</v>
          </cell>
          <cell r="U51">
            <v>81</v>
          </cell>
          <cell r="V51">
            <v>41</v>
          </cell>
          <cell r="W51" t="str">
            <v>소비층의 니치마켓에 대한 방향성이 양호하고 제품성 검증단계 확인 등은 양호하나 실제 시장 규모에 대한 분석이 다소 부족한 것으로 판단됨</v>
          </cell>
        </row>
        <row r="52">
          <cell r="B52">
            <v>20424264</v>
          </cell>
          <cell r="C52" t="str">
            <v>지역기반</v>
          </cell>
          <cell r="D52" t="str">
            <v>화공ㆍ섬유</v>
          </cell>
          <cell r="E52" t="str">
            <v>Changpo-Cica Relief 기반, 꽉 묶는 헤어스타일로 인한 두피 통증 완화 및 견인성 탈모 예방 쿨링 스칼프 앰플</v>
          </cell>
          <cell r="F52" t="str">
            <v>0</v>
          </cell>
          <cell r="G52" t="str">
            <v>0</v>
          </cell>
          <cell r="H52" t="str">
            <v>예비</v>
          </cell>
          <cell r="I52" t="str">
            <v>청년</v>
          </cell>
          <cell r="J52">
            <v>0</v>
          </cell>
          <cell r="K52">
            <v>8</v>
          </cell>
          <cell r="L52">
            <v>10</v>
          </cell>
          <cell r="M52">
            <v>12</v>
          </cell>
          <cell r="N52">
            <v>15</v>
          </cell>
          <cell r="O52">
            <v>8</v>
          </cell>
          <cell r="P52">
            <v>7</v>
          </cell>
          <cell r="Q52">
            <v>14</v>
          </cell>
          <cell r="R52">
            <v>5</v>
          </cell>
          <cell r="S52">
            <v>79</v>
          </cell>
          <cell r="T52">
            <v>2</v>
          </cell>
          <cell r="U52">
            <v>81</v>
          </cell>
          <cell r="V52">
            <v>41</v>
          </cell>
          <cell r="W52" t="str">
            <v>개발 방향과 사업 전략의 구체성은 있으나 개발 제품에 대한 유사 경쟁업체와의 경쟁력 확보방안 및 사업 지속성에 대한 구체적 방향 설정이 미흡한 것으로 판단됨</v>
          </cell>
        </row>
        <row r="53">
          <cell r="B53">
            <v>20417978</v>
          </cell>
          <cell r="C53" t="str">
            <v>지역기반</v>
          </cell>
          <cell r="D53" t="str">
            <v>화공ㆍ섬유</v>
          </cell>
          <cell r="E53" t="str">
            <v>캡 자동닫힘 물티슈 수분건조 방지, 위생, 편의, 실용성, 혜택 서비스를 제공</v>
          </cell>
          <cell r="F53" t="str">
            <v>22,000,000</v>
          </cell>
          <cell r="G53" t="str">
            <v>3</v>
          </cell>
          <cell r="H53" t="str">
            <v>초기</v>
          </cell>
          <cell r="I53" t="str">
            <v>중장년</v>
          </cell>
          <cell r="J53">
            <v>0</v>
          </cell>
          <cell r="K53">
            <v>9</v>
          </cell>
          <cell r="L53">
            <v>10</v>
          </cell>
          <cell r="M53">
            <v>12</v>
          </cell>
          <cell r="N53">
            <v>14</v>
          </cell>
          <cell r="O53">
            <v>9</v>
          </cell>
          <cell r="P53">
            <v>9</v>
          </cell>
          <cell r="Q53">
            <v>13</v>
          </cell>
          <cell r="R53">
            <v>5</v>
          </cell>
          <cell r="S53">
            <v>81</v>
          </cell>
          <cell r="T53">
            <v>0</v>
          </cell>
          <cell r="U53">
            <v>81</v>
          </cell>
          <cell r="V53">
            <v>41</v>
          </cell>
          <cell r="W53" t="str">
            <v>물티슈 제품의 필요 기능성 개발로 신규성이 있고 사업화 가능성도 높은 것으로 판단되나 제품의 경쟁력에 대한 구체적 제시가 부족하고 유사 특허에 대응 전략이 미흡함</v>
          </cell>
        </row>
        <row r="54">
          <cell r="B54">
            <v>20423688</v>
          </cell>
          <cell r="C54" t="str">
            <v>지역기반</v>
          </cell>
          <cell r="D54" t="str">
            <v>화공ㆍ섬유</v>
          </cell>
          <cell r="E54" t="str">
            <v>즉각적 피부 심미성 개선 효과를 부여하는 스킨케어 브랜드</v>
          </cell>
          <cell r="F54" t="str">
            <v>0</v>
          </cell>
          <cell r="G54" t="str">
            <v>1</v>
          </cell>
          <cell r="H54" t="str">
            <v>초기</v>
          </cell>
          <cell r="I54" t="str">
            <v>중장년</v>
          </cell>
          <cell r="J54">
            <v>0</v>
          </cell>
          <cell r="K54">
            <v>9</v>
          </cell>
          <cell r="L54">
            <v>10</v>
          </cell>
          <cell r="M54">
            <v>12</v>
          </cell>
          <cell r="N54">
            <v>13</v>
          </cell>
          <cell r="O54">
            <v>9</v>
          </cell>
          <cell r="P54">
            <v>9</v>
          </cell>
          <cell r="Q54">
            <v>14</v>
          </cell>
          <cell r="R54">
            <v>5</v>
          </cell>
          <cell r="S54">
            <v>81</v>
          </cell>
          <cell r="T54">
            <v>0</v>
          </cell>
          <cell r="U54">
            <v>81</v>
          </cell>
          <cell r="V54">
            <v>41</v>
          </cell>
          <cell r="W54" t="str">
            <v>제품 개발 방향과 사업 전략이 양호하며 단계별 개발 목표가 명확하나 개발 제품의 사전 시험평가와 기존 제품과의 비교 평가 자료가 미흡함. 사업화 전략은 양호하나 이에 상응한 수요기업과의 협업 근거 자료 제시가 미흡함.</v>
          </cell>
        </row>
        <row r="55">
          <cell r="B55">
            <v>20427594</v>
          </cell>
          <cell r="C55" t="str">
            <v>지역기반</v>
          </cell>
          <cell r="D55" t="str">
            <v>화공ㆍ섬유</v>
          </cell>
          <cell r="E55" t="str">
            <v>“나노 하이브리드 코팅 기술이 적용된 선크림 차단막 보존 기능의  SWEIN 테크니컬 스킨 타월”</v>
          </cell>
          <cell r="F55" t="str">
            <v>27,898,000</v>
          </cell>
          <cell r="G55" t="str">
            <v>1</v>
          </cell>
          <cell r="H55" t="str">
            <v>초기</v>
          </cell>
          <cell r="I55" t="str">
            <v>청년</v>
          </cell>
          <cell r="J55">
            <v>0</v>
          </cell>
          <cell r="K55">
            <v>9</v>
          </cell>
          <cell r="L55">
            <v>9</v>
          </cell>
          <cell r="M55">
            <v>13</v>
          </cell>
          <cell r="N55">
            <v>13</v>
          </cell>
          <cell r="O55">
            <v>9</v>
          </cell>
          <cell r="P55">
            <v>8</v>
          </cell>
          <cell r="Q55">
            <v>13</v>
          </cell>
          <cell r="R55">
            <v>5</v>
          </cell>
          <cell r="S55">
            <v>79</v>
          </cell>
          <cell r="T55">
            <v>0</v>
          </cell>
          <cell r="U55">
            <v>79</v>
          </cell>
          <cell r="V55">
            <v>48</v>
          </cell>
          <cell r="W55" t="str">
            <v xml:space="preserve">개발 제품의 컨셉은 좋으나 소재 자체 특성 이상의  기능성에 대한 제조 방법에 대한 구체적 제시가 부족함.  전반적으로 마켓팅과 영업 전략은 양호하게 수립된 것으로 판단됨 </v>
          </cell>
        </row>
        <row r="56">
          <cell r="B56">
            <v>20424187</v>
          </cell>
          <cell r="C56" t="str">
            <v>지역기반</v>
          </cell>
          <cell r="D56" t="str">
            <v>화공ㆍ섬유</v>
          </cell>
          <cell r="E56" t="str">
            <v>지게미 업사이클링 기반 지역농산물 활용 K-디저트 개발</v>
          </cell>
          <cell r="F56" t="str">
            <v>0</v>
          </cell>
          <cell r="G56" t="str">
            <v>0</v>
          </cell>
          <cell r="H56" t="str">
            <v>예비</v>
          </cell>
          <cell r="I56" t="str">
            <v>청년</v>
          </cell>
          <cell r="J56">
            <v>0</v>
          </cell>
          <cell r="K56">
            <v>8</v>
          </cell>
          <cell r="L56">
            <v>9</v>
          </cell>
          <cell r="M56">
            <v>14</v>
          </cell>
          <cell r="N56">
            <v>13</v>
          </cell>
          <cell r="O56">
            <v>8</v>
          </cell>
          <cell r="P56">
            <v>8</v>
          </cell>
          <cell r="Q56">
            <v>14</v>
          </cell>
          <cell r="R56">
            <v>5</v>
          </cell>
          <cell r="S56">
            <v>79</v>
          </cell>
          <cell r="T56">
            <v>0</v>
          </cell>
          <cell r="U56">
            <v>79</v>
          </cell>
          <cell r="V56">
            <v>48</v>
          </cell>
          <cell r="W56" t="str">
            <v>식품 부산물을 활용한 제품개발로 글로벌 방향과 일치하며  사업 추진전략 구성이 잘되어 있으나  매출 연계에 대한 전략의 구체성이 부족한 것으로 판단됨,</v>
          </cell>
        </row>
        <row r="57">
          <cell r="B57">
            <v>20413600</v>
          </cell>
          <cell r="C57" t="str">
            <v>지역기반</v>
          </cell>
          <cell r="D57" t="str">
            <v>화공ㆍ섬유</v>
          </cell>
          <cell r="E57" t="str">
            <v>생리통 완화용 하복부 밀착형 온열·전기자극(TENS) 스마트 이너웨어 개발</v>
          </cell>
          <cell r="F57" t="str">
            <v>0</v>
          </cell>
          <cell r="G57" t="str">
            <v>0</v>
          </cell>
          <cell r="H57" t="str">
            <v>예비</v>
          </cell>
          <cell r="I57" t="str">
            <v>중장년</v>
          </cell>
          <cell r="J57">
            <v>0</v>
          </cell>
          <cell r="K57">
            <v>9</v>
          </cell>
          <cell r="L57">
            <v>10</v>
          </cell>
          <cell r="M57">
            <v>15</v>
          </cell>
          <cell r="N57">
            <v>13</v>
          </cell>
          <cell r="O57">
            <v>8</v>
          </cell>
          <cell r="P57">
            <v>6</v>
          </cell>
          <cell r="Q57">
            <v>13</v>
          </cell>
          <cell r="R57">
            <v>5</v>
          </cell>
          <cell r="S57">
            <v>79</v>
          </cell>
          <cell r="T57">
            <v>0</v>
          </cell>
          <cell r="U57">
            <v>79</v>
          </cell>
          <cell r="V57">
            <v>48</v>
          </cell>
          <cell r="W57" t="str">
            <v>개발제품에 대한 필요성과 시장분석은 양호하고 유통전략은 제시되었으나 유사 제품에 대한 경쟁력확보가 어렵고 개발의 차별성이 부족함.</v>
          </cell>
        </row>
        <row r="58">
          <cell r="B58">
            <v>20420533</v>
          </cell>
          <cell r="C58" t="str">
            <v>지역기반</v>
          </cell>
          <cell r="D58" t="str">
            <v>화공ㆍ섬유</v>
          </cell>
          <cell r="E58" t="str">
            <v>소가죽 용접복의 문제점 해결 가능한 &amp;quot;재생가죽 용접복&amp;quot;</v>
          </cell>
          <cell r="F58" t="str">
            <v>35,000,000</v>
          </cell>
          <cell r="G58" t="str">
            <v>0</v>
          </cell>
          <cell r="H58" t="str">
            <v>초기</v>
          </cell>
          <cell r="I58" t="str">
            <v>중장년</v>
          </cell>
          <cell r="J58">
            <v>0</v>
          </cell>
          <cell r="K58">
            <v>10</v>
          </cell>
          <cell r="L58">
            <v>9</v>
          </cell>
          <cell r="M58">
            <v>11</v>
          </cell>
          <cell r="N58">
            <v>13</v>
          </cell>
          <cell r="O58">
            <v>9</v>
          </cell>
          <cell r="P58">
            <v>9</v>
          </cell>
          <cell r="Q58">
            <v>13</v>
          </cell>
          <cell r="R58">
            <v>5</v>
          </cell>
          <cell r="S58">
            <v>79</v>
          </cell>
          <cell r="T58">
            <v>0</v>
          </cell>
          <cell r="U58">
            <v>79</v>
          </cell>
          <cell r="V58">
            <v>48</v>
          </cell>
          <cell r="W58" t="str">
            <v>폐자재 활용과 경량성 확보가 가능한 제품 개발로써 재활용에 의한 경쟁력 확보가 가능한 반면 난연성 조재 용접봉 등 대체 제품과의 비교 분석 자료가 부족하고 최종 수요처와의 사전 연계성이 부족하여 매출에  대한 확보자료가 미흡함.</v>
          </cell>
        </row>
        <row r="59">
          <cell r="B59">
            <v>20424847</v>
          </cell>
          <cell r="C59" t="str">
            <v>지역기반</v>
          </cell>
          <cell r="D59" t="str">
            <v>화공ㆍ섬유</v>
          </cell>
          <cell r="E59" t="str">
            <v>Ag⁺/Zn²⁺ 항균 기술이 적용된IAD 억제 기능의4층 무봉제 요실금팬티</v>
          </cell>
          <cell r="F59" t="str">
            <v>2,500,000</v>
          </cell>
          <cell r="G59" t="str">
            <v>1</v>
          </cell>
          <cell r="H59" t="str">
            <v>초기</v>
          </cell>
          <cell r="I59" t="str">
            <v>중장년</v>
          </cell>
          <cell r="J59">
            <v>0</v>
          </cell>
          <cell r="K59">
            <v>10</v>
          </cell>
          <cell r="L59">
            <v>8</v>
          </cell>
          <cell r="M59">
            <v>12</v>
          </cell>
          <cell r="N59">
            <v>13</v>
          </cell>
          <cell r="O59">
            <v>9</v>
          </cell>
          <cell r="P59">
            <v>9</v>
          </cell>
          <cell r="Q59">
            <v>13</v>
          </cell>
          <cell r="R59">
            <v>5</v>
          </cell>
          <cell r="S59">
            <v>79</v>
          </cell>
          <cell r="T59">
            <v>0</v>
          </cell>
          <cell r="U59">
            <v>79</v>
          </cell>
          <cell r="V59">
            <v>48</v>
          </cell>
          <cell r="W59" t="str">
            <v>요실금 시장에 대응한 필요성과 제품의 개발 필요성이 있고 시장성이 충분한 제품으로 개발 목표와 방향설정은 양호하나 실질적 요실금 관련 제품 개발에 필요한 분석 내용 (요실금 양, 횟수 , 재사용 가능성 등)에 대한 분석이 미흡하여 제품 구조에 대한 타당성이 다소 미흡한 것으로 판단됨</v>
          </cell>
        </row>
        <row r="60">
          <cell r="B60">
            <v>20427576</v>
          </cell>
          <cell r="C60" t="str">
            <v>지역기반</v>
          </cell>
          <cell r="D60" t="str">
            <v>화공ㆍ섬유</v>
          </cell>
          <cell r="E60" t="str">
            <v>락토피치 바이옴 독자 성분과 기능성 복합 포뮬러를 적용하여 팩 한 통의 효과를 간편하게 구현하는 고효능 모공 케어 앰플</v>
          </cell>
          <cell r="F60" t="str">
            <v>35,381,900</v>
          </cell>
          <cell r="G60" t="str">
            <v>0</v>
          </cell>
          <cell r="H60" t="str">
            <v>초기</v>
          </cell>
          <cell r="I60" t="str">
            <v>청년</v>
          </cell>
          <cell r="J60">
            <v>0</v>
          </cell>
          <cell r="K60">
            <v>9</v>
          </cell>
          <cell r="L60">
            <v>8</v>
          </cell>
          <cell r="M60">
            <v>13</v>
          </cell>
          <cell r="N60">
            <v>14</v>
          </cell>
          <cell r="O60">
            <v>9</v>
          </cell>
          <cell r="P60">
            <v>8</v>
          </cell>
          <cell r="Q60">
            <v>14</v>
          </cell>
          <cell r="R60">
            <v>4</v>
          </cell>
          <cell r="S60">
            <v>79</v>
          </cell>
          <cell r="T60">
            <v>0</v>
          </cell>
          <cell r="U60">
            <v>79</v>
          </cell>
          <cell r="V60">
            <v>48</v>
          </cell>
          <cell r="W60" t="str">
            <v xml:space="preserve">자체 성분 개발 제품에 대한 기술적 차별성은 있으나 유사 천연성분 제품과의 차별성은 미흡하고 사업화 전략이 일반적 단계로  특이성이 없어 향후 영업 확대 가능성에 대한 구체적 제시가 부족함. </v>
          </cell>
        </row>
        <row r="61">
          <cell r="B61">
            <v>20426581</v>
          </cell>
          <cell r="C61" t="str">
            <v>지역기반</v>
          </cell>
          <cell r="D61" t="str">
            <v>화공ㆍ섬유</v>
          </cell>
          <cell r="E61" t="str">
            <v>황벽나무 및 쇠비름 유효성분의 효능 최대화 기술이 적용된 가려움 완화  비도포 분사형 제품</v>
          </cell>
          <cell r="F61" t="str">
            <v>160,000,000</v>
          </cell>
          <cell r="G61" t="str">
            <v>0</v>
          </cell>
          <cell r="H61" t="str">
            <v>도약</v>
          </cell>
          <cell r="I61" t="str">
            <v>청년</v>
          </cell>
          <cell r="J61">
            <v>0</v>
          </cell>
          <cell r="K61">
            <v>9</v>
          </cell>
          <cell r="L61">
            <v>9</v>
          </cell>
          <cell r="M61">
            <v>12</v>
          </cell>
          <cell r="N61">
            <v>13</v>
          </cell>
          <cell r="O61">
            <v>9</v>
          </cell>
          <cell r="P61">
            <v>9</v>
          </cell>
          <cell r="Q61">
            <v>13</v>
          </cell>
          <cell r="R61">
            <v>5</v>
          </cell>
          <cell r="S61">
            <v>79</v>
          </cell>
          <cell r="T61">
            <v>0</v>
          </cell>
          <cell r="U61">
            <v>79</v>
          </cell>
          <cell r="V61">
            <v>48</v>
          </cell>
          <cell r="W61" t="str">
            <v>민감형 피부 시장 대응 제품 개발로 시장 대응성이 높고 실질적 요구 제품으로 평가됨.  반복 구매성과 확보된 시장성으로 인한 사업성은 높은 것으로 판단되나 사업화전  임상 등 사전 평가 자료가 부족하여 개발 제품의 제품성에 대한 근거가 부족함</v>
          </cell>
        </row>
        <row r="62">
          <cell r="B62">
            <v>20431705</v>
          </cell>
          <cell r="C62" t="str">
            <v>지역기반</v>
          </cell>
          <cell r="D62" t="str">
            <v>화공ㆍ섬유</v>
          </cell>
          <cell r="E62" t="str">
            <v>스피큘 비드 코팅 기술 및 PDRN 시각화 기능이 적용된 B2B 화장품 원료 'Crystal Spicule Bead V4.0'</v>
          </cell>
          <cell r="F62" t="str">
            <v>2,000,000,000</v>
          </cell>
          <cell r="G62" t="str">
            <v>6</v>
          </cell>
          <cell r="H62" t="str">
            <v>도약</v>
          </cell>
          <cell r="I62" t="str">
            <v>중장년</v>
          </cell>
          <cell r="J62">
            <v>0</v>
          </cell>
          <cell r="K62">
            <v>9</v>
          </cell>
          <cell r="L62">
            <v>8</v>
          </cell>
          <cell r="M62">
            <v>13</v>
          </cell>
          <cell r="N62">
            <v>13</v>
          </cell>
          <cell r="O62">
            <v>9</v>
          </cell>
          <cell r="P62">
            <v>9</v>
          </cell>
          <cell r="Q62">
            <v>13</v>
          </cell>
          <cell r="R62">
            <v>4</v>
          </cell>
          <cell r="S62">
            <v>78</v>
          </cell>
          <cell r="T62">
            <v>0</v>
          </cell>
          <cell r="U62">
            <v>78</v>
          </cell>
          <cell r="V62">
            <v>55</v>
          </cell>
          <cell r="W62" t="str">
            <v>비드 안정화 코팅기술에 대한 기술적 난이도와 개발자의 역량이 높으며 제품성의 차별화가 있슴. 영업 판매망과 사업 전략이 구체적이나 경쟁 제품에 대한 분석은 미흡함</v>
          </cell>
        </row>
        <row r="63">
          <cell r="B63">
            <v>20440240</v>
          </cell>
          <cell r="C63" t="str">
            <v>지역기반</v>
          </cell>
          <cell r="D63" t="str">
            <v>화공ㆍ섬유</v>
          </cell>
          <cell r="E63" t="str">
            <v>살균·세정 기능이 결합된 듀얼 챔버 2in1 플러셔블 위생 티슈 '털썩&amp;뽀득'</v>
          </cell>
          <cell r="F63" t="str">
            <v>0</v>
          </cell>
          <cell r="G63" t="str">
            <v>0</v>
          </cell>
          <cell r="H63" t="str">
            <v>예비</v>
          </cell>
          <cell r="I63" t="str">
            <v>청년</v>
          </cell>
          <cell r="J63">
            <v>0</v>
          </cell>
          <cell r="K63">
            <v>9</v>
          </cell>
          <cell r="L63">
            <v>9</v>
          </cell>
          <cell r="M63">
            <v>12</v>
          </cell>
          <cell r="N63">
            <v>12</v>
          </cell>
          <cell r="O63">
            <v>9</v>
          </cell>
          <cell r="P63">
            <v>8</v>
          </cell>
          <cell r="Q63">
            <v>14</v>
          </cell>
          <cell r="R63">
            <v>5</v>
          </cell>
          <cell r="S63">
            <v>78</v>
          </cell>
          <cell r="T63">
            <v>0</v>
          </cell>
          <cell r="U63">
            <v>78</v>
          </cell>
          <cell r="V63">
            <v>55</v>
          </cell>
          <cell r="W63" t="str">
            <v>개발 제품의 소재 개발이 아닌 포장기술로써 제품의 차별성은 있으나 시장 경쟁력 및 확장성 확보가 어려우며 제품화 기술의 난이성이 낮은 것으로 판단됨.</v>
          </cell>
        </row>
        <row r="64">
          <cell r="B64">
            <v>20410189</v>
          </cell>
          <cell r="C64" t="str">
            <v>지역기반</v>
          </cell>
          <cell r="D64" t="str">
            <v>화공ㆍ섬유</v>
          </cell>
          <cell r="E64" t="str">
            <v>모듈형 교체식 관절 연동 체결 기술을 적용한 소프트 스윔베이트 (Soft Swim Bait Incorporating Modular Interchangeable Articulated Joint Coupling Technology)</v>
          </cell>
          <cell r="F64" t="str">
            <v>156,016,299</v>
          </cell>
          <cell r="G64" t="str">
            <v>1</v>
          </cell>
          <cell r="H64" t="str">
            <v>초기</v>
          </cell>
          <cell r="I64" t="str">
            <v>중장년</v>
          </cell>
          <cell r="J64">
            <v>0</v>
          </cell>
          <cell r="K64">
            <v>9</v>
          </cell>
          <cell r="L64">
            <v>10</v>
          </cell>
          <cell r="M64">
            <v>11</v>
          </cell>
          <cell r="N64">
            <v>12</v>
          </cell>
          <cell r="O64">
            <v>8</v>
          </cell>
          <cell r="P64">
            <v>9</v>
          </cell>
          <cell r="Q64">
            <v>14</v>
          </cell>
          <cell r="R64">
            <v>5</v>
          </cell>
          <cell r="S64">
            <v>78</v>
          </cell>
          <cell r="T64">
            <v>0</v>
          </cell>
          <cell r="U64">
            <v>78</v>
          </cell>
          <cell r="V64">
            <v>55</v>
          </cell>
          <cell r="W64" t="str">
            <v>스윔 베이터의 단점에 대한 파악과 시장 요구성에 대한 조사가 양호하고 개발 제품의 시장성도 높을 것으로 예상됨. 국내 시장 규모 및 활용방안 및 판매 전략 수립 등도 양호하게 제시되었으나 가격 경쟁력 확보가 어렵고 시장 진입시 문제점 제시 및 대응 전략이 미흡함</v>
          </cell>
        </row>
        <row r="65">
          <cell r="B65">
            <v>20427911</v>
          </cell>
          <cell r="C65" t="str">
            <v>지역기반</v>
          </cell>
          <cell r="D65" t="str">
            <v>화공ㆍ섬유</v>
          </cell>
          <cell r="E65" t="str">
            <v>탄닌계 바이오 매염제 기반 저온 편물 가먼트 염색 기술이 적용된 냉·온감 기능 유지 및 색상 확장 기능의 홀가먼트 침구</v>
          </cell>
          <cell r="F65" t="str">
            <v>0</v>
          </cell>
          <cell r="G65" t="str">
            <v>0</v>
          </cell>
          <cell r="H65" t="str">
            <v>예비</v>
          </cell>
          <cell r="I65" t="str">
            <v>청년</v>
          </cell>
          <cell r="J65">
            <v>0</v>
          </cell>
          <cell r="K65">
            <v>8</v>
          </cell>
          <cell r="L65">
            <v>9</v>
          </cell>
          <cell r="M65">
            <v>12</v>
          </cell>
          <cell r="N65">
            <v>14</v>
          </cell>
          <cell r="O65">
            <v>8</v>
          </cell>
          <cell r="P65">
            <v>8</v>
          </cell>
          <cell r="Q65">
            <v>14</v>
          </cell>
          <cell r="R65">
            <v>5</v>
          </cell>
          <cell r="S65">
            <v>78</v>
          </cell>
          <cell r="T65">
            <v>0</v>
          </cell>
          <cell r="U65">
            <v>78</v>
          </cell>
          <cell r="V65">
            <v>55</v>
          </cell>
          <cell r="W65" t="str">
            <v>냉감소재의 색상 다양성 확보 기술의 의미가 있으나 개발 공정성과 타 소재제품과의 경쟁력 확보방안이 미비하고 기존 제품 시장에 대한 분석화가 미흡한 것으로 판단됨.</v>
          </cell>
        </row>
        <row r="66">
          <cell r="B66">
            <v>20428898</v>
          </cell>
          <cell r="C66" t="str">
            <v>지역기반</v>
          </cell>
          <cell r="D66" t="str">
            <v>화공ㆍ섬유</v>
          </cell>
          <cell r="E66" t="str">
            <v>천연소재 복합배합 기반 친환경 반려동물 위생용품 개발</v>
          </cell>
          <cell r="F66" t="str">
            <v>0</v>
          </cell>
          <cell r="G66" t="str">
            <v>0</v>
          </cell>
          <cell r="H66" t="str">
            <v>예비</v>
          </cell>
          <cell r="I66" t="str">
            <v>청년</v>
          </cell>
          <cell r="J66">
            <v>0</v>
          </cell>
          <cell r="K66">
            <v>8</v>
          </cell>
          <cell r="L66">
            <v>9</v>
          </cell>
          <cell r="M66">
            <v>13</v>
          </cell>
          <cell r="N66">
            <v>14</v>
          </cell>
          <cell r="O66">
            <v>8</v>
          </cell>
          <cell r="P66">
            <v>8</v>
          </cell>
          <cell r="Q66">
            <v>13</v>
          </cell>
          <cell r="R66">
            <v>5</v>
          </cell>
          <cell r="S66">
            <v>78</v>
          </cell>
          <cell r="T66">
            <v>0</v>
          </cell>
          <cell r="U66">
            <v>78</v>
          </cell>
          <cell r="V66">
            <v>55</v>
          </cell>
          <cell r="W66" t="str">
            <v>폐소재 활용 제품에 대한 아이디어와 제품개발을 위한 원자재 수급망 및 경쟁력 확보, 반려용품 시장의 틈새시장 진입 효과는 가능하나 새로운 제품군으로써의 시장 진입에 대한 마켓팅 전략이 미흡한 것으로 판단됨</v>
          </cell>
        </row>
        <row r="67">
          <cell r="B67">
            <v>20430698</v>
          </cell>
          <cell r="C67" t="str">
            <v>지역기반</v>
          </cell>
          <cell r="D67" t="str">
            <v>화공ㆍ섬유</v>
          </cell>
          <cell r="E67" t="str">
            <v>그래핀 복합 원사 기술이 적용된 항균·소취 기능의 쾌적한 수면 환경을 제공하는 기능성 침구 제품</v>
          </cell>
          <cell r="F67" t="str">
            <v>0</v>
          </cell>
          <cell r="G67" t="str">
            <v>0</v>
          </cell>
          <cell r="H67" t="str">
            <v>예비</v>
          </cell>
          <cell r="I67" t="str">
            <v>청년</v>
          </cell>
          <cell r="J67">
            <v>0</v>
          </cell>
          <cell r="K67">
            <v>9</v>
          </cell>
          <cell r="L67">
            <v>9</v>
          </cell>
          <cell r="M67">
            <v>12</v>
          </cell>
          <cell r="N67">
            <v>13</v>
          </cell>
          <cell r="O67">
            <v>8</v>
          </cell>
          <cell r="P67">
            <v>8</v>
          </cell>
          <cell r="Q67">
            <v>14</v>
          </cell>
          <cell r="R67">
            <v>5</v>
          </cell>
          <cell r="S67">
            <v>78</v>
          </cell>
          <cell r="T67">
            <v>0</v>
          </cell>
          <cell r="U67">
            <v>78</v>
          </cell>
          <cell r="V67">
            <v>55</v>
          </cell>
          <cell r="W67" t="str">
            <v>기존 소재와 다른 소재 적용으로 기능성 (항균,소취)에 대한 사전 시험 및 분석, 메커니즘에 대한 설명이 미흡하고 단순 원사 교체로 인한 제품으로의 차별성이 미흡함.  또한 제품 경쟁력 분석도 미흡한 것으로 판단됨</v>
          </cell>
        </row>
        <row r="68">
          <cell r="B68">
            <v>20404733</v>
          </cell>
          <cell r="C68" t="str">
            <v>지역기반</v>
          </cell>
          <cell r="D68" t="str">
            <v>화공ㆍ섬유</v>
          </cell>
          <cell r="E68" t="str">
            <v xml:space="preserve">기능성 재활용 필름 기술이 적용된 방취, 고강도 기능의 친환경 반려동물 위생 소재 </v>
          </cell>
          <cell r="F68" t="str">
            <v>35,000,000</v>
          </cell>
          <cell r="G68" t="str">
            <v>3</v>
          </cell>
          <cell r="H68" t="str">
            <v>초기</v>
          </cell>
          <cell r="I68" t="str">
            <v>중장년</v>
          </cell>
          <cell r="J68">
            <v>0</v>
          </cell>
          <cell r="K68">
            <v>9</v>
          </cell>
          <cell r="L68">
            <v>9</v>
          </cell>
          <cell r="M68">
            <v>12</v>
          </cell>
          <cell r="N68">
            <v>12</v>
          </cell>
          <cell r="O68">
            <v>9</v>
          </cell>
          <cell r="P68">
            <v>9</v>
          </cell>
          <cell r="Q68">
            <v>13</v>
          </cell>
          <cell r="R68">
            <v>5</v>
          </cell>
          <cell r="S68">
            <v>78</v>
          </cell>
          <cell r="T68">
            <v>0</v>
          </cell>
          <cell r="U68">
            <v>78</v>
          </cell>
          <cell r="V68">
            <v>55</v>
          </cell>
          <cell r="W68" t="str">
            <v>기존 판매 제품의 연계 제품 개발로 유통망 확보와 향후 판매 전략은 양호하나 개발 제품의 차별성과 외부 제조업체 활용에 의한 독점성 확보에 대한 구체적 방안이 부족하며 향후 유사 제품에 대한 대응 전략이 미비함</v>
          </cell>
        </row>
        <row r="69">
          <cell r="B69">
            <v>20417276</v>
          </cell>
          <cell r="C69" t="str">
            <v>지역기반</v>
          </cell>
          <cell r="D69" t="str">
            <v>화공ㆍ섬유</v>
          </cell>
          <cell r="E69" t="str">
            <v>AI기술이 적용된 수면 피부 맞춤 침구 솔루션 제품 서비스</v>
          </cell>
          <cell r="F69" t="str">
            <v>20,000,000</v>
          </cell>
          <cell r="G69" t="str">
            <v>2</v>
          </cell>
          <cell r="H69" t="str">
            <v>초기</v>
          </cell>
          <cell r="I69" t="str">
            <v>중장년</v>
          </cell>
          <cell r="J69">
            <v>0</v>
          </cell>
          <cell r="K69">
            <v>9</v>
          </cell>
          <cell r="L69">
            <v>9</v>
          </cell>
          <cell r="M69">
            <v>12</v>
          </cell>
          <cell r="N69">
            <v>12</v>
          </cell>
          <cell r="O69">
            <v>10</v>
          </cell>
          <cell r="P69">
            <v>8</v>
          </cell>
          <cell r="Q69">
            <v>13</v>
          </cell>
          <cell r="R69">
            <v>5</v>
          </cell>
          <cell r="S69">
            <v>78</v>
          </cell>
          <cell r="T69">
            <v>0</v>
          </cell>
          <cell r="U69">
            <v>78</v>
          </cell>
          <cell r="V69">
            <v>55</v>
          </cell>
          <cell r="W69" t="str">
            <v xml:space="preserve">개발 시스템인 피부 관찰과 연계한 맞춤형 침구 적용 솔루션의 아이디어는 좋으나 AI기반 피부 관찰의 경우  침구 제조 업체 자체 적요 우위성에 대한 대응 전략이 필요하고 자사몰 한정 매출의 한계성에 대한 대응 전략이 요구됨. </v>
          </cell>
        </row>
        <row r="70">
          <cell r="B70">
            <v>20433253</v>
          </cell>
          <cell r="C70" t="str">
            <v>지역기반</v>
          </cell>
          <cell r="D70" t="str">
            <v>화공ㆍ섬유</v>
          </cell>
          <cell r="E70" t="str">
            <v>효과와 자극의 딜레마 극복, '초단기 턴오버 회복' K-뷰티 라인업</v>
          </cell>
          <cell r="F70" t="str">
            <v>133,110,166</v>
          </cell>
          <cell r="G70" t="str">
            <v>0</v>
          </cell>
          <cell r="H70" t="str">
            <v>초기</v>
          </cell>
          <cell r="I70" t="str">
            <v>청년</v>
          </cell>
          <cell r="J70">
            <v>0</v>
          </cell>
          <cell r="K70">
            <v>9</v>
          </cell>
          <cell r="L70">
            <v>8</v>
          </cell>
          <cell r="M70">
            <v>13</v>
          </cell>
          <cell r="N70">
            <v>14</v>
          </cell>
          <cell r="O70">
            <v>8</v>
          </cell>
          <cell r="P70">
            <v>8</v>
          </cell>
          <cell r="Q70">
            <v>13</v>
          </cell>
          <cell r="R70">
            <v>5</v>
          </cell>
          <cell r="S70">
            <v>78</v>
          </cell>
          <cell r="T70">
            <v>0</v>
          </cell>
          <cell r="U70">
            <v>78</v>
          </cell>
          <cell r="V70">
            <v>55</v>
          </cell>
          <cell r="W70" t="str">
            <v>저자극 화장품에 대한 시장 필요성과 인증 완료 등 제품성은 확인이 되었으며 해외 마켓팅을 위한 사업화 준비도 완료된 사애로 판단됨. 단, 개발 제품에 대한 명확한 개발 과정이 부족하고 지적 재산권 확보가 진행중으로 추가적 보완이 필요함</v>
          </cell>
        </row>
        <row r="71">
          <cell r="B71">
            <v>20420834</v>
          </cell>
          <cell r="C71" t="str">
            <v>지역기반</v>
          </cell>
          <cell r="D71" t="str">
            <v>화공ㆍ섬유</v>
          </cell>
          <cell r="E71" t="str">
            <v>키토산 소재기반, 피부노폐물을 안전하고 효과적으로 제거할 수 있는 화장품용 미립자 소재회</v>
          </cell>
          <cell r="F71" t="str">
            <v>0</v>
          </cell>
          <cell r="G71" t="str">
            <v>0</v>
          </cell>
          <cell r="H71" t="str">
            <v>예비</v>
          </cell>
          <cell r="I71" t="str">
            <v>청년</v>
          </cell>
          <cell r="J71">
            <v>0</v>
          </cell>
          <cell r="K71">
            <v>7</v>
          </cell>
          <cell r="L71">
            <v>8</v>
          </cell>
          <cell r="M71">
            <v>14</v>
          </cell>
          <cell r="N71">
            <v>14</v>
          </cell>
          <cell r="O71">
            <v>7</v>
          </cell>
          <cell r="P71">
            <v>8</v>
          </cell>
          <cell r="Q71">
            <v>13</v>
          </cell>
          <cell r="R71">
            <v>4</v>
          </cell>
          <cell r="S71">
            <v>75</v>
          </cell>
          <cell r="T71">
            <v>2</v>
          </cell>
          <cell r="U71">
            <v>77</v>
          </cell>
          <cell r="V71">
            <v>64</v>
          </cell>
          <cell r="W71" t="str">
            <v>단계별 개발 방향은 양호하나 외부 설비활용에 의한 기술 보호와 관련 시장 진입 전략이 부족하고 시장성에 대한 사전 조사가 미흡함</v>
          </cell>
        </row>
        <row r="72">
          <cell r="B72">
            <v>20414836</v>
          </cell>
          <cell r="C72" t="str">
            <v>지역기반</v>
          </cell>
          <cell r="D72" t="str">
            <v>화공ㆍ섬유</v>
          </cell>
          <cell r="E72" t="str">
            <v>백리향 기반 pH 중화 기술을 적용한 친환경 섬유유연제</v>
          </cell>
          <cell r="F72" t="str">
            <v>90,000,000</v>
          </cell>
          <cell r="G72" t="str">
            <v>0</v>
          </cell>
          <cell r="H72" t="str">
            <v>초기</v>
          </cell>
          <cell r="I72" t="str">
            <v>중장년</v>
          </cell>
          <cell r="J72">
            <v>0</v>
          </cell>
          <cell r="K72">
            <v>9</v>
          </cell>
          <cell r="L72">
            <v>9</v>
          </cell>
          <cell r="M72">
            <v>10</v>
          </cell>
          <cell r="N72">
            <v>13</v>
          </cell>
          <cell r="O72">
            <v>9</v>
          </cell>
          <cell r="P72">
            <v>8</v>
          </cell>
          <cell r="Q72">
            <v>14</v>
          </cell>
          <cell r="R72">
            <v>5</v>
          </cell>
          <cell r="S72">
            <v>77</v>
          </cell>
          <cell r="T72">
            <v>0</v>
          </cell>
          <cell r="U72">
            <v>77</v>
          </cell>
          <cell r="V72">
            <v>64</v>
          </cell>
          <cell r="W72" t="str">
            <v>화학물질 대체 항균제품 개발의 의미가 있고 관련 기술 역량은 있으나 개발 제품의 기능성인 항균에 대한 사전 시험 및 검증 자료가 부족하며 항균 특성상 내구성 부분에 대한 기술력 확보 방안의 구체성이 부족함. 사업화 가능성에 대한 객관적 자료 제시 필요함</v>
          </cell>
        </row>
        <row r="73">
          <cell r="B73">
            <v>20427962</v>
          </cell>
          <cell r="C73" t="str">
            <v>지역기반</v>
          </cell>
          <cell r="D73" t="str">
            <v>화공ㆍ섬유</v>
          </cell>
          <cell r="E73" t="str">
            <v>천연 염색 기술이 적용된 영유아 프리미엄 친환경 아동복</v>
          </cell>
          <cell r="F73" t="str">
            <v>151,982,715</v>
          </cell>
          <cell r="G73" t="str">
            <v>0</v>
          </cell>
          <cell r="H73" t="str">
            <v>초기</v>
          </cell>
          <cell r="I73" t="str">
            <v>청년</v>
          </cell>
          <cell r="J73">
            <v>0</v>
          </cell>
          <cell r="K73">
            <v>9</v>
          </cell>
          <cell r="L73">
            <v>8</v>
          </cell>
          <cell r="M73">
            <v>13</v>
          </cell>
          <cell r="N73">
            <v>13</v>
          </cell>
          <cell r="O73">
            <v>9</v>
          </cell>
          <cell r="P73">
            <v>7</v>
          </cell>
          <cell r="Q73">
            <v>13</v>
          </cell>
          <cell r="R73">
            <v>5</v>
          </cell>
          <cell r="S73">
            <v>77</v>
          </cell>
          <cell r="T73">
            <v>0</v>
          </cell>
          <cell r="U73">
            <v>77</v>
          </cell>
          <cell r="V73">
            <v>64</v>
          </cell>
          <cell r="W73" t="str">
            <v>영유아 의류의 저자극 요구 특성에 맞춘 목표 제품으로 시장성 및 영업 확장성이 큰 반면 천연 염색 제품의 제품화 용이성으로 경쟁력 확보가 어렵고 시장 우위성을 확보하기 위한 대응 전략이 부족한 것으로 판단됨</v>
          </cell>
        </row>
        <row r="74">
          <cell r="B74">
            <v>20426667</v>
          </cell>
          <cell r="C74" t="str">
            <v>지역기반</v>
          </cell>
          <cell r="D74" t="str">
            <v>화공ㆍ섬유</v>
          </cell>
          <cell r="E74" t="str">
            <v>민감성 피부를 위한 단계 조절형 분리형 스피큘 볼 스킨케어 세트</v>
          </cell>
          <cell r="F74" t="str">
            <v>0</v>
          </cell>
          <cell r="G74" t="str">
            <v>0</v>
          </cell>
          <cell r="H74" t="str">
            <v>예비</v>
          </cell>
          <cell r="I74" t="str">
            <v>청년</v>
          </cell>
          <cell r="J74">
            <v>0</v>
          </cell>
          <cell r="K74">
            <v>8</v>
          </cell>
          <cell r="L74">
            <v>8</v>
          </cell>
          <cell r="M74">
            <v>12</v>
          </cell>
          <cell r="N74">
            <v>13</v>
          </cell>
          <cell r="O74">
            <v>8</v>
          </cell>
          <cell r="P74">
            <v>7</v>
          </cell>
          <cell r="Q74">
            <v>13</v>
          </cell>
          <cell r="R74">
            <v>5</v>
          </cell>
          <cell r="S74">
            <v>74</v>
          </cell>
          <cell r="T74">
            <v>2</v>
          </cell>
          <cell r="U74">
            <v>76</v>
          </cell>
          <cell r="V74">
            <v>67</v>
          </cell>
          <cell r="W74" t="str">
            <v xml:space="preserve">기존 제품과의 차별성이 배합 기술로 인한 특이성외 유사성으로 인한 시장 대체 효과는 미흡할 것으로 판단되며 민감 피부 수요층에 대한 진입 전략이 자사몰로 한정되어 확장성이 부족함. </v>
          </cell>
        </row>
        <row r="75">
          <cell r="B75">
            <v>20440097</v>
          </cell>
          <cell r="C75" t="str">
            <v>지역기반</v>
          </cell>
          <cell r="D75" t="str">
            <v>화공ㆍ섬유</v>
          </cell>
          <cell r="E75" t="str">
            <v>더마리프(DermaLeaf)</v>
          </cell>
          <cell r="F75" t="str">
            <v>0</v>
          </cell>
          <cell r="G75" t="str">
            <v>0</v>
          </cell>
          <cell r="H75" t="str">
            <v>예비</v>
          </cell>
          <cell r="I75" t="str">
            <v>청년</v>
          </cell>
          <cell r="J75">
            <v>0</v>
          </cell>
          <cell r="K75">
            <v>8</v>
          </cell>
          <cell r="L75">
            <v>9</v>
          </cell>
          <cell r="M75">
            <v>13</v>
          </cell>
          <cell r="N75">
            <v>13</v>
          </cell>
          <cell r="O75">
            <v>8</v>
          </cell>
          <cell r="P75">
            <v>7</v>
          </cell>
          <cell r="Q75">
            <v>13</v>
          </cell>
          <cell r="R75">
            <v>5</v>
          </cell>
          <cell r="S75">
            <v>76</v>
          </cell>
          <cell r="T75">
            <v>0</v>
          </cell>
          <cell r="U75">
            <v>76</v>
          </cell>
          <cell r="V75">
            <v>67</v>
          </cell>
          <cell r="W75" t="str">
            <v xml:space="preserve">특정 성분을 이용한 제품개발과 제품의 차별성있고 개발 방향 설정은 양호하나 구체적인 공급 및 판매 체계 수립이 구체화되지 못해 매출 연계의 어려움이 예상됨. </v>
          </cell>
        </row>
        <row r="76">
          <cell r="B76">
            <v>20409143</v>
          </cell>
          <cell r="C76" t="str">
            <v>지역기반</v>
          </cell>
          <cell r="D76" t="str">
            <v>화공ㆍ섬유</v>
          </cell>
          <cell r="E76" t="str">
            <v>N52 등급 자성 결합 기술과 하이브리드 소재 공정을 적용한 맥세이프 부착형 프리미엄 립 케어 모듈 개발</v>
          </cell>
          <cell r="F76" t="str">
            <v>0</v>
          </cell>
          <cell r="G76" t="str">
            <v>3</v>
          </cell>
          <cell r="H76" t="str">
            <v>초기</v>
          </cell>
          <cell r="I76" t="str">
            <v>중장년</v>
          </cell>
          <cell r="J76">
            <v>0</v>
          </cell>
          <cell r="K76">
            <v>9</v>
          </cell>
          <cell r="L76">
            <v>9</v>
          </cell>
          <cell r="M76">
            <v>10</v>
          </cell>
          <cell r="N76">
            <v>12</v>
          </cell>
          <cell r="O76">
            <v>8</v>
          </cell>
          <cell r="P76">
            <v>9</v>
          </cell>
          <cell r="Q76">
            <v>14</v>
          </cell>
          <cell r="R76">
            <v>5</v>
          </cell>
          <cell r="S76">
            <v>76</v>
          </cell>
          <cell r="T76">
            <v>0</v>
          </cell>
          <cell r="U76">
            <v>76</v>
          </cell>
          <cell r="V76">
            <v>67</v>
          </cell>
          <cell r="W76" t="str">
            <v>제품 아이디어가 좋고 실질적 판매가 가능하며 시장성도 높을 것으로 예상되나 개발의 평이성과 판매의 지속성 등 향후 영업 전략의 구체성이 필요하며 제품 우위성에 대한 구체적 설명이 미흡함</v>
          </cell>
        </row>
        <row r="77">
          <cell r="B77">
            <v>20419492</v>
          </cell>
          <cell r="C77" t="str">
            <v>지역기반</v>
          </cell>
          <cell r="D77" t="str">
            <v>화공ㆍ섬유</v>
          </cell>
          <cell r="E77" t="str">
            <v>스마트 소재와 인체공학적 보정 패턴 기술이 융합된  5060 시니어 여성 특화 데일리 캐주얼 &amp;lt;헤이린드&amp;gt;</v>
          </cell>
          <cell r="F77" t="str">
            <v>10,000,000</v>
          </cell>
          <cell r="G77" t="str">
            <v>0</v>
          </cell>
          <cell r="H77" t="str">
            <v>초기</v>
          </cell>
          <cell r="I77" t="str">
            <v>중장년</v>
          </cell>
          <cell r="J77">
            <v>0</v>
          </cell>
          <cell r="K77">
            <v>9</v>
          </cell>
          <cell r="L77">
            <v>9</v>
          </cell>
          <cell r="M77">
            <v>12</v>
          </cell>
          <cell r="N77">
            <v>13</v>
          </cell>
          <cell r="O77">
            <v>8</v>
          </cell>
          <cell r="P77">
            <v>8</v>
          </cell>
          <cell r="Q77">
            <v>13</v>
          </cell>
          <cell r="R77">
            <v>4</v>
          </cell>
          <cell r="S77">
            <v>76</v>
          </cell>
          <cell r="T77">
            <v>0</v>
          </cell>
          <cell r="U77">
            <v>76</v>
          </cell>
          <cell r="V77">
            <v>67</v>
          </cell>
          <cell r="W77" t="str">
            <v>제품의 소비층이 구체화되어 있고 3D패턴 설계 기술 등 제품의 기술성은 있으나 AI기반의 패턴화 기술과의 경쟁력 확보 방안과 매출 연계 방안 및 추진 전략에 대한 근거가 부족함</v>
          </cell>
        </row>
        <row r="78">
          <cell r="B78">
            <v>20430628</v>
          </cell>
          <cell r="C78" t="str">
            <v>지역기반</v>
          </cell>
          <cell r="D78" t="str">
            <v>화공ㆍ섬유</v>
          </cell>
          <cell r="E78" t="str">
            <v>째피 저속노화 바디 루틴</v>
          </cell>
          <cell r="F78" t="str">
            <v>0</v>
          </cell>
          <cell r="G78" t="str">
            <v>0</v>
          </cell>
          <cell r="H78" t="str">
            <v>초기</v>
          </cell>
          <cell r="I78" t="str">
            <v>중장년</v>
          </cell>
          <cell r="J78">
            <v>0</v>
          </cell>
          <cell r="K78">
            <v>9</v>
          </cell>
          <cell r="L78">
            <v>9</v>
          </cell>
          <cell r="M78">
            <v>13</v>
          </cell>
          <cell r="N78">
            <v>13</v>
          </cell>
          <cell r="O78">
            <v>8</v>
          </cell>
          <cell r="P78">
            <v>8</v>
          </cell>
          <cell r="Q78">
            <v>12</v>
          </cell>
          <cell r="R78">
            <v>4</v>
          </cell>
          <cell r="S78">
            <v>76</v>
          </cell>
          <cell r="T78">
            <v>0</v>
          </cell>
          <cell r="U78">
            <v>76</v>
          </cell>
          <cell r="V78">
            <v>67</v>
          </cell>
          <cell r="W78" t="str">
            <v xml:space="preserve">제품 특성에 대한 시장의 확장성과 차별성은 있으나 개발 난이도는 낮은 것으로 보이며 시장 진입시 경쟁사에 대한 대응전략을 기술하였으나 유사 제품과의 경쟁력 확보가 어려울 것으로 판단됨. </v>
          </cell>
        </row>
        <row r="79">
          <cell r="B79">
            <v>20432269</v>
          </cell>
          <cell r="C79" t="str">
            <v>지역기반</v>
          </cell>
          <cell r="D79" t="str">
            <v>화공ㆍ섬유</v>
          </cell>
          <cell r="E79" t="str">
            <v>나노리포좀 기술이 적용된 해양 바이오 K뷰티 스킨케어 브랜드 : 해올</v>
          </cell>
          <cell r="F79" t="str">
            <v>19,000,000</v>
          </cell>
          <cell r="G79" t="str">
            <v>4</v>
          </cell>
          <cell r="H79" t="str">
            <v>초기</v>
          </cell>
          <cell r="I79" t="str">
            <v>청년</v>
          </cell>
          <cell r="J79">
            <v>0</v>
          </cell>
          <cell r="K79">
            <v>9</v>
          </cell>
          <cell r="L79">
            <v>9</v>
          </cell>
          <cell r="M79">
            <v>12</v>
          </cell>
          <cell r="N79">
            <v>12</v>
          </cell>
          <cell r="O79">
            <v>8</v>
          </cell>
          <cell r="P79">
            <v>8</v>
          </cell>
          <cell r="Q79">
            <v>12</v>
          </cell>
          <cell r="R79">
            <v>4</v>
          </cell>
          <cell r="S79">
            <v>74</v>
          </cell>
          <cell r="T79">
            <v>2</v>
          </cell>
          <cell r="U79">
            <v>76</v>
          </cell>
          <cell r="V79">
            <v>67</v>
          </cell>
          <cell r="W79" t="str">
            <v>목표 제품의 특이성과 계절별 제품의 포지셔닝 등 단게별 개발 전략은 양호하게 제시되어 있으나 타 성분 제품과의 명확한 차별성이 부족하고 부가적 디바이스 개발 등에 의한 시장 경쟁력 확보 방안이 부족한 것으로 판단됨</v>
          </cell>
        </row>
        <row r="80">
          <cell r="B80">
            <v>20430395</v>
          </cell>
          <cell r="C80" t="str">
            <v>지역기반</v>
          </cell>
          <cell r="D80" t="str">
            <v>화공ㆍ섬유</v>
          </cell>
          <cell r="E80" t="str">
            <v>고양이와 안전하게 외출할 수 있는 슬개골‧디스크 케어 이동가방</v>
          </cell>
          <cell r="F80" t="str">
            <v>488,321,219</v>
          </cell>
          <cell r="G80" t="str">
            <v>1</v>
          </cell>
          <cell r="H80" t="str">
            <v>도약</v>
          </cell>
          <cell r="I80" t="str">
            <v>청년</v>
          </cell>
          <cell r="J80">
            <v>0</v>
          </cell>
          <cell r="K80">
            <v>9</v>
          </cell>
          <cell r="L80">
            <v>9</v>
          </cell>
          <cell r="M80">
            <v>10</v>
          </cell>
          <cell r="N80">
            <v>12</v>
          </cell>
          <cell r="O80">
            <v>9</v>
          </cell>
          <cell r="P80">
            <v>8</v>
          </cell>
          <cell r="Q80">
            <v>12</v>
          </cell>
          <cell r="R80">
            <v>5</v>
          </cell>
          <cell r="S80">
            <v>74</v>
          </cell>
          <cell r="T80">
            <v>2</v>
          </cell>
          <cell r="U80">
            <v>76</v>
          </cell>
          <cell r="V80">
            <v>67</v>
          </cell>
          <cell r="W80" t="str">
            <v>소비자의 편의성과 수요 제품의 부분적 시장에 대응하는 제품으로 기술적 난이도가 낮고 마켓팅 의존성이 높아 영업 연계가 용이하지 않을 것으로 판단됨. 유사 제품과의 경쟁력 확보에 대한 전략 수립이 필요함</v>
          </cell>
        </row>
        <row r="81">
          <cell r="B81">
            <v>20415838</v>
          </cell>
          <cell r="C81" t="str">
            <v>지역기반</v>
          </cell>
          <cell r="D81" t="str">
            <v>화공ㆍ섬유</v>
          </cell>
          <cell r="E81" t="str">
            <v>사춘기 호르몬성 과지피 해결을 위한 징크PCA 기반 미스트 및 블록체인 이력관리 시스템</v>
          </cell>
          <cell r="F81" t="str">
            <v>0</v>
          </cell>
          <cell r="G81" t="str">
            <v>0</v>
          </cell>
          <cell r="H81" t="str">
            <v>예비</v>
          </cell>
          <cell r="I81" t="str">
            <v>중장년</v>
          </cell>
          <cell r="J81">
            <v>0</v>
          </cell>
          <cell r="K81">
            <v>8</v>
          </cell>
          <cell r="L81">
            <v>9</v>
          </cell>
          <cell r="M81">
            <v>14</v>
          </cell>
          <cell r="N81">
            <v>15</v>
          </cell>
          <cell r="O81">
            <v>7</v>
          </cell>
          <cell r="P81">
            <v>6</v>
          </cell>
          <cell r="Q81">
            <v>12</v>
          </cell>
          <cell r="R81">
            <v>4</v>
          </cell>
          <cell r="S81">
            <v>75</v>
          </cell>
          <cell r="T81">
            <v>0</v>
          </cell>
          <cell r="U81">
            <v>75</v>
          </cell>
          <cell r="V81">
            <v>74</v>
          </cell>
          <cell r="W81" t="str">
            <v>개발제품의 타겟과 포지셔닝은 명확하나 제품의 가격경쟁력이 낮고 실제 시장 진입 가능성에 대한 구체적 근거제시가 부족함</v>
          </cell>
        </row>
        <row r="82">
          <cell r="B82">
            <v>20420130</v>
          </cell>
          <cell r="C82" t="str">
            <v>지역기반</v>
          </cell>
          <cell r="D82" t="str">
            <v>화공ㆍ섬유</v>
          </cell>
          <cell r="E82" t="str">
            <v>AI 지능형 위생 진단 기반의 고기능성 스마트 세정 솔루션</v>
          </cell>
          <cell r="F82" t="str">
            <v>74,945,377</v>
          </cell>
          <cell r="G82" t="str">
            <v>1</v>
          </cell>
          <cell r="H82" t="str">
            <v>초기</v>
          </cell>
          <cell r="I82" t="str">
            <v>청년</v>
          </cell>
          <cell r="J82">
            <v>0</v>
          </cell>
          <cell r="K82">
            <v>9</v>
          </cell>
          <cell r="L82">
            <v>9</v>
          </cell>
          <cell r="M82">
            <v>11</v>
          </cell>
          <cell r="N82">
            <v>11</v>
          </cell>
          <cell r="O82">
            <v>8</v>
          </cell>
          <cell r="P82">
            <v>8</v>
          </cell>
          <cell r="Q82">
            <v>12</v>
          </cell>
          <cell r="R82">
            <v>5</v>
          </cell>
          <cell r="S82">
            <v>73</v>
          </cell>
          <cell r="T82">
            <v>2</v>
          </cell>
          <cell r="U82">
            <v>75</v>
          </cell>
          <cell r="V82">
            <v>74</v>
          </cell>
          <cell r="W82" t="str">
            <v>세정제 소재 기술 개발과 연동 진단시스템 개발을 통한 플랫폼 구축 등의 목표는 제기되었으나 소재 개발의 구체성이 미흡하고 플랫폼의 활용을 통한 영업 확장성에 대한 근거가 미흡함</v>
          </cell>
        </row>
        <row r="83">
          <cell r="B83">
            <v>20424877</v>
          </cell>
          <cell r="C83" t="str">
            <v>지역기반</v>
          </cell>
          <cell r="D83" t="str">
            <v>화공ㆍ섬유</v>
          </cell>
          <cell r="E83" t="str">
            <v>2,000만 반려인의 동물병원 방문 1순위 ‘피부질환’ 문제를 해결하기 위해3D 유해성분 제로, 강아지 피부세포 실험으로 검증 특허 성분 함유 저자극 기능성 펫 스킨케어 ‘너티포비'</v>
          </cell>
          <cell r="F83" t="str">
            <v>3,585,411</v>
          </cell>
          <cell r="G83" t="str">
            <v>0</v>
          </cell>
          <cell r="H83" t="str">
            <v>초기</v>
          </cell>
          <cell r="I83" t="str">
            <v>청년</v>
          </cell>
          <cell r="J83">
            <v>0</v>
          </cell>
          <cell r="K83">
            <v>9</v>
          </cell>
          <cell r="L83">
            <v>8</v>
          </cell>
          <cell r="M83">
            <v>12</v>
          </cell>
          <cell r="N83">
            <v>12</v>
          </cell>
          <cell r="O83">
            <v>8</v>
          </cell>
          <cell r="P83">
            <v>8</v>
          </cell>
          <cell r="Q83">
            <v>13</v>
          </cell>
          <cell r="R83">
            <v>5</v>
          </cell>
          <cell r="S83">
            <v>75</v>
          </cell>
          <cell r="T83">
            <v>0</v>
          </cell>
          <cell r="U83">
            <v>75</v>
          </cell>
          <cell r="V83">
            <v>74</v>
          </cell>
          <cell r="W83" t="str">
            <v>반려동물의 피부 질환 예방 스킨 제품 개발과 제품의 제형 개발이 상당 완료된 상태로 목표 개발과  시장 진입은 가능할 것으로 판단되나 스킨 시장에 대한 구체적 시장 규모 제시가 부족하고 실질적 적용 가능성에 대한 근거가 미흡하여 영업 확장성이 낮을 것으로 예상됨</v>
          </cell>
        </row>
        <row r="84">
          <cell r="B84">
            <v>20427388</v>
          </cell>
          <cell r="C84" t="str">
            <v>지역기반</v>
          </cell>
          <cell r="D84" t="str">
            <v>화공ㆍ섬유</v>
          </cell>
          <cell r="E84" t="str">
            <v>pH5.5 이중 배합 기술 기반 두피세정·모발코팅 듀얼 케어 샴푸</v>
          </cell>
          <cell r="F84" t="str">
            <v>0</v>
          </cell>
          <cell r="G84" t="str">
            <v>0</v>
          </cell>
          <cell r="H84" t="str">
            <v>초기</v>
          </cell>
          <cell r="I84" t="str">
            <v>청년</v>
          </cell>
          <cell r="J84">
            <v>0</v>
          </cell>
          <cell r="K84">
            <v>9</v>
          </cell>
          <cell r="L84">
            <v>7</v>
          </cell>
          <cell r="M84">
            <v>13</v>
          </cell>
          <cell r="N84">
            <v>12</v>
          </cell>
          <cell r="O84">
            <v>9</v>
          </cell>
          <cell r="P84">
            <v>7</v>
          </cell>
          <cell r="Q84">
            <v>14</v>
          </cell>
          <cell r="R84">
            <v>4</v>
          </cell>
          <cell r="S84">
            <v>75</v>
          </cell>
          <cell r="T84">
            <v>0</v>
          </cell>
          <cell r="U84">
            <v>75</v>
          </cell>
          <cell r="V84">
            <v>74</v>
          </cell>
          <cell r="W84" t="str">
            <v>목표 제품의 개발방향과 사업화 전략은 양호하게 구성되어있으나 기존 판매 또는 유사개발 제품과의 차별성과 시장 현황에 대한 조사가 미흡하고 관련제품에 대한 지적 재산권 확보 방안이 부족함</v>
          </cell>
        </row>
        <row r="85">
          <cell r="B85">
            <v>20414538</v>
          </cell>
          <cell r="C85" t="str">
            <v>지역기반</v>
          </cell>
          <cell r="D85" t="str">
            <v>화공ㆍ섬유</v>
          </cell>
          <cell r="E85" t="str">
            <v>콘텐츠 반응 데이터 기반 소비자 니즈 분석을 통한 PB 제품 개발 및 운영 프로세스 기술 개발</v>
          </cell>
          <cell r="F85" t="str">
            <v>2,714,536,481</v>
          </cell>
          <cell r="G85" t="str">
            <v>11</v>
          </cell>
          <cell r="H85" t="str">
            <v>초기</v>
          </cell>
          <cell r="I85" t="str">
            <v>청년</v>
          </cell>
          <cell r="J85">
            <v>0</v>
          </cell>
          <cell r="K85">
            <v>9</v>
          </cell>
          <cell r="L85">
            <v>9</v>
          </cell>
          <cell r="M85">
            <v>10</v>
          </cell>
          <cell r="N85">
            <v>11</v>
          </cell>
          <cell r="O85">
            <v>9</v>
          </cell>
          <cell r="P85">
            <v>8</v>
          </cell>
          <cell r="Q85">
            <v>13</v>
          </cell>
          <cell r="R85">
            <v>5</v>
          </cell>
          <cell r="S85">
            <v>74</v>
          </cell>
          <cell r="T85">
            <v>0</v>
          </cell>
          <cell r="U85">
            <v>74</v>
          </cell>
          <cell r="V85">
            <v>78</v>
          </cell>
          <cell r="W85" t="str">
            <v>기존 OEM 시스템 대비 일원화 시스템 구축의 효과는 높으나 제품의 다양성 개발 및 외주 소싱력 약화 등의 문제점이 예상되고 인풀루언스 활용 등에 의한 자체 마켓팅 역량 강화 방안 등의 제시가 부족함</v>
          </cell>
        </row>
        <row r="86">
          <cell r="B86">
            <v>20426074</v>
          </cell>
          <cell r="C86" t="str">
            <v>지역기반</v>
          </cell>
          <cell r="D86" t="str">
            <v>화공ㆍ섬유</v>
          </cell>
          <cell r="E86" t="str">
            <v>피부 트러블 및 소재 손상 방지를 위한 중성 포뮬러 기반  아이웨어 전용 폼 워시</v>
          </cell>
          <cell r="F86" t="str">
            <v>0</v>
          </cell>
          <cell r="G86" t="str">
            <v>0</v>
          </cell>
          <cell r="H86" t="str">
            <v>초기</v>
          </cell>
          <cell r="I86" t="str">
            <v>청년</v>
          </cell>
          <cell r="J86">
            <v>0</v>
          </cell>
          <cell r="K86">
            <v>9</v>
          </cell>
          <cell r="L86">
            <v>8</v>
          </cell>
          <cell r="M86">
            <v>12</v>
          </cell>
          <cell r="N86">
            <v>12</v>
          </cell>
          <cell r="O86">
            <v>8</v>
          </cell>
          <cell r="P86">
            <v>7</v>
          </cell>
          <cell r="Q86">
            <v>12</v>
          </cell>
          <cell r="R86">
            <v>4</v>
          </cell>
          <cell r="S86">
            <v>72</v>
          </cell>
          <cell r="T86">
            <v>2</v>
          </cell>
          <cell r="U86">
            <v>74</v>
          </cell>
          <cell r="V86">
            <v>78</v>
          </cell>
          <cell r="W86" t="str">
            <v xml:space="preserve">렌즈 크리닝 전용 세제의 제형 개발과 제품성 검증 등은 완료되었고 전반적 제품에 대한 시험 검증 등 제품 자체 개발은 달성되었으나 유사 일반적 계면활성제 활용방법 대비 사용 편의성 및 제품 경쟁력 확보 방안이 부족함. </v>
          </cell>
        </row>
        <row r="87">
          <cell r="B87">
            <v>20422874</v>
          </cell>
          <cell r="C87" t="str">
            <v>지역기반</v>
          </cell>
          <cell r="D87" t="str">
            <v>화공ㆍ섬유</v>
          </cell>
          <cell r="E87" t="str">
            <v>굴패각과 리싸이클 패트병을 활용한 친환경 원단 개발 및 지속가능한 의류 제작</v>
          </cell>
          <cell r="F87" t="str">
            <v>0</v>
          </cell>
          <cell r="G87" t="str">
            <v>0</v>
          </cell>
          <cell r="H87" t="str">
            <v>예비</v>
          </cell>
          <cell r="I87" t="str">
            <v>중장년</v>
          </cell>
          <cell r="J87">
            <v>0</v>
          </cell>
          <cell r="K87">
            <v>8</v>
          </cell>
          <cell r="L87">
            <v>8</v>
          </cell>
          <cell r="M87">
            <v>12</v>
          </cell>
          <cell r="N87">
            <v>13</v>
          </cell>
          <cell r="O87">
            <v>8</v>
          </cell>
          <cell r="P87">
            <v>7</v>
          </cell>
          <cell r="Q87">
            <v>13</v>
          </cell>
          <cell r="R87">
            <v>4</v>
          </cell>
          <cell r="S87">
            <v>73</v>
          </cell>
          <cell r="T87">
            <v>0</v>
          </cell>
          <cell r="U87">
            <v>73</v>
          </cell>
          <cell r="V87">
            <v>80</v>
          </cell>
          <cell r="W87" t="str">
            <v>자원재활용의 의미가 있고 의류 트렌드와 일치되는 제품개발로 상징성은 있으나 제품과 과정의 가치대비 가격경쟁력 확보와 시장 진입의 난이성으로 매출 효과 기대가 어려움</v>
          </cell>
        </row>
        <row r="88">
          <cell r="B88">
            <v>20408878</v>
          </cell>
          <cell r="C88" t="str">
            <v>지역기반</v>
          </cell>
          <cell r="D88" t="str">
            <v>화공ㆍ섬유</v>
          </cell>
          <cell r="E88" t="str">
            <v>HERMEN – Preserve Line [스킨 케어 브랜드 (화장품)]</v>
          </cell>
          <cell r="F88" t="str">
            <v>0</v>
          </cell>
          <cell r="G88" t="str">
            <v>1</v>
          </cell>
          <cell r="H88" t="str">
            <v>초기</v>
          </cell>
          <cell r="I88" t="str">
            <v>중장년</v>
          </cell>
          <cell r="J88">
            <v>0</v>
          </cell>
          <cell r="K88">
            <v>8</v>
          </cell>
          <cell r="L88">
            <v>10</v>
          </cell>
          <cell r="M88">
            <v>10</v>
          </cell>
          <cell r="N88">
            <v>11</v>
          </cell>
          <cell r="O88">
            <v>8</v>
          </cell>
          <cell r="P88">
            <v>8</v>
          </cell>
          <cell r="Q88">
            <v>13</v>
          </cell>
          <cell r="R88">
            <v>5</v>
          </cell>
          <cell r="S88">
            <v>73</v>
          </cell>
          <cell r="T88">
            <v>0</v>
          </cell>
          <cell r="U88">
            <v>73</v>
          </cell>
          <cell r="V88">
            <v>80</v>
          </cell>
          <cell r="W88" t="str">
            <v xml:space="preserve">스킨케어 시장 규모에 대응한 제품개발이 가능하고 개발자 및 담당자의 역량이 높아 매출 연계성은 클 것으로 판단됨.  제품의 경쟁력보다 마켓팅 의존성에 의한 영업 효과로 인해 영업 지속성 및 경쟁력 확보의 어려움이 예상됨. </v>
          </cell>
        </row>
        <row r="89">
          <cell r="B89">
            <v>20413912</v>
          </cell>
          <cell r="C89" t="str">
            <v>지역기반</v>
          </cell>
          <cell r="D89" t="str">
            <v>화공ㆍ섬유</v>
          </cell>
          <cell r="E89" t="str">
            <v>20만건 퍼스널컬러 진단 데이터를 기반으로 메이크업·패션 제품을 개인 맞춤 추천하는 AI 연계형 K-뷰티 글로벌 플랫폼</v>
          </cell>
          <cell r="F89" t="str">
            <v>1,563,403,436</v>
          </cell>
          <cell r="G89" t="str">
            <v>11</v>
          </cell>
          <cell r="H89" t="str">
            <v>초기</v>
          </cell>
          <cell r="I89" t="str">
            <v>중장년</v>
          </cell>
          <cell r="J89">
            <v>0</v>
          </cell>
          <cell r="K89">
            <v>9</v>
          </cell>
          <cell r="L89">
            <v>10</v>
          </cell>
          <cell r="M89">
            <v>10</v>
          </cell>
          <cell r="N89">
            <v>10</v>
          </cell>
          <cell r="O89">
            <v>9</v>
          </cell>
          <cell r="P89">
            <v>8</v>
          </cell>
          <cell r="Q89">
            <v>12</v>
          </cell>
          <cell r="R89">
            <v>5</v>
          </cell>
          <cell r="S89">
            <v>73</v>
          </cell>
          <cell r="T89">
            <v>0</v>
          </cell>
          <cell r="U89">
            <v>73</v>
          </cell>
          <cell r="V89">
            <v>80</v>
          </cell>
          <cell r="W89" t="str">
            <v>개발 플랫폼의 검증이 완료되고 진단과 판매의 연계성 문제에 대한 분석이 완료된 상태로 매출 가능성은 높으나 유사 플랫폼에 대한 분석이 미흡하고 실질적 경쟁우위 확보 방안이 부족함</v>
          </cell>
        </row>
        <row r="90">
          <cell r="B90">
            <v>20419677</v>
          </cell>
          <cell r="C90" t="str">
            <v>지역기반</v>
          </cell>
          <cell r="D90" t="str">
            <v>화공ㆍ섬유</v>
          </cell>
          <cell r="E90" t="str">
            <v>오토와인더 기술이 적용된  폴리프로필렌(PP) 원사 제조 및 인공지능 공정 제어를 위한 DX</v>
          </cell>
          <cell r="F90" t="str">
            <v>237,000,000</v>
          </cell>
          <cell r="G90" t="str">
            <v>3</v>
          </cell>
          <cell r="H90" t="str">
            <v>초기</v>
          </cell>
          <cell r="I90" t="str">
            <v>청년</v>
          </cell>
          <cell r="J90">
            <v>0</v>
          </cell>
          <cell r="K90">
            <v>9</v>
          </cell>
          <cell r="L90">
            <v>8</v>
          </cell>
          <cell r="M90">
            <v>11</v>
          </cell>
          <cell r="N90">
            <v>12</v>
          </cell>
          <cell r="O90">
            <v>8</v>
          </cell>
          <cell r="P90">
            <v>7</v>
          </cell>
          <cell r="Q90">
            <v>13</v>
          </cell>
          <cell r="R90">
            <v>5</v>
          </cell>
          <cell r="S90">
            <v>73</v>
          </cell>
          <cell r="T90">
            <v>0</v>
          </cell>
          <cell r="U90">
            <v>73</v>
          </cell>
          <cell r="V90">
            <v>80</v>
          </cell>
          <cell r="W90" t="str">
            <v>제품개발 보다 공정 개발로 주요 핵심 부품인 오토 와인더를 통한 생산 효율성 증가 및 원사 경쟁력 확보의 목표는 완료 가능하나 실제적 개발 내용은 부족한 것으로 판단됨.</v>
          </cell>
        </row>
        <row r="91">
          <cell r="B91">
            <v>20413097</v>
          </cell>
          <cell r="C91" t="str">
            <v>지역기반</v>
          </cell>
          <cell r="D91" t="str">
            <v>화공ㆍ섬유</v>
          </cell>
          <cell r="E91" t="str">
            <v>AI 기반 제조 공정 혁신 기술이 적용된 글로벌 타겟 프리미엄 K-디저트 개발 및 사업화</v>
          </cell>
          <cell r="F91" t="str">
            <v>1,000,000,000</v>
          </cell>
          <cell r="G91" t="str">
            <v>13</v>
          </cell>
          <cell r="H91" t="str">
            <v>도약</v>
          </cell>
          <cell r="I91" t="str">
            <v>청년</v>
          </cell>
          <cell r="J91">
            <v>0</v>
          </cell>
          <cell r="K91">
            <v>8</v>
          </cell>
          <cell r="L91">
            <v>8</v>
          </cell>
          <cell r="M91">
            <v>12</v>
          </cell>
          <cell r="N91">
            <v>12</v>
          </cell>
          <cell r="O91">
            <v>8</v>
          </cell>
          <cell r="P91">
            <v>8</v>
          </cell>
          <cell r="Q91">
            <v>12</v>
          </cell>
          <cell r="R91">
            <v>5</v>
          </cell>
          <cell r="S91">
            <v>73</v>
          </cell>
          <cell r="T91">
            <v>0</v>
          </cell>
          <cell r="U91">
            <v>73</v>
          </cell>
          <cell r="V91">
            <v>80</v>
          </cell>
          <cell r="W91" t="str">
            <v>식품 제조 방식의 자동화에 의한 품질 균일화의 의미는 있으나 감성에 의한 부분에 대한 검토가 필요함. 관련 개발 기술 및 개발에 대한 유사성과 용이성이 높아 사업화 진행이후 확장성은 높지 않을 것으로 판단됨</v>
          </cell>
        </row>
        <row r="92">
          <cell r="B92">
            <v>20412771</v>
          </cell>
          <cell r="C92" t="str">
            <v>지역기반</v>
          </cell>
          <cell r="D92" t="str">
            <v>화공ㆍ섬유</v>
          </cell>
          <cell r="E92" t="str">
            <v>고온 향 유지 기반 1인 가구 맞춤형 원스톱 조미료 제조 사업</v>
          </cell>
          <cell r="F92" t="str">
            <v>148,994,539</v>
          </cell>
          <cell r="G92" t="str">
            <v>1</v>
          </cell>
          <cell r="H92" t="str">
            <v>초기</v>
          </cell>
          <cell r="I92" t="str">
            <v>청년</v>
          </cell>
          <cell r="J92">
            <v>0</v>
          </cell>
          <cell r="K92">
            <v>9</v>
          </cell>
          <cell r="L92">
            <v>9</v>
          </cell>
          <cell r="M92">
            <v>9</v>
          </cell>
          <cell r="N92">
            <v>10</v>
          </cell>
          <cell r="O92">
            <v>9</v>
          </cell>
          <cell r="P92">
            <v>7</v>
          </cell>
          <cell r="Q92">
            <v>12</v>
          </cell>
          <cell r="R92">
            <v>5</v>
          </cell>
          <cell r="S92">
            <v>70</v>
          </cell>
          <cell r="T92">
            <v>2</v>
          </cell>
          <cell r="U92">
            <v>72</v>
          </cell>
          <cell r="V92">
            <v>85</v>
          </cell>
          <cell r="W92" t="str">
            <v>생활 편의성을 위한 제품 개발이나 개발의 난이도는 낮고 실질적 제품화를 통한 매출 확대 가능성이 낮을 것으로 평가되며 제시된 영업 전략에 의한 영업 지속성의 근거가 낮은 것으로 평가됨</v>
          </cell>
        </row>
        <row r="93">
          <cell r="B93">
            <v>20426450</v>
          </cell>
          <cell r="C93" t="str">
            <v>지역기반</v>
          </cell>
          <cell r="D93" t="str">
            <v>화공ㆍ섬유</v>
          </cell>
          <cell r="E93" t="str">
            <v>아우라 오브 조선 (Aura of Joseon)</v>
          </cell>
          <cell r="F93" t="str">
            <v>1,042,366,276</v>
          </cell>
          <cell r="G93" t="str">
            <v>1</v>
          </cell>
          <cell r="H93" t="str">
            <v>도약</v>
          </cell>
          <cell r="I93" t="str">
            <v>청년</v>
          </cell>
          <cell r="J93">
            <v>0</v>
          </cell>
          <cell r="K93">
            <v>8</v>
          </cell>
          <cell r="L93">
            <v>8</v>
          </cell>
          <cell r="M93">
            <v>12</v>
          </cell>
          <cell r="N93">
            <v>12</v>
          </cell>
          <cell r="O93">
            <v>9</v>
          </cell>
          <cell r="P93">
            <v>7</v>
          </cell>
          <cell r="Q93">
            <v>12</v>
          </cell>
          <cell r="R93">
            <v>4</v>
          </cell>
          <cell r="S93">
            <v>72</v>
          </cell>
          <cell r="T93">
            <v>0</v>
          </cell>
          <cell r="U93">
            <v>72</v>
          </cell>
          <cell r="V93">
            <v>85</v>
          </cell>
          <cell r="W93" t="str">
            <v xml:space="preserve">향수 조향 기술과 마켓팅 역량은 높으나 개발 제품의 사업화를 위해 단순히 자사몰과 플랫폼 활용 등으로 사업화 전개 전략은 다소 미흡한 것으로 판단됨. </v>
          </cell>
        </row>
        <row r="94">
          <cell r="B94">
            <v>20402057</v>
          </cell>
          <cell r="C94" t="str">
            <v>지역기반</v>
          </cell>
          <cell r="D94" t="str">
            <v>화공ㆍ섬유</v>
          </cell>
          <cell r="E94" t="str">
            <v>CODEBI 러닝·퍼포먼스 기능성 의류 (쇼츠, 상의, 타이즈, 액세서리)</v>
          </cell>
          <cell r="F94" t="str">
            <v>0</v>
          </cell>
          <cell r="G94" t="str">
            <v>0</v>
          </cell>
          <cell r="H94" t="str">
            <v>예비</v>
          </cell>
          <cell r="I94" t="str">
            <v>중장년</v>
          </cell>
          <cell r="J94">
            <v>0</v>
          </cell>
          <cell r="K94">
            <v>7</v>
          </cell>
          <cell r="L94">
            <v>9</v>
          </cell>
          <cell r="M94">
            <v>10</v>
          </cell>
          <cell r="N94">
            <v>13</v>
          </cell>
          <cell r="O94">
            <v>10</v>
          </cell>
          <cell r="P94">
            <v>6</v>
          </cell>
          <cell r="Q94">
            <v>11</v>
          </cell>
          <cell r="R94">
            <v>4</v>
          </cell>
          <cell r="S94">
            <v>70</v>
          </cell>
          <cell r="T94">
            <v>0</v>
          </cell>
          <cell r="U94">
            <v>70</v>
          </cell>
          <cell r="V94">
            <v>87</v>
          </cell>
          <cell r="W94" t="str">
            <v>전문 러닝 제품에 대한 수요의 필요성과 시장 규모 확대성은 있으나 기존 스포츠업체와의 경쟁력 확보가 어려울 것으로 판단됨</v>
          </cell>
        </row>
        <row r="95">
          <cell r="B95">
            <v>20420092</v>
          </cell>
          <cell r="C95" t="str">
            <v>지역기반</v>
          </cell>
          <cell r="D95" t="str">
            <v>화공ㆍ섬유</v>
          </cell>
          <cell r="E95" t="str">
            <v>90분 건조 브라</v>
          </cell>
          <cell r="F95" t="str">
            <v>0</v>
          </cell>
          <cell r="G95" t="str">
            <v>0</v>
          </cell>
          <cell r="H95" t="str">
            <v>예비</v>
          </cell>
          <cell r="I95" t="str">
            <v>청년</v>
          </cell>
          <cell r="J95">
            <v>0</v>
          </cell>
          <cell r="K95">
            <v>7</v>
          </cell>
          <cell r="L95">
            <v>8</v>
          </cell>
          <cell r="M95">
            <v>12</v>
          </cell>
          <cell r="N95">
            <v>14</v>
          </cell>
          <cell r="O95">
            <v>7</v>
          </cell>
          <cell r="P95">
            <v>5</v>
          </cell>
          <cell r="Q95">
            <v>12</v>
          </cell>
          <cell r="R95">
            <v>4</v>
          </cell>
          <cell r="S95">
            <v>69</v>
          </cell>
          <cell r="T95">
            <v>0</v>
          </cell>
          <cell r="U95">
            <v>69</v>
          </cell>
          <cell r="V95">
            <v>88</v>
          </cell>
          <cell r="W95" t="str">
            <v>여행을 즐기는 여성소비자의 필요성은 있으나 개발에 따른 시장 확장성이 약하고 사업화 제시 방향도부족한 것으로 판단됨</v>
          </cell>
        </row>
        <row r="96">
          <cell r="B96">
            <v>20439838</v>
          </cell>
          <cell r="C96" t="str">
            <v>지역기반</v>
          </cell>
          <cell r="D96" t="str">
            <v>화공ㆍ섬유</v>
          </cell>
          <cell r="E96" t="str">
            <v>핏 중심 기능성 러닝웨어 브랜드 개발 및 사업화</v>
          </cell>
          <cell r="F96" t="str">
            <v>0</v>
          </cell>
          <cell r="G96" t="str">
            <v>1</v>
          </cell>
          <cell r="H96" t="str">
            <v>예비</v>
          </cell>
          <cell r="I96" t="str">
            <v>청년</v>
          </cell>
          <cell r="J96">
            <v>0</v>
          </cell>
          <cell r="K96">
            <v>8</v>
          </cell>
          <cell r="L96">
            <v>8</v>
          </cell>
          <cell r="M96">
            <v>12</v>
          </cell>
          <cell r="N96">
            <v>11</v>
          </cell>
          <cell r="O96">
            <v>8</v>
          </cell>
          <cell r="P96">
            <v>6</v>
          </cell>
          <cell r="Q96">
            <v>12</v>
          </cell>
          <cell r="R96">
            <v>4</v>
          </cell>
          <cell r="S96">
            <v>69</v>
          </cell>
          <cell r="T96">
            <v>0</v>
          </cell>
          <cell r="U96">
            <v>69</v>
          </cell>
          <cell r="V96">
            <v>88</v>
          </cell>
          <cell r="W96" t="str">
            <v>개발 대상 제품이 평이하고 경쟁 및 시장 분석에 대한 구체성과 마켓팅 전략의 차별성이 미흡한 것으로 판단됨. 향후 매출 실현에 대한 구체성이 미흡함</v>
          </cell>
        </row>
        <row r="97">
          <cell r="B97">
            <v>20411654</v>
          </cell>
          <cell r="C97" t="str">
            <v>지역기반</v>
          </cell>
          <cell r="D97" t="str">
            <v>화공ㆍ섬유</v>
          </cell>
          <cell r="E97" t="str">
            <v>여성 착용 편안성을 개선한 기능성 심리스 브라 및 언더웨어 제품 개발 사업</v>
          </cell>
          <cell r="F97" t="str">
            <v>230,000,000</v>
          </cell>
          <cell r="G97" t="str">
            <v>3</v>
          </cell>
          <cell r="H97" t="str">
            <v>초기</v>
          </cell>
          <cell r="I97" t="str">
            <v>중장년</v>
          </cell>
          <cell r="J97">
            <v>0</v>
          </cell>
          <cell r="K97">
            <v>9</v>
          </cell>
          <cell r="L97">
            <v>8</v>
          </cell>
          <cell r="M97">
            <v>10</v>
          </cell>
          <cell r="N97">
            <v>11</v>
          </cell>
          <cell r="O97">
            <v>7</v>
          </cell>
          <cell r="P97">
            <v>8</v>
          </cell>
          <cell r="Q97">
            <v>12</v>
          </cell>
          <cell r="R97">
            <v>4</v>
          </cell>
          <cell r="S97">
            <v>69</v>
          </cell>
          <cell r="T97">
            <v>0</v>
          </cell>
          <cell r="U97">
            <v>69</v>
          </cell>
          <cell r="V97">
            <v>88</v>
          </cell>
          <cell r="W97" t="str">
            <v xml:space="preserve">국내 제품 개발 방향과 실질적 제품군에 대한 조사가 미흡하고 목표 제품개발시 경쟁력 분석 및 확보 방안이 부족함.  3D활용 제품 및 인체 착용화 프로그램 개발 등 현제품 적용 기술에 대한 분석과 차별화 전략 등의 비교 자료가 부족함.  </v>
          </cell>
        </row>
        <row r="98">
          <cell r="B98">
            <v>20417853</v>
          </cell>
          <cell r="C98" t="str">
            <v>지역기반</v>
          </cell>
          <cell r="D98" t="str">
            <v>화공ㆍ섬유</v>
          </cell>
          <cell r="E98" t="str">
            <v>AI 가상피팅 기반의 데이터 검증 및 고객 반응형 생산 D2C 패션 브랜드</v>
          </cell>
          <cell r="F98" t="str">
            <v>2,800,000</v>
          </cell>
          <cell r="G98" t="str">
            <v>0</v>
          </cell>
          <cell r="H98" t="str">
            <v>초기</v>
          </cell>
          <cell r="I98" t="str">
            <v>중장년</v>
          </cell>
          <cell r="J98">
            <v>0</v>
          </cell>
          <cell r="K98">
            <v>8</v>
          </cell>
          <cell r="L98">
            <v>8</v>
          </cell>
          <cell r="M98">
            <v>12</v>
          </cell>
          <cell r="N98">
            <v>11</v>
          </cell>
          <cell r="O98">
            <v>8</v>
          </cell>
          <cell r="P98">
            <v>6</v>
          </cell>
          <cell r="Q98">
            <v>12</v>
          </cell>
          <cell r="R98">
            <v>4</v>
          </cell>
          <cell r="S98">
            <v>69</v>
          </cell>
          <cell r="T98">
            <v>0</v>
          </cell>
          <cell r="U98">
            <v>69</v>
          </cell>
          <cell r="V98">
            <v>88</v>
          </cell>
          <cell r="W98" t="str">
            <v>AI 기반의 피팅 및 최적화 적용 플랫폼 개발은 유사한 플랫폼이 존재하고 있으므로 과제 개발의 차별성이 부족하고 자사몰 활용의 매출은 기대되나 확장성은 부족할 것으로 판단됨.</v>
          </cell>
        </row>
        <row r="99">
          <cell r="B99">
            <v>20427695</v>
          </cell>
          <cell r="C99" t="str">
            <v>지역기반</v>
          </cell>
          <cell r="D99" t="str">
            <v>화공ㆍ섬유</v>
          </cell>
          <cell r="E99" t="str">
            <v>국내외 중소 브랜드를 위한 MOQ 100 기반 K-Denim End-to-End OEM 플랫폼</v>
          </cell>
          <cell r="F99" t="str">
            <v>3,192,172,185</v>
          </cell>
          <cell r="G99" t="str">
            <v>11</v>
          </cell>
          <cell r="H99" t="str">
            <v>초기</v>
          </cell>
          <cell r="I99" t="str">
            <v>중장년</v>
          </cell>
          <cell r="J99">
            <v>0</v>
          </cell>
          <cell r="K99">
            <v>8</v>
          </cell>
          <cell r="L99">
            <v>8</v>
          </cell>
          <cell r="M99">
            <v>11</v>
          </cell>
          <cell r="N99">
            <v>11</v>
          </cell>
          <cell r="O99">
            <v>9</v>
          </cell>
          <cell r="P99">
            <v>6</v>
          </cell>
          <cell r="Q99">
            <v>12</v>
          </cell>
          <cell r="R99">
            <v>4</v>
          </cell>
          <cell r="S99">
            <v>69</v>
          </cell>
          <cell r="T99">
            <v>0</v>
          </cell>
          <cell r="U99">
            <v>69</v>
          </cell>
          <cell r="V99">
            <v>88</v>
          </cell>
          <cell r="W99" t="str">
            <v>의류에 대한 맞춤형 생산 시스템 플랫폼은 다양하게 존재하고 본 과제의 소량 관리 플랫폼의 경우 다량 오더에 의한 문제점을 예방하는 효과는 있으나 기존 플랫폼과의 차별성이 부족하여 경쟁력 확보가 어려울 것으로 판단됨.</v>
          </cell>
        </row>
        <row r="100">
          <cell r="B100">
            <v>20431143</v>
          </cell>
          <cell r="C100" t="str">
            <v>지역기반</v>
          </cell>
          <cell r="D100" t="str">
            <v>화공ㆍ섬유</v>
          </cell>
          <cell r="E100" t="str">
            <v>멀티유즈 프리미엄 라이프케어 제품 개발 및 브랜드 사업화</v>
          </cell>
          <cell r="F100" t="str">
            <v>0</v>
          </cell>
          <cell r="G100" t="str">
            <v>0</v>
          </cell>
          <cell r="H100" t="str">
            <v>초기</v>
          </cell>
          <cell r="I100" t="str">
            <v>청년</v>
          </cell>
          <cell r="J100">
            <v>0</v>
          </cell>
          <cell r="K100">
            <v>9</v>
          </cell>
          <cell r="L100">
            <v>8</v>
          </cell>
          <cell r="M100">
            <v>11</v>
          </cell>
          <cell r="N100">
            <v>11</v>
          </cell>
          <cell r="O100">
            <v>8</v>
          </cell>
          <cell r="P100">
            <v>7</v>
          </cell>
          <cell r="Q100">
            <v>11</v>
          </cell>
          <cell r="R100">
            <v>4</v>
          </cell>
          <cell r="S100">
            <v>69</v>
          </cell>
          <cell r="T100">
            <v>0</v>
          </cell>
          <cell r="U100">
            <v>69</v>
          </cell>
          <cell r="V100">
            <v>88</v>
          </cell>
          <cell r="W100" t="str">
            <v>소비자 편의성을 위한 복합 기능 세제 제품 개발로 시장 접근성은 있으나 복합화 기술에 대한 난이도가 낮고 제품 경쟁력 확보가 다소 어려울 것으로 보이며  감성 중심의 마켓팅 전략에 의한 영업적 한계가 있을 것으로 판단됨.</v>
          </cell>
        </row>
        <row r="101">
          <cell r="B101">
            <v>20432575</v>
          </cell>
          <cell r="C101" t="str">
            <v>지역기반</v>
          </cell>
          <cell r="D101" t="str">
            <v>화공ㆍ섬유</v>
          </cell>
          <cell r="E101" t="str">
            <v>비건·할랄 기준을 적용한 피부장벽·탄력 개선 기능의 글로벌 스킨케어 제품</v>
          </cell>
          <cell r="F101" t="str">
            <v>150,000,000</v>
          </cell>
          <cell r="G101" t="str">
            <v>3</v>
          </cell>
          <cell r="H101" t="str">
            <v>초기</v>
          </cell>
          <cell r="I101" t="str">
            <v>청년</v>
          </cell>
          <cell r="J101">
            <v>0</v>
          </cell>
          <cell r="K101">
            <v>9</v>
          </cell>
          <cell r="L101">
            <v>7</v>
          </cell>
          <cell r="M101">
            <v>12</v>
          </cell>
          <cell r="N101">
            <v>10</v>
          </cell>
          <cell r="O101">
            <v>7</v>
          </cell>
          <cell r="P101">
            <v>8</v>
          </cell>
          <cell r="Q101">
            <v>12</v>
          </cell>
          <cell r="R101">
            <v>4</v>
          </cell>
          <cell r="S101">
            <v>69</v>
          </cell>
          <cell r="T101">
            <v>0</v>
          </cell>
          <cell r="U101">
            <v>69</v>
          </cell>
          <cell r="V101">
            <v>88</v>
          </cell>
          <cell r="W101" t="str">
            <v>비건과 할랄 화장품 요구 시장에 대응하는 제품개발로 타겟 시장에 대한 영업 목표는 구체화되어 있으나 시장성이 협소하고 개발 과정에서의 인증 및 콘텐츠 등 프로세스가 기존 제품과 유사하고 제품에 대한 차별성이 부족하여 향후 시장 진입시 경쟁력 확보가 어려울 것으로 판단됨</v>
          </cell>
        </row>
        <row r="102">
          <cell r="B102">
            <v>20440248</v>
          </cell>
          <cell r="C102" t="str">
            <v>지역기반</v>
          </cell>
          <cell r="D102" t="str">
            <v>화공ㆍ섬유</v>
          </cell>
          <cell r="E102" t="str">
            <v>버려지는 부산물을 활용한 주름개선용 식물성 펩타이드 소재 사업화</v>
          </cell>
          <cell r="F102" t="str">
            <v>63,000,000</v>
          </cell>
          <cell r="G102" t="str">
            <v>0</v>
          </cell>
          <cell r="H102" t="str">
            <v>초기</v>
          </cell>
          <cell r="I102" t="str">
            <v>중장년</v>
          </cell>
          <cell r="J102">
            <v>0</v>
          </cell>
          <cell r="K102">
            <v>8</v>
          </cell>
          <cell r="L102">
            <v>7</v>
          </cell>
          <cell r="M102">
            <v>11</v>
          </cell>
          <cell r="N102">
            <v>12</v>
          </cell>
          <cell r="O102">
            <v>7</v>
          </cell>
          <cell r="P102">
            <v>7</v>
          </cell>
          <cell r="Q102">
            <v>13</v>
          </cell>
          <cell r="R102">
            <v>4</v>
          </cell>
          <cell r="S102">
            <v>69</v>
          </cell>
          <cell r="T102">
            <v>0</v>
          </cell>
          <cell r="U102">
            <v>69</v>
          </cell>
          <cell r="V102">
            <v>88</v>
          </cell>
          <cell r="W102" t="str">
            <v>농산물 부산물 활용한 친환경 화장품의 시장 컨셉에 부응하고 천연물에 의한 안정성 확보 등에 대한 제품 개발의 의미는 있으나 개발과 성능평가, 특허 출원 등 단시간 달성하기 어려운 부분이 있고 타 농산물 부산물 활용 제품과의 경쟁력 확보 방안에 대한 전략도 필요할 것으로 판단됨.</v>
          </cell>
        </row>
        <row r="103">
          <cell r="B103">
            <v>20404514</v>
          </cell>
          <cell r="C103" t="str">
            <v>지역기반</v>
          </cell>
          <cell r="D103" t="str">
            <v>화공ㆍ섬유</v>
          </cell>
          <cell r="E103" t="str">
            <v>건조기/스타일러 겸용 로컬라이징 천연 섬유유연제 시트 개발</v>
          </cell>
          <cell r="F103" t="str">
            <v>559,870,000</v>
          </cell>
          <cell r="G103" t="str">
            <v>9</v>
          </cell>
          <cell r="H103" t="str">
            <v>도약</v>
          </cell>
          <cell r="I103" t="str">
            <v>중장년</v>
          </cell>
          <cell r="J103">
            <v>0</v>
          </cell>
          <cell r="K103">
            <v>9</v>
          </cell>
          <cell r="L103">
            <v>7</v>
          </cell>
          <cell r="M103">
            <v>11</v>
          </cell>
          <cell r="N103">
            <v>11</v>
          </cell>
          <cell r="O103">
            <v>8</v>
          </cell>
          <cell r="P103">
            <v>7</v>
          </cell>
          <cell r="Q103">
            <v>12</v>
          </cell>
          <cell r="R103">
            <v>4</v>
          </cell>
          <cell r="S103">
            <v>69</v>
          </cell>
          <cell r="T103">
            <v>0</v>
          </cell>
          <cell r="U103">
            <v>69</v>
          </cell>
          <cell r="V103">
            <v>88</v>
          </cell>
          <cell r="W103" t="str">
            <v>기존 유사 제품과의 차별성이 미흡하고 시장 진입 가능성이 낮을 것으로 판단됨. 목표 제품 개발은 가능하나 기술적 난이도가 낮고 시장 경쟁력 확보가 어려울 것으로 판단되</v>
          </cell>
        </row>
        <row r="104">
          <cell r="B104">
            <v>20427672</v>
          </cell>
          <cell r="C104" t="str">
            <v>지역기반</v>
          </cell>
          <cell r="D104" t="str">
            <v>화공ㆍ섬유</v>
          </cell>
          <cell r="E104" t="str">
            <v>연화소재 기반 K-유자껍질 업사이클링 원료와 PLA 친환경 패키징을 활용하여 국내외로 지속가능 웰니스 경험을 선사하는 바디케어(바디로션) 제품 개발</v>
          </cell>
          <cell r="F104" t="str">
            <v>99,561,204</v>
          </cell>
          <cell r="G104" t="str">
            <v>2</v>
          </cell>
          <cell r="H104" t="str">
            <v>도약</v>
          </cell>
          <cell r="I104" t="str">
            <v>청년</v>
          </cell>
          <cell r="J104">
            <v>0</v>
          </cell>
          <cell r="K104">
            <v>9</v>
          </cell>
          <cell r="L104">
            <v>8</v>
          </cell>
          <cell r="M104">
            <v>10</v>
          </cell>
          <cell r="N104">
            <v>11</v>
          </cell>
          <cell r="O104">
            <v>8</v>
          </cell>
          <cell r="P104">
            <v>7</v>
          </cell>
          <cell r="Q104">
            <v>12</v>
          </cell>
          <cell r="R104">
            <v>4</v>
          </cell>
          <cell r="S104">
            <v>69</v>
          </cell>
          <cell r="T104">
            <v>0</v>
          </cell>
          <cell r="U104">
            <v>69</v>
          </cell>
          <cell r="V104">
            <v>88</v>
          </cell>
          <cell r="W104" t="str">
            <v xml:space="preserve">유자 껍질 부산물과 생분해성 포장지 등 패키지를 친환경 트렌드에 대응하는 제품 개발의 의미는 있으나 개발이 용이하고 기술적 차별성이 미흡함.  시장 경쟁력 강화 방안화 경쟁 제품과의 차별성 방안 제시가 미흡함 </v>
          </cell>
        </row>
        <row r="105">
          <cell r="B105">
            <v>20419831</v>
          </cell>
          <cell r="C105" t="str">
            <v>지역기반</v>
          </cell>
          <cell r="D105" t="str">
            <v>화공ㆍ섬유</v>
          </cell>
          <cell r="E105" t="str">
            <v>시니어 생활체육 파크골프에 특화된 파크골프 전문 기능성 의류 제작</v>
          </cell>
          <cell r="F105" t="str">
            <v>0</v>
          </cell>
          <cell r="G105" t="str">
            <v>0</v>
          </cell>
          <cell r="H105" t="str">
            <v>예비</v>
          </cell>
          <cell r="I105" t="str">
            <v>중장년</v>
          </cell>
          <cell r="J105">
            <v>0</v>
          </cell>
          <cell r="K105">
            <v>8</v>
          </cell>
          <cell r="L105">
            <v>7</v>
          </cell>
          <cell r="M105">
            <v>12</v>
          </cell>
          <cell r="N105">
            <v>12</v>
          </cell>
          <cell r="O105">
            <v>8</v>
          </cell>
          <cell r="P105">
            <v>6</v>
          </cell>
          <cell r="Q105">
            <v>12</v>
          </cell>
          <cell r="R105">
            <v>3</v>
          </cell>
          <cell r="S105">
            <v>68</v>
          </cell>
          <cell r="T105">
            <v>0</v>
          </cell>
          <cell r="U105">
            <v>68</v>
          </cell>
          <cell r="V105">
            <v>98</v>
          </cell>
          <cell r="W105" t="str">
            <v>개발제품의 시장이 작고 시장 확장성 대비 제품의 차별성 확보가 부족함.</v>
          </cell>
        </row>
        <row r="106">
          <cell r="B106">
            <v>20421895</v>
          </cell>
          <cell r="C106" t="str">
            <v>지역기반</v>
          </cell>
          <cell r="D106" t="str">
            <v>화공ㆍ섬유</v>
          </cell>
          <cell r="E106" t="str">
            <v>손쉽게 눌러쓰는 압출식 2 in 1 버블 토너</v>
          </cell>
          <cell r="F106" t="str">
            <v>0</v>
          </cell>
          <cell r="G106" t="str">
            <v>0</v>
          </cell>
          <cell r="H106" t="str">
            <v>예비</v>
          </cell>
          <cell r="I106" t="str">
            <v>청년</v>
          </cell>
          <cell r="J106">
            <v>0</v>
          </cell>
          <cell r="K106">
            <v>8</v>
          </cell>
          <cell r="L106">
            <v>6</v>
          </cell>
          <cell r="M106">
            <v>12</v>
          </cell>
          <cell r="N106">
            <v>12</v>
          </cell>
          <cell r="O106">
            <v>7</v>
          </cell>
          <cell r="P106">
            <v>7</v>
          </cell>
          <cell r="Q106">
            <v>12</v>
          </cell>
          <cell r="R106">
            <v>4</v>
          </cell>
          <cell r="S106">
            <v>68</v>
          </cell>
          <cell r="T106">
            <v>0</v>
          </cell>
          <cell r="U106">
            <v>68</v>
          </cell>
          <cell r="V106">
            <v>98</v>
          </cell>
          <cell r="W106" t="str">
            <v>단편적 개발 제품으로 실제적 사용성과 특이성은 있으나 시장의 우위성을 보유하기는 어려운 아이템으로 매출 확장성이 부족할 것으로 판단됨.</v>
          </cell>
        </row>
        <row r="107">
          <cell r="B107">
            <v>20424266</v>
          </cell>
          <cell r="C107" t="str">
            <v>지역기반</v>
          </cell>
          <cell r="D107" t="str">
            <v>화공ㆍ섬유</v>
          </cell>
          <cell r="E107" t="str">
            <v>AI 자가 피부진단 기반 맞춤형 화장품 제품화 및 글로벌 K-뷰티 진출</v>
          </cell>
          <cell r="F107" t="str">
            <v>0</v>
          </cell>
          <cell r="G107" t="str">
            <v>0</v>
          </cell>
          <cell r="H107" t="str">
            <v>예비</v>
          </cell>
          <cell r="I107" t="str">
            <v>중장년</v>
          </cell>
          <cell r="J107">
            <v>0</v>
          </cell>
          <cell r="K107">
            <v>7</v>
          </cell>
          <cell r="L107">
            <v>7</v>
          </cell>
          <cell r="M107">
            <v>10</v>
          </cell>
          <cell r="N107">
            <v>12</v>
          </cell>
          <cell r="O107">
            <v>8</v>
          </cell>
          <cell r="P107">
            <v>7</v>
          </cell>
          <cell r="Q107">
            <v>13</v>
          </cell>
          <cell r="R107">
            <v>4</v>
          </cell>
          <cell r="S107">
            <v>68</v>
          </cell>
          <cell r="T107">
            <v>0</v>
          </cell>
          <cell r="U107">
            <v>68</v>
          </cell>
          <cell r="V107">
            <v>98</v>
          </cell>
          <cell r="W107" t="str">
            <v>AI 기반의 피부진단과 활용 플랫폼은 유사 기업들이 많아 개발 특이성이 미흡하고 매출 발생인 플랫폼 회원 확보 방안이 미흡함</v>
          </cell>
        </row>
        <row r="108">
          <cell r="B108">
            <v>20426973</v>
          </cell>
          <cell r="C108" t="str">
            <v>지역기반</v>
          </cell>
          <cell r="D108" t="str">
            <v>화공ㆍ섬유</v>
          </cell>
          <cell r="E108" t="str">
            <v>혁신신소재 에어로젤을 활용한 응용소비재</v>
          </cell>
          <cell r="F108" t="str">
            <v>0</v>
          </cell>
          <cell r="G108" t="str">
            <v>0</v>
          </cell>
          <cell r="H108" t="str">
            <v>예비</v>
          </cell>
          <cell r="I108" t="str">
            <v>청년</v>
          </cell>
          <cell r="J108">
            <v>0</v>
          </cell>
          <cell r="K108">
            <v>7</v>
          </cell>
          <cell r="L108">
            <v>7</v>
          </cell>
          <cell r="M108">
            <v>12</v>
          </cell>
          <cell r="N108">
            <v>10</v>
          </cell>
          <cell r="O108">
            <v>8</v>
          </cell>
          <cell r="P108">
            <v>6</v>
          </cell>
          <cell r="Q108">
            <v>12</v>
          </cell>
          <cell r="R108">
            <v>4</v>
          </cell>
          <cell r="S108">
            <v>66</v>
          </cell>
          <cell r="T108">
            <v>2</v>
          </cell>
          <cell r="U108">
            <v>68</v>
          </cell>
          <cell r="V108">
            <v>98</v>
          </cell>
          <cell r="W108" t="str">
            <v>개발 소재의 고부가성 대비 개발 제품의 기술적 차별성이 미흡하고 시장성에 있어 제품 경쟁력 확보 방안이 미흡하며 시장 개발에 대한 전략도 미흡한 것으로 판단됨</v>
          </cell>
        </row>
        <row r="109">
          <cell r="B109">
            <v>20403598</v>
          </cell>
          <cell r="C109" t="str">
            <v>지역기반</v>
          </cell>
          <cell r="D109" t="str">
            <v>화공ㆍ섬유</v>
          </cell>
          <cell r="E109" t="str">
            <v>리텐션 고도화형 B2B 글로벌 수출 K-뷰티 속눈썹·글루 제품</v>
          </cell>
          <cell r="F109" t="str">
            <v>0</v>
          </cell>
          <cell r="G109" t="str">
            <v>0</v>
          </cell>
          <cell r="H109" t="str">
            <v>초기</v>
          </cell>
          <cell r="I109" t="str">
            <v>중장년</v>
          </cell>
          <cell r="J109">
            <v>0</v>
          </cell>
          <cell r="K109">
            <v>8</v>
          </cell>
          <cell r="L109">
            <v>8</v>
          </cell>
          <cell r="M109">
            <v>10</v>
          </cell>
          <cell r="N109">
            <v>11</v>
          </cell>
          <cell r="O109">
            <v>8</v>
          </cell>
          <cell r="P109">
            <v>8</v>
          </cell>
          <cell r="Q109">
            <v>11</v>
          </cell>
          <cell r="R109">
            <v>4</v>
          </cell>
          <cell r="S109">
            <v>68</v>
          </cell>
          <cell r="T109">
            <v>0</v>
          </cell>
          <cell r="U109">
            <v>68</v>
          </cell>
          <cell r="V109">
            <v>98</v>
          </cell>
          <cell r="W109" t="str">
            <v>개발자의 의욕이 높고 사업화 의지는 높으나 제품 자체의 구체적 개발 방향과 키트외 제품 자체에 대한 구체적 활용 방안이 애매하고 사업화 전략과 매출 방안에 대한 구체성이 미흡함</v>
          </cell>
        </row>
        <row r="110">
          <cell r="B110">
            <v>20407388</v>
          </cell>
          <cell r="C110" t="str">
            <v>지역기반</v>
          </cell>
          <cell r="D110" t="str">
            <v>화공ㆍ섬유</v>
          </cell>
          <cell r="E110" t="str">
            <v>F.BRX - 동대문 소상공인 원단업체을 위한 섬유 특화 3D/AI 기반 디지털 콘텐츠 제작 서비스</v>
          </cell>
          <cell r="F110" t="str">
            <v>60,000,000</v>
          </cell>
          <cell r="G110" t="str">
            <v>0</v>
          </cell>
          <cell r="H110" t="str">
            <v>초기</v>
          </cell>
          <cell r="I110" t="str">
            <v>중장년</v>
          </cell>
          <cell r="J110">
            <v>0</v>
          </cell>
          <cell r="K110">
            <v>8</v>
          </cell>
          <cell r="L110">
            <v>8</v>
          </cell>
          <cell r="M110">
            <v>11</v>
          </cell>
          <cell r="N110">
            <v>11</v>
          </cell>
          <cell r="O110">
            <v>7</v>
          </cell>
          <cell r="P110">
            <v>7</v>
          </cell>
          <cell r="Q110">
            <v>12</v>
          </cell>
          <cell r="R110">
            <v>4</v>
          </cell>
          <cell r="S110">
            <v>68</v>
          </cell>
          <cell r="T110">
            <v>0</v>
          </cell>
          <cell r="U110">
            <v>68</v>
          </cell>
          <cell r="V110">
            <v>98</v>
          </cell>
          <cell r="W110" t="str">
            <v>3D활용한 원단 매칭 및 AI기반 디자인 플랫폼 등 기존 프로그램에 대한 차별성이 낮고 적용 타켓이 구체화되었으나 실질적 적용 방안 및 매출 방안에 대한 분석이 미흡한 것으로 판단됨.</v>
          </cell>
        </row>
        <row r="111">
          <cell r="B111">
            <v>20432460</v>
          </cell>
          <cell r="C111" t="str">
            <v>지역기반</v>
          </cell>
          <cell r="D111" t="str">
            <v>화공ㆍ섬유</v>
          </cell>
          <cell r="E111" t="str">
            <v>여성 선수 체형 설계 데이터베이스 기반 퍼포먼스 스포츠웨어 '주키트(JUKIT) 우먼스 라인'</v>
          </cell>
          <cell r="F111" t="str">
            <v>77,000,000</v>
          </cell>
          <cell r="G111" t="str">
            <v>2</v>
          </cell>
          <cell r="H111" t="str">
            <v>초기</v>
          </cell>
          <cell r="I111" t="str">
            <v>청년</v>
          </cell>
          <cell r="J111">
            <v>0</v>
          </cell>
          <cell r="K111">
            <v>9</v>
          </cell>
          <cell r="L111">
            <v>7</v>
          </cell>
          <cell r="M111">
            <v>11</v>
          </cell>
          <cell r="N111">
            <v>11</v>
          </cell>
          <cell r="O111">
            <v>7</v>
          </cell>
          <cell r="P111">
            <v>7</v>
          </cell>
          <cell r="Q111">
            <v>12</v>
          </cell>
          <cell r="R111">
            <v>4</v>
          </cell>
          <cell r="S111">
            <v>68</v>
          </cell>
          <cell r="T111">
            <v>0</v>
          </cell>
          <cell r="U111">
            <v>68</v>
          </cell>
          <cell r="V111">
            <v>98</v>
          </cell>
          <cell r="W111" t="str">
            <v xml:space="preserve">여성 전용 스포츠 의류에 대한 체형 설계 시스템과 데이터를 활용한 제품 개발로 전문화된 포지셔닝과 특이성은 있으나 기존 3D 맞춤형 프로그램 및 Ai기반 의류 설계 플랫폼 등과 유사성이 있어 차별화는 다소 어려울 것으로 판단됨. </v>
          </cell>
        </row>
        <row r="112">
          <cell r="B112">
            <v>20425251</v>
          </cell>
          <cell r="C112" t="str">
            <v>대학발</v>
          </cell>
          <cell r="D112" t="str">
            <v>화공ㆍ섬유</v>
          </cell>
          <cell r="E112" t="str">
            <v>AI 안면 분석 기반 개인 맞춤형 눈썹 스타일링 키트</v>
          </cell>
          <cell r="F112" t="str">
            <v>0</v>
          </cell>
          <cell r="G112" t="str">
            <v>0</v>
          </cell>
          <cell r="H112" t="str">
            <v>초기</v>
          </cell>
          <cell r="I112" t="str">
            <v>중장년</v>
          </cell>
          <cell r="J112">
            <v>0</v>
          </cell>
          <cell r="K112">
            <v>8</v>
          </cell>
          <cell r="L112">
            <v>8</v>
          </cell>
          <cell r="M112">
            <v>11</v>
          </cell>
          <cell r="N112">
            <v>11</v>
          </cell>
          <cell r="O112">
            <v>8</v>
          </cell>
          <cell r="P112">
            <v>6</v>
          </cell>
          <cell r="Q112">
            <v>11</v>
          </cell>
          <cell r="R112">
            <v>5</v>
          </cell>
          <cell r="S112">
            <v>68</v>
          </cell>
          <cell r="T112">
            <v>0</v>
          </cell>
          <cell r="U112">
            <v>68</v>
          </cell>
          <cell r="V112">
            <v>98</v>
          </cell>
          <cell r="W112" t="str">
            <v>화장 시장의 수요가 있고 이에 대응한 제품개발이나 유사 제품과 앱 개발이 다양하게 존재하고 있으므로 기술적 난이도와 시장 경쟁력이 낮을 것으로 판단됨</v>
          </cell>
          <cell r="X112" t="str">
            <v>일치</v>
          </cell>
          <cell r="Y112" t="str">
            <v>AI 주력산업에 해당함</v>
          </cell>
        </row>
        <row r="113">
          <cell r="B113">
            <v>20422189</v>
          </cell>
          <cell r="C113" t="str">
            <v>대학발</v>
          </cell>
          <cell r="D113" t="str">
            <v>화공ㆍ섬유</v>
          </cell>
          <cell r="E113" t="str">
            <v>피부 장벽 개선 및 복합적 피부 고민 관리를 위한 스킨케어 솔루션</v>
          </cell>
          <cell r="F113" t="str">
            <v>2,000,000</v>
          </cell>
          <cell r="G113" t="str">
            <v>1</v>
          </cell>
          <cell r="H113" t="str">
            <v>도약</v>
          </cell>
          <cell r="I113" t="str">
            <v>중장년</v>
          </cell>
          <cell r="J113">
            <v>0</v>
          </cell>
          <cell r="K113">
            <v>8</v>
          </cell>
          <cell r="L113">
            <v>8</v>
          </cell>
          <cell r="M113">
            <v>10</v>
          </cell>
          <cell r="N113">
            <v>11</v>
          </cell>
          <cell r="O113">
            <v>8</v>
          </cell>
          <cell r="P113">
            <v>7</v>
          </cell>
          <cell r="Q113">
            <v>12</v>
          </cell>
          <cell r="R113">
            <v>4</v>
          </cell>
          <cell r="S113">
            <v>68</v>
          </cell>
          <cell r="T113">
            <v>0</v>
          </cell>
          <cell r="U113">
            <v>68</v>
          </cell>
          <cell r="V113">
            <v>98</v>
          </cell>
          <cell r="W113" t="str">
            <v>민감성 피부 대응 제품으로 시장 요구형 제품 개발 달성은 가능하나 유사 컨셉 제품군이  이미 판매가 진행되고 있어  이에 대한  영업 대응 전략이 부족한 것으로 판단됨</v>
          </cell>
          <cell r="X113" t="str">
            <v>불일치</v>
          </cell>
          <cell r="Y113" t="str">
            <v>주력산업분야에 해당되지 않은 것으로 판단됨</v>
          </cell>
        </row>
        <row r="114">
          <cell r="B114">
            <v>20408236</v>
          </cell>
          <cell r="C114" t="str">
            <v>지역기반</v>
          </cell>
          <cell r="D114" t="str">
            <v>화공ㆍ섬유</v>
          </cell>
          <cell r="E114" t="str">
            <v>니치퍼퓸, 아로마 해외 수출 전문 화장품</v>
          </cell>
          <cell r="F114" t="str">
            <v>60,000,000</v>
          </cell>
          <cell r="G114" t="str">
            <v>1</v>
          </cell>
          <cell r="H114" t="str">
            <v>도약</v>
          </cell>
          <cell r="I114" t="str">
            <v>청년</v>
          </cell>
          <cell r="J114">
            <v>0</v>
          </cell>
          <cell r="K114">
            <v>9</v>
          </cell>
          <cell r="L114">
            <v>7</v>
          </cell>
          <cell r="M114">
            <v>10</v>
          </cell>
          <cell r="N114">
            <v>10</v>
          </cell>
          <cell r="O114">
            <v>8</v>
          </cell>
          <cell r="P114">
            <v>7</v>
          </cell>
          <cell r="Q114">
            <v>12</v>
          </cell>
          <cell r="R114">
            <v>4</v>
          </cell>
          <cell r="S114">
            <v>67</v>
          </cell>
          <cell r="T114">
            <v>0</v>
          </cell>
          <cell r="U114">
            <v>67</v>
          </cell>
          <cell r="V114">
            <v>107</v>
          </cell>
          <cell r="W114" t="str">
            <v xml:space="preserve">제품 개발이 용이하여 개발 완료 가능성은 있으나 단순한 가성비 높은 마켓팅 제품 개발로 인한 사업성 의미가 있는 것으로 보이며 다양한 가성비 좋은  제품과의 경쟁력 확보는 어려울 것으로 판단됨 </v>
          </cell>
        </row>
        <row r="115">
          <cell r="B115">
            <v>20429774</v>
          </cell>
          <cell r="C115" t="str">
            <v>지역기반</v>
          </cell>
          <cell r="D115" t="str">
            <v>화공ㆍ섬유</v>
          </cell>
          <cell r="E115" t="str">
            <v>주짓수 도복 및 스포츠웨어 스마트 제조 및 제작</v>
          </cell>
          <cell r="F115" t="str">
            <v>650,000,000</v>
          </cell>
          <cell r="G115" t="str">
            <v>1</v>
          </cell>
          <cell r="H115" t="str">
            <v>도약</v>
          </cell>
          <cell r="I115" t="str">
            <v>중장년</v>
          </cell>
          <cell r="J115">
            <v>0</v>
          </cell>
          <cell r="K115">
            <v>8</v>
          </cell>
          <cell r="L115">
            <v>8</v>
          </cell>
          <cell r="M115">
            <v>10</v>
          </cell>
          <cell r="N115">
            <v>10</v>
          </cell>
          <cell r="O115">
            <v>8</v>
          </cell>
          <cell r="P115">
            <v>7</v>
          </cell>
          <cell r="Q115">
            <v>11</v>
          </cell>
          <cell r="R115">
            <v>5</v>
          </cell>
          <cell r="S115">
            <v>67</v>
          </cell>
          <cell r="T115">
            <v>0</v>
          </cell>
          <cell r="U115">
            <v>67</v>
          </cell>
          <cell r="V115">
            <v>107</v>
          </cell>
          <cell r="W115" t="str">
            <v>국내 생산 기반 구축을 통한 신속한 공급과 가격 경쟁력 확보를 목표로 개발 개념보다 제조 유통에 의한 사업화 방향으로 과제의 난이도가 낮음</v>
          </cell>
        </row>
        <row r="116">
          <cell r="B116">
            <v>20426252</v>
          </cell>
          <cell r="C116" t="str">
            <v>지역기반</v>
          </cell>
          <cell r="D116" t="str">
            <v>화공ㆍ섬유</v>
          </cell>
          <cell r="E116" t="str">
            <v>지속적인 음용이 가능하도록 기획된 라이프스타일형 소용량 블렌드 과·채즙</v>
          </cell>
          <cell r="F116" t="str">
            <v>48,000,000</v>
          </cell>
          <cell r="G116" t="str">
            <v>0</v>
          </cell>
          <cell r="H116" t="str">
            <v>초기</v>
          </cell>
          <cell r="I116" t="str">
            <v>중장년</v>
          </cell>
          <cell r="J116">
            <v>0</v>
          </cell>
          <cell r="K116">
            <v>8</v>
          </cell>
          <cell r="L116">
            <v>8</v>
          </cell>
          <cell r="M116">
            <v>10</v>
          </cell>
          <cell r="N116">
            <v>10</v>
          </cell>
          <cell r="O116">
            <v>7</v>
          </cell>
          <cell r="P116">
            <v>6</v>
          </cell>
          <cell r="Q116">
            <v>12</v>
          </cell>
          <cell r="R116">
            <v>5</v>
          </cell>
          <cell r="S116">
            <v>66</v>
          </cell>
          <cell r="T116">
            <v>0</v>
          </cell>
          <cell r="U116">
            <v>66</v>
          </cell>
          <cell r="V116">
            <v>109</v>
          </cell>
          <cell r="W116" t="str">
            <v>젊은 수요층 타켓의 제품화 개발로 제품성은 있으나 시장성에 대한 근거는 부족한 것으로 판단되며 구체적이고 차별적 기술의 차별성은 부족함.  시장 진입을 위한 영업 전략과 확대 전략에 대한 객관적 근거도 부족한 것으로 판단됨.</v>
          </cell>
        </row>
        <row r="117">
          <cell r="B117">
            <v>20407919</v>
          </cell>
          <cell r="C117" t="str">
            <v>지역기반</v>
          </cell>
          <cell r="D117" t="str">
            <v>화공ㆍ섬유</v>
          </cell>
          <cell r="E117" t="str">
            <v>세제를 함유하고 간편한 일회용 건식 수세미</v>
          </cell>
          <cell r="F117" t="str">
            <v>195,000,000</v>
          </cell>
          <cell r="G117" t="str">
            <v>0</v>
          </cell>
          <cell r="H117" t="str">
            <v>초기</v>
          </cell>
          <cell r="I117" t="str">
            <v>중장년</v>
          </cell>
          <cell r="J117">
            <v>0</v>
          </cell>
          <cell r="K117">
            <v>7</v>
          </cell>
          <cell r="L117">
            <v>8</v>
          </cell>
          <cell r="M117">
            <v>10</v>
          </cell>
          <cell r="N117">
            <v>11</v>
          </cell>
          <cell r="O117">
            <v>7</v>
          </cell>
          <cell r="P117">
            <v>7</v>
          </cell>
          <cell r="Q117">
            <v>11</v>
          </cell>
          <cell r="R117">
            <v>4</v>
          </cell>
          <cell r="S117">
            <v>65</v>
          </cell>
          <cell r="T117">
            <v>0</v>
          </cell>
          <cell r="U117">
            <v>65</v>
          </cell>
          <cell r="V117">
            <v>110</v>
          </cell>
          <cell r="W117" t="str">
            <v>개발제품의 기존 제품과의 일부 차별성은 있으나 개발 효과에 의한 매출 기대는 다소 낮으며 유사 제품과의 경쟁력  확보가 어려울 것으로 판단되며 사업화를 위한 부가성 확보 방안이 필요할 것으로 사료됨</v>
          </cell>
        </row>
        <row r="118">
          <cell r="B118">
            <v>20411886</v>
          </cell>
          <cell r="C118" t="str">
            <v>지역기반</v>
          </cell>
          <cell r="D118" t="str">
            <v>화공ㆍ섬유</v>
          </cell>
          <cell r="E118" t="str">
            <v>마이크로에센셜 포물러 기술이 적용된 패밀리 더마 웰니스 바디케어 키트 개발</v>
          </cell>
          <cell r="F118" t="str">
            <v>40,000,000</v>
          </cell>
          <cell r="G118" t="str">
            <v>0</v>
          </cell>
          <cell r="H118" t="str">
            <v>초기</v>
          </cell>
          <cell r="I118" t="str">
            <v>중장년</v>
          </cell>
          <cell r="J118">
            <v>0</v>
          </cell>
          <cell r="K118">
            <v>8</v>
          </cell>
          <cell r="L118">
            <v>8</v>
          </cell>
          <cell r="M118">
            <v>10</v>
          </cell>
          <cell r="N118">
            <v>10</v>
          </cell>
          <cell r="O118">
            <v>8</v>
          </cell>
          <cell r="P118">
            <v>6</v>
          </cell>
          <cell r="Q118">
            <v>11</v>
          </cell>
          <cell r="R118">
            <v>4</v>
          </cell>
          <cell r="S118">
            <v>65</v>
          </cell>
          <cell r="T118">
            <v>0</v>
          </cell>
          <cell r="U118">
            <v>65</v>
          </cell>
          <cell r="V118">
            <v>110</v>
          </cell>
          <cell r="W118" t="str">
            <v xml:space="preserve">제품 수요군의 타겟팅이 명확하고 제품 개발관련 협업 체계 구축은 되어 있으나 개발 제품의 구체적 개발 방향이 부족하고 개발단계 및 영업 전략은 기술되었으나 시장 분석이 미흡함 </v>
          </cell>
        </row>
        <row r="119">
          <cell r="B119">
            <v>20429160</v>
          </cell>
          <cell r="C119" t="str">
            <v>지역기반</v>
          </cell>
          <cell r="D119" t="str">
            <v>화공ㆍ섬유</v>
          </cell>
          <cell r="E119" t="str">
            <v>국산 과일 소재화 기술 기반 데이터·AI 연계 K-Fruit 동결건조 식품소재 개발 및 글로벌 사업화</v>
          </cell>
          <cell r="F119" t="str">
            <v>1,344,472,947</v>
          </cell>
          <cell r="G119" t="str">
            <v>5</v>
          </cell>
          <cell r="H119" t="str">
            <v>도약</v>
          </cell>
          <cell r="I119" t="str">
            <v>중장년</v>
          </cell>
          <cell r="J119">
            <v>0</v>
          </cell>
          <cell r="K119">
            <v>8</v>
          </cell>
          <cell r="L119">
            <v>8</v>
          </cell>
          <cell r="M119">
            <v>9</v>
          </cell>
          <cell r="N119">
            <v>10</v>
          </cell>
          <cell r="O119">
            <v>8</v>
          </cell>
          <cell r="P119">
            <v>7</v>
          </cell>
          <cell r="Q119">
            <v>11</v>
          </cell>
          <cell r="R119">
            <v>4</v>
          </cell>
          <cell r="S119">
            <v>65</v>
          </cell>
          <cell r="T119">
            <v>0</v>
          </cell>
          <cell r="U119">
            <v>65</v>
          </cell>
          <cell r="V119">
            <v>110</v>
          </cell>
          <cell r="W119" t="str">
            <v>기존 제품과의 분별성이 약하고 기술적 차이점이 적으며 기존 시장에서 유사 제품 판매가 진행되고 있어 사업성에 대한 긍정적 가능성이 높지않을 것으로 평가됨</v>
          </cell>
        </row>
        <row r="120">
          <cell r="B120">
            <v>20406606</v>
          </cell>
          <cell r="C120" t="str">
            <v>지역기반</v>
          </cell>
          <cell r="D120" t="str">
            <v>화공ㆍ섬유</v>
          </cell>
          <cell r="E120" t="str">
            <v>즉석 맥반석 구이김 단지 순회공급 시스템 구축</v>
          </cell>
          <cell r="F120" t="str">
            <v>0</v>
          </cell>
          <cell r="G120" t="str">
            <v>0</v>
          </cell>
          <cell r="H120" t="str">
            <v>예비</v>
          </cell>
          <cell r="I120" t="str">
            <v>중장년</v>
          </cell>
          <cell r="J120">
            <v>0</v>
          </cell>
          <cell r="K120">
            <v>9</v>
          </cell>
          <cell r="L120">
            <v>8</v>
          </cell>
          <cell r="M120">
            <v>10</v>
          </cell>
          <cell r="N120">
            <v>7</v>
          </cell>
          <cell r="O120">
            <v>10</v>
          </cell>
          <cell r="P120">
            <v>5</v>
          </cell>
          <cell r="Q120">
            <v>10</v>
          </cell>
          <cell r="R120">
            <v>5</v>
          </cell>
          <cell r="S120">
            <v>64</v>
          </cell>
          <cell r="T120">
            <v>0</v>
          </cell>
          <cell r="U120">
            <v>64</v>
          </cell>
          <cell r="V120">
            <v>113</v>
          </cell>
          <cell r="W120" t="str">
            <v xml:space="preserve">제품(김) 특성상 품질의 유지 보관의 어려움에 대한 대응과 유통을 통한 매출 발생 등 아이디어는 높으나 시장성이 낮고 유사 기업의 발생이 용이하여 시장 지배력이 낮아질 것으로 판단됨 </v>
          </cell>
        </row>
        <row r="121">
          <cell r="B121">
            <v>20413602</v>
          </cell>
          <cell r="C121" t="str">
            <v>지역기반</v>
          </cell>
          <cell r="D121" t="str">
            <v>화공ㆍ섬유</v>
          </cell>
          <cell r="E121" t="str">
            <v>인플루언서 팬덤을 매출로 전환하는 제조 기반 커머스 플랫폼</v>
          </cell>
          <cell r="F121" t="str">
            <v>300,000,000</v>
          </cell>
          <cell r="G121" t="str">
            <v>3</v>
          </cell>
          <cell r="H121" t="str">
            <v>초기</v>
          </cell>
          <cell r="I121" t="str">
            <v>청년</v>
          </cell>
          <cell r="J121">
            <v>0</v>
          </cell>
          <cell r="K121">
            <v>8</v>
          </cell>
          <cell r="L121">
            <v>8</v>
          </cell>
          <cell r="M121">
            <v>8</v>
          </cell>
          <cell r="N121">
            <v>10</v>
          </cell>
          <cell r="O121">
            <v>8</v>
          </cell>
          <cell r="P121">
            <v>7</v>
          </cell>
          <cell r="Q121">
            <v>10</v>
          </cell>
          <cell r="R121">
            <v>5</v>
          </cell>
          <cell r="S121">
            <v>64</v>
          </cell>
          <cell r="T121">
            <v>0</v>
          </cell>
          <cell r="U121">
            <v>64</v>
          </cell>
          <cell r="V121">
            <v>113</v>
          </cell>
          <cell r="W121" t="str">
            <v xml:space="preserve">인풀루언스 협업 마켓팅의 효과는 클 것으로 예상되나 유사 마켓팅 밍 플랫폼 등이 현재 다수 존재하여 과제의 차별성이 낮을 것으로 판단되며 제시된 계획서에 의해 향후 영업적 확장성의 근거가 부족함. </v>
          </cell>
        </row>
        <row r="122">
          <cell r="B122">
            <v>20399602</v>
          </cell>
          <cell r="C122" t="str">
            <v>지역기반</v>
          </cell>
          <cell r="D122" t="str">
            <v>화공ㆍ섬유</v>
          </cell>
          <cell r="E122" t="str">
            <v>임상 기반 기능성 아로마 바디케어 제품 개발 및 브랜드 사업화</v>
          </cell>
          <cell r="F122" t="str">
            <v>0</v>
          </cell>
          <cell r="G122" t="str">
            <v>0</v>
          </cell>
          <cell r="H122" t="str">
            <v>예비</v>
          </cell>
          <cell r="I122" t="str">
            <v>중장년</v>
          </cell>
          <cell r="J122">
            <v>0</v>
          </cell>
          <cell r="K122">
            <v>6</v>
          </cell>
          <cell r="L122">
            <v>8</v>
          </cell>
          <cell r="M122">
            <v>10</v>
          </cell>
          <cell r="N122">
            <v>10</v>
          </cell>
          <cell r="O122">
            <v>6</v>
          </cell>
          <cell r="P122">
            <v>5</v>
          </cell>
          <cell r="Q122">
            <v>12</v>
          </cell>
          <cell r="R122">
            <v>5</v>
          </cell>
          <cell r="S122">
            <v>62</v>
          </cell>
          <cell r="T122">
            <v>0</v>
          </cell>
          <cell r="U122">
            <v>62</v>
          </cell>
          <cell r="V122">
            <v>115</v>
          </cell>
          <cell r="W122" t="str">
            <v>시장규모 및 시장현황에 대한 조사가 양호하나 기존 제품과의 차별성이 부족하여 향후 매출확대가 어려울 것으로 예상됨</v>
          </cell>
        </row>
        <row r="123">
          <cell r="B123">
            <v>20421393</v>
          </cell>
          <cell r="C123" t="str">
            <v>대학발</v>
          </cell>
          <cell r="D123" t="str">
            <v>화공ㆍ섬유</v>
          </cell>
          <cell r="E123" t="str">
            <v>AI, IOT 다중시설 환경 위생관리 솔루션</v>
          </cell>
          <cell r="F123" t="str">
            <v>0</v>
          </cell>
          <cell r="G123" t="str">
            <v>0</v>
          </cell>
          <cell r="H123" t="str">
            <v>예비</v>
          </cell>
          <cell r="I123" t="str">
            <v>청년</v>
          </cell>
          <cell r="J123" t="str">
            <v>요건탈락</v>
          </cell>
          <cell r="S123" t="str">
            <v/>
          </cell>
          <cell r="T123">
            <v>0</v>
          </cell>
          <cell r="U123" t="str">
            <v/>
          </cell>
          <cell r="V123" t="str">
            <v/>
          </cell>
        </row>
        <row r="124">
          <cell r="B124">
            <v>20401269</v>
          </cell>
          <cell r="C124" t="str">
            <v>지역기반</v>
          </cell>
          <cell r="D124" t="str">
            <v>화공ㆍ섬유</v>
          </cell>
          <cell r="E124" t="str">
            <v>수상 스포츠 이후 아로마테라피를 활용한 ‘After-Water Ritual’ 스킨케어 브랜드</v>
          </cell>
          <cell r="F124" t="str">
            <v>41,352,356</v>
          </cell>
          <cell r="G124" t="str">
            <v>0</v>
          </cell>
          <cell r="H124" t="str">
            <v>초기</v>
          </cell>
          <cell r="I124" t="str">
            <v>청년</v>
          </cell>
          <cell r="J124" t="str">
            <v>면제</v>
          </cell>
          <cell r="S124" t="str">
            <v/>
          </cell>
          <cell r="T124">
            <v>0</v>
          </cell>
          <cell r="U124">
            <v>100</v>
          </cell>
          <cell r="V124" t="str">
            <v/>
          </cell>
          <cell r="W124" t="str">
            <v>서류평가 면제</v>
          </cell>
        </row>
        <row r="125">
          <cell r="B125">
            <v>20424839</v>
          </cell>
          <cell r="C125" t="str">
            <v>지역기반</v>
          </cell>
          <cell r="D125" t="str">
            <v>화공ㆍ섬유</v>
          </cell>
          <cell r="E125" t="str">
            <v>옷장 속 미술관 : 입는 예술, 글로벌 아트웨어 브랜드 사업화</v>
          </cell>
          <cell r="F125" t="str">
            <v>71,776,812</v>
          </cell>
          <cell r="G125" t="str">
            <v>3</v>
          </cell>
          <cell r="H125" t="str">
            <v>초기</v>
          </cell>
          <cell r="I125" t="str">
            <v>청년</v>
          </cell>
          <cell r="J125" t="str">
            <v>면제</v>
          </cell>
          <cell r="S125" t="str">
            <v/>
          </cell>
          <cell r="T125">
            <v>0</v>
          </cell>
          <cell r="U125">
            <v>100</v>
          </cell>
          <cell r="V125" t="str">
            <v/>
          </cell>
          <cell r="W125" t="str">
            <v>서류 평가 면제</v>
          </cell>
        </row>
        <row r="126">
          <cell r="B126">
            <v>20428258</v>
          </cell>
          <cell r="C126" t="str">
            <v>지역기반</v>
          </cell>
          <cell r="D126" t="str">
            <v>화공ㆍ섬유</v>
          </cell>
          <cell r="E126" t="str">
            <v>친환경 원천 소재 기술 기반의 제로 웨이스트 브랜드 고도화 솔루션</v>
          </cell>
          <cell r="F126" t="str">
            <v>27,818,182</v>
          </cell>
          <cell r="G126" t="str">
            <v>1</v>
          </cell>
          <cell r="H126" t="str">
            <v>초기</v>
          </cell>
          <cell r="I126" t="str">
            <v>청년</v>
          </cell>
          <cell r="J126" t="str">
            <v>면제</v>
          </cell>
          <cell r="S126" t="str">
            <v/>
          </cell>
          <cell r="T126">
            <v>0</v>
          </cell>
          <cell r="U126">
            <v>100</v>
          </cell>
          <cell r="V126" t="str">
            <v/>
          </cell>
          <cell r="W126" t="str">
            <v>서류 평가 면제</v>
          </cell>
        </row>
        <row r="127">
          <cell r="B127">
            <v>20429258</v>
          </cell>
          <cell r="C127" t="str">
            <v>대학발</v>
          </cell>
          <cell r="D127" t="str">
            <v>화공ㆍ섬유</v>
          </cell>
          <cell r="E127" t="str">
            <v>피부를 숨기지 않아도 되는 안심 베이스</v>
          </cell>
          <cell r="F127" t="str">
            <v>150,000,000</v>
          </cell>
          <cell r="G127" t="str">
            <v>1</v>
          </cell>
          <cell r="H127" t="str">
            <v>초기</v>
          </cell>
          <cell r="I127" t="str">
            <v>청년</v>
          </cell>
          <cell r="J127" t="str">
            <v>요건탈락</v>
          </cell>
          <cell r="S127" t="str">
            <v/>
          </cell>
          <cell r="T127">
            <v>0</v>
          </cell>
          <cell r="U127" t="str">
            <v/>
          </cell>
          <cell r="V127" t="str">
            <v/>
          </cell>
        </row>
        <row r="128">
          <cell r="B128">
            <v>20410202</v>
          </cell>
          <cell r="C128" t="str">
            <v>지역기반</v>
          </cell>
          <cell r="D128" t="str">
            <v>화공ㆍ섬유</v>
          </cell>
          <cell r="E128" t="str">
            <v>AI 기반 고급 가죽 잡화 맞춤 제작 솔루션</v>
          </cell>
          <cell r="F128" t="str">
            <v>210,766,110</v>
          </cell>
          <cell r="G128" t="str">
            <v>4</v>
          </cell>
          <cell r="H128" t="str">
            <v>도약</v>
          </cell>
          <cell r="I128" t="str">
            <v>청년</v>
          </cell>
          <cell r="J128" t="str">
            <v>면제</v>
          </cell>
          <cell r="S128" t="str">
            <v/>
          </cell>
          <cell r="T128">
            <v>0</v>
          </cell>
          <cell r="U128">
            <v>100</v>
          </cell>
          <cell r="V128" t="str">
            <v/>
          </cell>
          <cell r="W128" t="str">
            <v>서류 평가 면제</v>
          </cell>
        </row>
        <row r="129">
          <cell r="B129">
            <v>20414167</v>
          </cell>
          <cell r="C129" t="str">
            <v>지역기반</v>
          </cell>
          <cell r="D129" t="str">
            <v>화공ㆍ섬유</v>
          </cell>
          <cell r="E129" t="str">
            <v>다층 복합 구조 레이저 방호 원단을 활용한 경량형 레이저 보호복</v>
          </cell>
          <cell r="F129" t="str">
            <v>1,177,000,000</v>
          </cell>
          <cell r="G129" t="str">
            <v>8</v>
          </cell>
          <cell r="H129" t="str">
            <v>도약</v>
          </cell>
          <cell r="I129" t="str">
            <v>청년</v>
          </cell>
          <cell r="J129" t="str">
            <v>면제</v>
          </cell>
          <cell r="S129" t="str">
            <v/>
          </cell>
          <cell r="T129">
            <v>0</v>
          </cell>
          <cell r="U129">
            <v>100</v>
          </cell>
          <cell r="V129" t="str">
            <v/>
          </cell>
          <cell r="W129" t="str">
            <v>서류 평가 면제</v>
          </cell>
        </row>
        <row r="130">
          <cell r="C130" t="str">
            <v/>
          </cell>
          <cell r="D130" t="str">
            <v/>
          </cell>
          <cell r="E130" t="str">
            <v/>
          </cell>
          <cell r="F130" t="str">
            <v/>
          </cell>
          <cell r="G130" t="str">
            <v/>
          </cell>
          <cell r="H130" t="str">
            <v/>
          </cell>
          <cell r="I130" t="str">
            <v/>
          </cell>
          <cell r="J130" t="str">
            <v/>
          </cell>
          <cell r="S130">
            <v>0</v>
          </cell>
          <cell r="T130" t="str">
            <v/>
          </cell>
          <cell r="U130" t="str">
            <v/>
          </cell>
          <cell r="V130" t="str">
            <v/>
          </cell>
        </row>
        <row r="131">
          <cell r="C131" t="str">
            <v/>
          </cell>
          <cell r="D131" t="str">
            <v/>
          </cell>
          <cell r="E131" t="str">
            <v/>
          </cell>
          <cell r="F131" t="str">
            <v/>
          </cell>
          <cell r="G131" t="str">
            <v/>
          </cell>
          <cell r="H131" t="str">
            <v/>
          </cell>
          <cell r="I131" t="str">
            <v/>
          </cell>
          <cell r="J131" t="str">
            <v/>
          </cell>
          <cell r="S131">
            <v>0</v>
          </cell>
          <cell r="T131" t="str">
            <v/>
          </cell>
          <cell r="U131" t="str">
            <v/>
          </cell>
          <cell r="V131" t="str">
            <v/>
          </cell>
        </row>
        <row r="132">
          <cell r="C132" t="str">
            <v/>
          </cell>
          <cell r="D132" t="str">
            <v/>
          </cell>
          <cell r="E132" t="str">
            <v/>
          </cell>
          <cell r="F132" t="str">
            <v/>
          </cell>
          <cell r="G132" t="str">
            <v/>
          </cell>
          <cell r="H132" t="str">
            <v/>
          </cell>
          <cell r="I132" t="str">
            <v/>
          </cell>
          <cell r="J132" t="str">
            <v/>
          </cell>
          <cell r="S132">
            <v>0</v>
          </cell>
          <cell r="T132" t="str">
            <v/>
          </cell>
          <cell r="U132" t="str">
            <v/>
          </cell>
          <cell r="V132" t="str">
            <v/>
          </cell>
        </row>
        <row r="133">
          <cell r="C133" t="str">
            <v/>
          </cell>
          <cell r="D133" t="str">
            <v/>
          </cell>
          <cell r="E133" t="str">
            <v/>
          </cell>
          <cell r="F133" t="str">
            <v/>
          </cell>
          <cell r="G133" t="str">
            <v/>
          </cell>
          <cell r="H133" t="str">
            <v/>
          </cell>
          <cell r="I133" t="str">
            <v/>
          </cell>
          <cell r="J133" t="str">
            <v/>
          </cell>
          <cell r="S133">
            <v>0</v>
          </cell>
          <cell r="T133" t="str">
            <v/>
          </cell>
          <cell r="U133" t="str">
            <v/>
          </cell>
          <cell r="V133" t="str">
            <v/>
          </cell>
        </row>
        <row r="134">
          <cell r="C134" t="str">
            <v/>
          </cell>
          <cell r="D134" t="str">
            <v/>
          </cell>
          <cell r="E134" t="str">
            <v/>
          </cell>
          <cell r="F134" t="str">
            <v/>
          </cell>
          <cell r="G134" t="str">
            <v/>
          </cell>
          <cell r="H134" t="str">
            <v/>
          </cell>
          <cell r="I134" t="str">
            <v/>
          </cell>
          <cell r="J134" t="str">
            <v/>
          </cell>
          <cell r="S134">
            <v>0</v>
          </cell>
          <cell r="T134" t="str">
            <v/>
          </cell>
          <cell r="U134" t="str">
            <v/>
          </cell>
          <cell r="V134" t="str">
            <v/>
          </cell>
        </row>
        <row r="135">
          <cell r="C135" t="str">
            <v/>
          </cell>
          <cell r="D135" t="str">
            <v/>
          </cell>
          <cell r="E135" t="str">
            <v/>
          </cell>
          <cell r="F135" t="str">
            <v/>
          </cell>
          <cell r="G135" t="str">
            <v/>
          </cell>
          <cell r="H135" t="str">
            <v/>
          </cell>
          <cell r="I135" t="str">
            <v/>
          </cell>
          <cell r="J135" t="str">
            <v/>
          </cell>
          <cell r="S135">
            <v>0</v>
          </cell>
          <cell r="T135" t="str">
            <v/>
          </cell>
          <cell r="U135" t="str">
            <v/>
          </cell>
          <cell r="V135" t="str">
            <v/>
          </cell>
        </row>
        <row r="136">
          <cell r="C136" t="str">
            <v/>
          </cell>
          <cell r="D136" t="str">
            <v/>
          </cell>
          <cell r="E136" t="str">
            <v/>
          </cell>
          <cell r="F136" t="str">
            <v/>
          </cell>
          <cell r="G136" t="str">
            <v/>
          </cell>
          <cell r="H136" t="str">
            <v/>
          </cell>
          <cell r="I136" t="str">
            <v/>
          </cell>
          <cell r="J136" t="str">
            <v/>
          </cell>
          <cell r="S136">
            <v>0</v>
          </cell>
          <cell r="T136" t="str">
            <v/>
          </cell>
          <cell r="U136" t="str">
            <v/>
          </cell>
          <cell r="V136" t="str">
            <v/>
          </cell>
        </row>
        <row r="137">
          <cell r="C137" t="str">
            <v/>
          </cell>
          <cell r="D137" t="str">
            <v/>
          </cell>
          <cell r="E137" t="str">
            <v/>
          </cell>
          <cell r="F137" t="str">
            <v/>
          </cell>
          <cell r="G137" t="str">
            <v/>
          </cell>
          <cell r="H137" t="str">
            <v/>
          </cell>
          <cell r="I137" t="str">
            <v/>
          </cell>
          <cell r="J137" t="str">
            <v/>
          </cell>
          <cell r="S137">
            <v>0</v>
          </cell>
          <cell r="T137" t="str">
            <v/>
          </cell>
          <cell r="U137" t="str">
            <v/>
          </cell>
          <cell r="V137" t="str">
            <v/>
          </cell>
        </row>
        <row r="138">
          <cell r="C138" t="str">
            <v/>
          </cell>
          <cell r="D138" t="str">
            <v/>
          </cell>
          <cell r="E138" t="str">
            <v/>
          </cell>
          <cell r="F138" t="str">
            <v/>
          </cell>
          <cell r="G138" t="str">
            <v/>
          </cell>
          <cell r="H138" t="str">
            <v/>
          </cell>
          <cell r="I138" t="str">
            <v/>
          </cell>
          <cell r="J138" t="str">
            <v/>
          </cell>
          <cell r="S138">
            <v>0</v>
          </cell>
          <cell r="T138" t="str">
            <v/>
          </cell>
          <cell r="U138" t="str">
            <v/>
          </cell>
          <cell r="V138" t="str">
            <v/>
          </cell>
        </row>
        <row r="139">
          <cell r="C139" t="str">
            <v/>
          </cell>
          <cell r="D139" t="str">
            <v/>
          </cell>
          <cell r="E139" t="str">
            <v/>
          </cell>
          <cell r="F139" t="str">
            <v/>
          </cell>
          <cell r="G139" t="str">
            <v/>
          </cell>
          <cell r="H139" t="str">
            <v/>
          </cell>
          <cell r="I139" t="str">
            <v/>
          </cell>
          <cell r="J139" t="str">
            <v/>
          </cell>
          <cell r="S139">
            <v>0</v>
          </cell>
          <cell r="T139" t="str">
            <v/>
          </cell>
          <cell r="U139" t="str">
            <v/>
          </cell>
          <cell r="V139" t="str">
            <v/>
          </cell>
        </row>
        <row r="140">
          <cell r="C140" t="str">
            <v/>
          </cell>
          <cell r="D140" t="str">
            <v/>
          </cell>
          <cell r="E140" t="str">
            <v/>
          </cell>
          <cell r="F140" t="str">
            <v/>
          </cell>
          <cell r="G140" t="str">
            <v/>
          </cell>
          <cell r="H140" t="str">
            <v/>
          </cell>
          <cell r="I140" t="str">
            <v/>
          </cell>
          <cell r="J140" t="str">
            <v/>
          </cell>
          <cell r="S140">
            <v>0</v>
          </cell>
          <cell r="T140" t="str">
            <v/>
          </cell>
          <cell r="U140" t="str">
            <v/>
          </cell>
          <cell r="V140" t="str">
            <v/>
          </cell>
        </row>
        <row r="141">
          <cell r="C141" t="str">
            <v/>
          </cell>
          <cell r="D141" t="str">
            <v/>
          </cell>
          <cell r="E141" t="str">
            <v/>
          </cell>
          <cell r="F141" t="str">
            <v/>
          </cell>
          <cell r="G141" t="str">
            <v/>
          </cell>
          <cell r="H141" t="str">
            <v/>
          </cell>
          <cell r="I141" t="str">
            <v/>
          </cell>
          <cell r="J141" t="str">
            <v/>
          </cell>
          <cell r="S141">
            <v>0</v>
          </cell>
          <cell r="T141" t="str">
            <v/>
          </cell>
          <cell r="U141" t="str">
            <v/>
          </cell>
          <cell r="V141" t="str">
            <v/>
          </cell>
        </row>
        <row r="142">
          <cell r="C142" t="str">
            <v/>
          </cell>
          <cell r="D142" t="str">
            <v/>
          </cell>
          <cell r="E142" t="str">
            <v/>
          </cell>
          <cell r="F142" t="str">
            <v/>
          </cell>
          <cell r="G142" t="str">
            <v/>
          </cell>
          <cell r="H142" t="str">
            <v/>
          </cell>
          <cell r="I142" t="str">
            <v/>
          </cell>
          <cell r="J142" t="str">
            <v/>
          </cell>
          <cell r="S142">
            <v>0</v>
          </cell>
          <cell r="T142" t="str">
            <v/>
          </cell>
          <cell r="U142" t="str">
            <v/>
          </cell>
          <cell r="V142" t="str">
            <v/>
          </cell>
        </row>
        <row r="143">
          <cell r="C143" t="str">
            <v/>
          </cell>
          <cell r="D143" t="str">
            <v/>
          </cell>
          <cell r="E143" t="str">
            <v/>
          </cell>
          <cell r="F143" t="str">
            <v/>
          </cell>
          <cell r="G143" t="str">
            <v/>
          </cell>
          <cell r="H143" t="str">
            <v/>
          </cell>
          <cell r="I143" t="str">
            <v/>
          </cell>
          <cell r="J143" t="str">
            <v/>
          </cell>
          <cell r="S143">
            <v>0</v>
          </cell>
          <cell r="T143" t="str">
            <v/>
          </cell>
          <cell r="U143" t="str">
            <v/>
          </cell>
          <cell r="V143" t="str">
            <v/>
          </cell>
        </row>
        <row r="144">
          <cell r="C144" t="str">
            <v/>
          </cell>
          <cell r="D144" t="str">
            <v/>
          </cell>
          <cell r="E144" t="str">
            <v/>
          </cell>
          <cell r="F144" t="str">
            <v/>
          </cell>
          <cell r="G144" t="str">
            <v/>
          </cell>
          <cell r="H144" t="str">
            <v/>
          </cell>
          <cell r="I144" t="str">
            <v/>
          </cell>
          <cell r="J144" t="str">
            <v/>
          </cell>
          <cell r="S144">
            <v>0</v>
          </cell>
          <cell r="T144" t="str">
            <v/>
          </cell>
          <cell r="U144" t="str">
            <v/>
          </cell>
          <cell r="V144" t="str">
            <v/>
          </cell>
        </row>
        <row r="145">
          <cell r="C145" t="str">
            <v/>
          </cell>
          <cell r="D145" t="str">
            <v/>
          </cell>
          <cell r="E145" t="str">
            <v/>
          </cell>
          <cell r="F145" t="str">
            <v/>
          </cell>
          <cell r="G145" t="str">
            <v/>
          </cell>
          <cell r="H145" t="str">
            <v/>
          </cell>
          <cell r="I145" t="str">
            <v/>
          </cell>
          <cell r="J145" t="str">
            <v/>
          </cell>
          <cell r="S145">
            <v>0</v>
          </cell>
          <cell r="T145" t="str">
            <v/>
          </cell>
          <cell r="U145" t="str">
            <v/>
          </cell>
          <cell r="V145" t="str">
            <v/>
          </cell>
        </row>
        <row r="146">
          <cell r="C146" t="str">
            <v/>
          </cell>
          <cell r="D146" t="str">
            <v/>
          </cell>
          <cell r="E146" t="str">
            <v/>
          </cell>
          <cell r="F146" t="str">
            <v/>
          </cell>
          <cell r="G146" t="str">
            <v/>
          </cell>
          <cell r="H146" t="str">
            <v/>
          </cell>
          <cell r="I146" t="str">
            <v/>
          </cell>
          <cell r="J146" t="str">
            <v/>
          </cell>
          <cell r="S146">
            <v>0</v>
          </cell>
          <cell r="T146" t="str">
            <v/>
          </cell>
          <cell r="U146" t="str">
            <v/>
          </cell>
          <cell r="V146" t="str">
            <v/>
          </cell>
        </row>
        <row r="147">
          <cell r="C147" t="str">
            <v/>
          </cell>
          <cell r="D147" t="str">
            <v/>
          </cell>
          <cell r="E147" t="str">
            <v/>
          </cell>
          <cell r="F147" t="str">
            <v/>
          </cell>
          <cell r="G147" t="str">
            <v/>
          </cell>
          <cell r="H147" t="str">
            <v/>
          </cell>
          <cell r="I147" t="str">
            <v/>
          </cell>
          <cell r="J147" t="str">
            <v/>
          </cell>
          <cell r="S147">
            <v>0</v>
          </cell>
          <cell r="T147" t="str">
            <v/>
          </cell>
          <cell r="U147" t="str">
            <v/>
          </cell>
          <cell r="V147" t="str">
            <v/>
          </cell>
        </row>
        <row r="148">
          <cell r="C148" t="str">
            <v/>
          </cell>
          <cell r="D148" t="str">
            <v/>
          </cell>
          <cell r="E148" t="str">
            <v/>
          </cell>
          <cell r="F148" t="str">
            <v/>
          </cell>
          <cell r="G148" t="str">
            <v/>
          </cell>
          <cell r="H148" t="str">
            <v/>
          </cell>
          <cell r="I148" t="str">
            <v/>
          </cell>
          <cell r="J148" t="str">
            <v/>
          </cell>
          <cell r="S148">
            <v>0</v>
          </cell>
          <cell r="T148" t="str">
            <v/>
          </cell>
          <cell r="U148" t="str">
            <v/>
          </cell>
          <cell r="V148" t="str">
            <v/>
          </cell>
        </row>
        <row r="149">
          <cell r="C149" t="str">
            <v/>
          </cell>
          <cell r="D149" t="str">
            <v/>
          </cell>
          <cell r="E149" t="str">
            <v/>
          </cell>
          <cell r="F149" t="str">
            <v/>
          </cell>
          <cell r="G149" t="str">
            <v/>
          </cell>
          <cell r="H149" t="str">
            <v/>
          </cell>
          <cell r="I149" t="str">
            <v/>
          </cell>
          <cell r="J149" t="str">
            <v/>
          </cell>
          <cell r="S149">
            <v>0</v>
          </cell>
          <cell r="T149" t="str">
            <v/>
          </cell>
          <cell r="U149" t="str">
            <v/>
          </cell>
          <cell r="V149" t="str">
            <v/>
          </cell>
        </row>
        <row r="150">
          <cell r="C150" t="str">
            <v/>
          </cell>
          <cell r="D150" t="str">
            <v/>
          </cell>
          <cell r="E150" t="str">
            <v/>
          </cell>
          <cell r="F150" t="str">
            <v/>
          </cell>
          <cell r="G150" t="str">
            <v/>
          </cell>
          <cell r="H150" t="str">
            <v/>
          </cell>
          <cell r="I150" t="str">
            <v/>
          </cell>
          <cell r="J150" t="str">
            <v/>
          </cell>
          <cell r="S150">
            <v>0</v>
          </cell>
          <cell r="T150" t="str">
            <v/>
          </cell>
          <cell r="U150" t="str">
            <v/>
          </cell>
          <cell r="V150" t="str">
            <v/>
          </cell>
        </row>
        <row r="151">
          <cell r="C151" t="str">
            <v/>
          </cell>
          <cell r="D151" t="str">
            <v/>
          </cell>
          <cell r="E151" t="str">
            <v/>
          </cell>
          <cell r="F151" t="str">
            <v/>
          </cell>
          <cell r="G151" t="str">
            <v/>
          </cell>
          <cell r="H151" t="str">
            <v/>
          </cell>
          <cell r="I151" t="str">
            <v/>
          </cell>
          <cell r="J151" t="str">
            <v/>
          </cell>
          <cell r="S151">
            <v>0</v>
          </cell>
          <cell r="T151" t="str">
            <v/>
          </cell>
          <cell r="U151" t="str">
            <v/>
          </cell>
          <cell r="V151" t="str">
            <v/>
          </cell>
        </row>
        <row r="152">
          <cell r="C152" t="str">
            <v/>
          </cell>
          <cell r="D152" t="str">
            <v/>
          </cell>
          <cell r="E152" t="str">
            <v/>
          </cell>
          <cell r="F152" t="str">
            <v/>
          </cell>
          <cell r="G152" t="str">
            <v/>
          </cell>
          <cell r="H152" t="str">
            <v/>
          </cell>
          <cell r="I152" t="str">
            <v/>
          </cell>
          <cell r="J152" t="str">
            <v/>
          </cell>
          <cell r="S152">
            <v>0</v>
          </cell>
          <cell r="T152" t="str">
            <v/>
          </cell>
          <cell r="U152" t="str">
            <v/>
          </cell>
          <cell r="V152" t="str">
            <v/>
          </cell>
        </row>
        <row r="153">
          <cell r="C153" t="str">
            <v/>
          </cell>
          <cell r="D153" t="str">
            <v/>
          </cell>
          <cell r="E153" t="str">
            <v/>
          </cell>
          <cell r="F153" t="str">
            <v/>
          </cell>
          <cell r="G153" t="str">
            <v/>
          </cell>
          <cell r="H153" t="str">
            <v/>
          </cell>
          <cell r="I153" t="str">
            <v/>
          </cell>
          <cell r="J153" t="str">
            <v/>
          </cell>
          <cell r="S153">
            <v>0</v>
          </cell>
          <cell r="T153" t="str">
            <v/>
          </cell>
          <cell r="U153" t="str">
            <v/>
          </cell>
          <cell r="V153" t="str">
            <v/>
          </cell>
        </row>
        <row r="154">
          <cell r="C154" t="str">
            <v/>
          </cell>
          <cell r="D154" t="str">
            <v/>
          </cell>
          <cell r="E154" t="str">
            <v/>
          </cell>
          <cell r="F154" t="str">
            <v/>
          </cell>
          <cell r="G154" t="str">
            <v/>
          </cell>
          <cell r="H154" t="str">
            <v/>
          </cell>
          <cell r="I154" t="str">
            <v/>
          </cell>
          <cell r="J154" t="str">
            <v/>
          </cell>
          <cell r="S154">
            <v>0</v>
          </cell>
          <cell r="T154" t="str">
            <v/>
          </cell>
          <cell r="U154" t="str">
            <v/>
          </cell>
          <cell r="V154" t="str">
            <v/>
          </cell>
        </row>
        <row r="155">
          <cell r="C155" t="str">
            <v/>
          </cell>
          <cell r="D155" t="str">
            <v/>
          </cell>
          <cell r="E155" t="str">
            <v/>
          </cell>
          <cell r="F155" t="str">
            <v/>
          </cell>
          <cell r="G155" t="str">
            <v/>
          </cell>
          <cell r="H155" t="str">
            <v/>
          </cell>
          <cell r="I155" t="str">
            <v/>
          </cell>
          <cell r="J155" t="str">
            <v/>
          </cell>
          <cell r="S155">
            <v>0</v>
          </cell>
          <cell r="T155" t="str">
            <v/>
          </cell>
          <cell r="U155" t="str">
            <v/>
          </cell>
          <cell r="V155" t="str">
            <v/>
          </cell>
        </row>
        <row r="156">
          <cell r="C156" t="str">
            <v/>
          </cell>
          <cell r="D156" t="str">
            <v/>
          </cell>
          <cell r="E156" t="str">
            <v/>
          </cell>
          <cell r="F156" t="str">
            <v/>
          </cell>
          <cell r="G156" t="str">
            <v/>
          </cell>
          <cell r="H156" t="str">
            <v/>
          </cell>
          <cell r="I156" t="str">
            <v/>
          </cell>
          <cell r="J156" t="str">
            <v/>
          </cell>
          <cell r="S156">
            <v>0</v>
          </cell>
          <cell r="T156" t="str">
            <v/>
          </cell>
          <cell r="U156" t="str">
            <v/>
          </cell>
          <cell r="V156" t="str">
            <v/>
          </cell>
        </row>
        <row r="157">
          <cell r="C157" t="str">
            <v/>
          </cell>
          <cell r="D157" t="str">
            <v/>
          </cell>
          <cell r="E157" t="str">
            <v/>
          </cell>
          <cell r="F157" t="str">
            <v/>
          </cell>
          <cell r="G157" t="str">
            <v/>
          </cell>
          <cell r="H157" t="str">
            <v/>
          </cell>
          <cell r="I157" t="str">
            <v/>
          </cell>
          <cell r="J157" t="str">
            <v/>
          </cell>
          <cell r="S157">
            <v>0</v>
          </cell>
          <cell r="T157" t="str">
            <v/>
          </cell>
          <cell r="U157" t="str">
            <v/>
          </cell>
          <cell r="V157" t="str">
            <v/>
          </cell>
        </row>
        <row r="158">
          <cell r="C158" t="str">
            <v/>
          </cell>
          <cell r="D158" t="str">
            <v/>
          </cell>
          <cell r="E158" t="str">
            <v/>
          </cell>
          <cell r="F158" t="str">
            <v/>
          </cell>
          <cell r="G158" t="str">
            <v/>
          </cell>
          <cell r="H158" t="str">
            <v/>
          </cell>
          <cell r="I158" t="str">
            <v/>
          </cell>
          <cell r="J158" t="str">
            <v/>
          </cell>
          <cell r="S158">
            <v>0</v>
          </cell>
          <cell r="T158" t="str">
            <v/>
          </cell>
          <cell r="U158" t="str">
            <v/>
          </cell>
          <cell r="V158" t="str">
            <v/>
          </cell>
        </row>
        <row r="159">
          <cell r="C159" t="str">
            <v/>
          </cell>
          <cell r="D159" t="str">
            <v/>
          </cell>
          <cell r="E159" t="str">
            <v/>
          </cell>
          <cell r="F159" t="str">
            <v/>
          </cell>
          <cell r="G159" t="str">
            <v/>
          </cell>
          <cell r="H159" t="str">
            <v/>
          </cell>
          <cell r="I159" t="str">
            <v/>
          </cell>
          <cell r="J159" t="str">
            <v/>
          </cell>
          <cell r="S159">
            <v>0</v>
          </cell>
          <cell r="T159" t="str">
            <v/>
          </cell>
          <cell r="U159" t="str">
            <v/>
          </cell>
          <cell r="V159" t="str">
            <v/>
          </cell>
        </row>
        <row r="160">
          <cell r="C160" t="str">
            <v/>
          </cell>
          <cell r="D160" t="str">
            <v/>
          </cell>
          <cell r="E160" t="str">
            <v/>
          </cell>
          <cell r="F160" t="str">
            <v/>
          </cell>
          <cell r="G160" t="str">
            <v/>
          </cell>
          <cell r="H160" t="str">
            <v/>
          </cell>
          <cell r="I160" t="str">
            <v/>
          </cell>
          <cell r="J160" t="str">
            <v/>
          </cell>
          <cell r="S160">
            <v>0</v>
          </cell>
          <cell r="T160" t="str">
            <v/>
          </cell>
          <cell r="U160" t="str">
            <v/>
          </cell>
          <cell r="V160" t="str">
            <v/>
          </cell>
        </row>
        <row r="161">
          <cell r="C161" t="str">
            <v/>
          </cell>
          <cell r="D161" t="str">
            <v/>
          </cell>
          <cell r="E161" t="str">
            <v/>
          </cell>
          <cell r="F161" t="str">
            <v/>
          </cell>
          <cell r="G161" t="str">
            <v/>
          </cell>
          <cell r="H161" t="str">
            <v/>
          </cell>
          <cell r="I161" t="str">
            <v/>
          </cell>
          <cell r="J161" t="str">
            <v/>
          </cell>
          <cell r="S161">
            <v>0</v>
          </cell>
          <cell r="T161" t="str">
            <v/>
          </cell>
          <cell r="U161" t="str">
            <v/>
          </cell>
          <cell r="V161" t="str">
            <v/>
          </cell>
        </row>
        <row r="162">
          <cell r="C162" t="str">
            <v/>
          </cell>
          <cell r="D162" t="str">
            <v/>
          </cell>
          <cell r="E162" t="str">
            <v/>
          </cell>
          <cell r="F162" t="str">
            <v/>
          </cell>
          <cell r="G162" t="str">
            <v/>
          </cell>
          <cell r="H162" t="str">
            <v/>
          </cell>
          <cell r="I162" t="str">
            <v/>
          </cell>
          <cell r="J162" t="str">
            <v/>
          </cell>
          <cell r="S162">
            <v>0</v>
          </cell>
          <cell r="T162" t="str">
            <v/>
          </cell>
          <cell r="U162" t="str">
            <v/>
          </cell>
          <cell r="V162" t="str">
            <v/>
          </cell>
        </row>
        <row r="163">
          <cell r="C163" t="str">
            <v/>
          </cell>
          <cell r="D163" t="str">
            <v/>
          </cell>
          <cell r="E163" t="str">
            <v/>
          </cell>
          <cell r="F163" t="str">
            <v/>
          </cell>
          <cell r="G163" t="str">
            <v/>
          </cell>
          <cell r="H163" t="str">
            <v/>
          </cell>
          <cell r="I163" t="str">
            <v/>
          </cell>
          <cell r="J163" t="str">
            <v/>
          </cell>
          <cell r="S163">
            <v>0</v>
          </cell>
          <cell r="T163" t="str">
            <v/>
          </cell>
          <cell r="U163" t="str">
            <v/>
          </cell>
          <cell r="V163" t="str">
            <v/>
          </cell>
        </row>
        <row r="164">
          <cell r="C164" t="str">
            <v/>
          </cell>
          <cell r="D164" t="str">
            <v/>
          </cell>
          <cell r="E164" t="str">
            <v/>
          </cell>
          <cell r="F164" t="str">
            <v/>
          </cell>
          <cell r="G164" t="str">
            <v/>
          </cell>
          <cell r="H164" t="str">
            <v/>
          </cell>
          <cell r="I164" t="str">
            <v/>
          </cell>
          <cell r="J164" t="str">
            <v/>
          </cell>
          <cell r="S164">
            <v>0</v>
          </cell>
          <cell r="T164" t="str">
            <v/>
          </cell>
          <cell r="U164" t="str">
            <v/>
          </cell>
          <cell r="V164" t="str">
            <v/>
          </cell>
        </row>
        <row r="165">
          <cell r="C165" t="str">
            <v/>
          </cell>
          <cell r="D165" t="str">
            <v/>
          </cell>
          <cell r="E165" t="str">
            <v/>
          </cell>
          <cell r="F165" t="str">
            <v/>
          </cell>
          <cell r="G165" t="str">
            <v/>
          </cell>
          <cell r="H165" t="str">
            <v/>
          </cell>
          <cell r="I165" t="str">
            <v/>
          </cell>
          <cell r="J165" t="str">
            <v/>
          </cell>
          <cell r="S165">
            <v>0</v>
          </cell>
          <cell r="T165" t="str">
            <v/>
          </cell>
          <cell r="U165" t="str">
            <v/>
          </cell>
          <cell r="V165" t="str">
            <v/>
          </cell>
        </row>
        <row r="166">
          <cell r="C166" t="str">
            <v/>
          </cell>
          <cell r="D166" t="str">
            <v/>
          </cell>
          <cell r="E166" t="str">
            <v/>
          </cell>
          <cell r="F166" t="str">
            <v/>
          </cell>
          <cell r="G166" t="str">
            <v/>
          </cell>
          <cell r="H166" t="str">
            <v/>
          </cell>
          <cell r="I166" t="str">
            <v/>
          </cell>
          <cell r="J166" t="str">
            <v/>
          </cell>
          <cell r="S166">
            <v>0</v>
          </cell>
          <cell r="T166" t="str">
            <v/>
          </cell>
          <cell r="U166" t="str">
            <v/>
          </cell>
          <cell r="V166" t="str">
            <v/>
          </cell>
        </row>
        <row r="167">
          <cell r="C167" t="str">
            <v/>
          </cell>
          <cell r="D167" t="str">
            <v/>
          </cell>
          <cell r="E167" t="str">
            <v/>
          </cell>
          <cell r="F167" t="str">
            <v/>
          </cell>
          <cell r="G167" t="str">
            <v/>
          </cell>
          <cell r="H167" t="str">
            <v/>
          </cell>
          <cell r="I167" t="str">
            <v/>
          </cell>
          <cell r="J167" t="str">
            <v/>
          </cell>
          <cell r="S167">
            <v>0</v>
          </cell>
          <cell r="T167" t="str">
            <v/>
          </cell>
          <cell r="U167" t="str">
            <v/>
          </cell>
          <cell r="V167" t="str">
            <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29.699999999999989</v>
          </cell>
          <cell r="H2">
            <v>48.800000000000004</v>
          </cell>
          <cell r="I2">
            <v>30.5</v>
          </cell>
          <cell r="J2">
            <v>13</v>
          </cell>
          <cell r="K2">
            <v>5</v>
          </cell>
          <cell r="L2">
            <v>18</v>
          </cell>
          <cell r="M2">
            <v>122</v>
          </cell>
          <cell r="N2" t="str">
            <v>90점 이상 합격
*예비 87~89점 1~2명</v>
          </cell>
          <cell r="Q2" t="str">
            <v>지역기반</v>
          </cell>
          <cell r="R2">
            <v>11</v>
          </cell>
          <cell r="S2">
            <v>11</v>
          </cell>
          <cell r="T2">
            <v>6</v>
          </cell>
          <cell r="U2">
            <v>5</v>
          </cell>
          <cell r="V2">
            <v>11</v>
          </cell>
        </row>
        <row r="3">
          <cell r="E3" t="str">
            <v>평가
현황</v>
          </cell>
          <cell r="F3">
            <v>2</v>
          </cell>
          <cell r="G3">
            <v>28</v>
          </cell>
          <cell r="H3">
            <v>43</v>
          </cell>
          <cell r="I3">
            <v>36</v>
          </cell>
          <cell r="J3">
            <v>8</v>
          </cell>
          <cell r="K3">
            <v>5</v>
          </cell>
          <cell r="L3">
            <v>13</v>
          </cell>
          <cell r="M3">
            <v>122</v>
          </cell>
          <cell r="Q3" t="str">
            <v>대학발</v>
          </cell>
          <cell r="R3">
            <v>1</v>
          </cell>
          <cell r="S3">
            <v>0</v>
          </cell>
          <cell r="T3">
            <v>1</v>
          </cell>
          <cell r="U3">
            <v>0</v>
          </cell>
          <cell r="V3">
            <v>1</v>
          </cell>
        </row>
        <row r="4">
          <cell r="E4" t="str">
            <v>청년</v>
          </cell>
          <cell r="F4" t="str">
            <v>*지역기반만 집계</v>
          </cell>
          <cell r="J4">
            <v>11</v>
          </cell>
          <cell r="K4">
            <v>5</v>
          </cell>
          <cell r="L4">
            <v>16</v>
          </cell>
          <cell r="M4">
            <v>16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20426411</v>
          </cell>
          <cell r="C8" t="str">
            <v>지역기반</v>
          </cell>
          <cell r="D8" t="str">
            <v>화공ㆍ섬유</v>
          </cell>
          <cell r="E8" t="str">
            <v>해조류 청각 기반 메탄저감 사료첨가제</v>
          </cell>
          <cell r="F8" t="str">
            <v>37,915,000</v>
          </cell>
          <cell r="G8" t="str">
            <v>2</v>
          </cell>
          <cell r="H8" t="str">
            <v>초기</v>
          </cell>
          <cell r="I8" t="str">
            <v>청년</v>
          </cell>
          <cell r="J8">
            <v>0</v>
          </cell>
          <cell r="K8">
            <v>10</v>
          </cell>
          <cell r="L8">
            <v>9</v>
          </cell>
          <cell r="M8">
            <v>19</v>
          </cell>
          <cell r="N8">
            <v>19</v>
          </cell>
          <cell r="O8">
            <v>10</v>
          </cell>
          <cell r="P8">
            <v>9</v>
          </cell>
          <cell r="Q8">
            <v>15</v>
          </cell>
          <cell r="R8">
            <v>5</v>
          </cell>
          <cell r="S8">
            <v>96</v>
          </cell>
          <cell r="T8">
            <v>0</v>
          </cell>
          <cell r="U8">
            <v>96</v>
          </cell>
          <cell r="V8">
            <v>1</v>
          </cell>
          <cell r="W8" t="str">
            <v>타겟 시장과 수익 창출 구조가 구체적으로 명시되었습니다. 사업화 일정이 단계별로 체계화되어 있어 가독성이 높으며, 비즈니스 실현 가능성에 대한 사전 검토가 충실히 이루어진 것으로 보입니다.</v>
          </cell>
        </row>
        <row r="9">
          <cell r="B9">
            <v>20415499</v>
          </cell>
          <cell r="C9" t="str">
            <v>지역기반</v>
          </cell>
          <cell r="D9" t="str">
            <v>화공ㆍ섬유</v>
          </cell>
          <cell r="E9" t="str">
            <v>초고속 냉연/도금 강판 생산 라인을 위한 반응형 초계면(Super-Interface) 탈지제</v>
          </cell>
          <cell r="F9" t="str">
            <v>504,000,000</v>
          </cell>
          <cell r="G9" t="str">
            <v>1</v>
          </cell>
          <cell r="H9" t="str">
            <v>초기</v>
          </cell>
          <cell r="I9" t="str">
            <v>청년</v>
          </cell>
          <cell r="J9">
            <v>0</v>
          </cell>
          <cell r="K9">
            <v>10</v>
          </cell>
          <cell r="L9">
            <v>10</v>
          </cell>
          <cell r="M9">
            <v>18</v>
          </cell>
          <cell r="N9">
            <v>19</v>
          </cell>
          <cell r="O9">
            <v>9</v>
          </cell>
          <cell r="P9">
            <v>9</v>
          </cell>
          <cell r="Q9">
            <v>15</v>
          </cell>
          <cell r="R9">
            <v>5</v>
          </cell>
          <cell r="S9">
            <v>95</v>
          </cell>
          <cell r="T9">
            <v>0</v>
          </cell>
          <cell r="U9">
            <v>95</v>
          </cell>
          <cell r="V9">
            <v>2</v>
          </cell>
          <cell r="W9" t="str">
            <v xml:space="preserve">아이템의 핵심 기능과 구체적인 활용 방안이 잘 정리되어 있으며, 기술적 구현 방법과 사업화 전략이 논리적으로 연결. 
아이템의 참신함이 돋보이므로 시장 데이터 보완시 매력적인 사업이 될 것임. </v>
          </cell>
        </row>
        <row r="10">
          <cell r="B10">
            <v>20414625</v>
          </cell>
          <cell r="C10" t="str">
            <v>지역기반</v>
          </cell>
          <cell r="D10" t="str">
            <v>화공ㆍ섬유</v>
          </cell>
          <cell r="E10" t="str">
            <v>초음파 향미 추출 기반 조주·조리용 향미 주류 (비터스·기주) 개발</v>
          </cell>
          <cell r="F10" t="str">
            <v>0</v>
          </cell>
          <cell r="G10" t="str">
            <v>0</v>
          </cell>
          <cell r="H10" t="str">
            <v>예비</v>
          </cell>
          <cell r="I10" t="str">
            <v>중장년</v>
          </cell>
          <cell r="J10">
            <v>0</v>
          </cell>
          <cell r="K10">
            <v>9</v>
          </cell>
          <cell r="L10">
            <v>9</v>
          </cell>
          <cell r="M10">
            <v>19</v>
          </cell>
          <cell r="N10">
            <v>19</v>
          </cell>
          <cell r="O10">
            <v>9</v>
          </cell>
          <cell r="P10">
            <v>9</v>
          </cell>
          <cell r="Q10">
            <v>15</v>
          </cell>
          <cell r="R10">
            <v>5</v>
          </cell>
          <cell r="S10">
            <v>94</v>
          </cell>
          <cell r="T10">
            <v>0</v>
          </cell>
          <cell r="U10">
            <v>94</v>
          </cell>
          <cell r="V10">
            <v>3</v>
          </cell>
          <cell r="W10" t="str">
            <v>시장 진입 타겟과 수익 모델이 구체적으로 제시되었으며, 단계별 사업 추진 일정도 직관적으로 구성되었습니다. 
전반적으로 사업화 가능성을 검토한 수준이 우수하다고 판단됩니다.기술 추진 의지는 확고해 보이나, 실질적인 구현 가능성에 대해서는 추가적인 검토가 요구됩니다.</v>
          </cell>
        </row>
        <row r="11">
          <cell r="B11">
            <v>20402078</v>
          </cell>
          <cell r="C11" t="str">
            <v>지역기반</v>
          </cell>
          <cell r="D11" t="str">
            <v>화공ㆍ섬유</v>
          </cell>
          <cell r="E11" t="str">
            <v>[글로벌 타겟] AI 톤적응 마이크로캡슐 기반 스킨케어형 컬러체인지 커버선크림 개발 및 사업화</v>
          </cell>
          <cell r="F11" t="str">
            <v>128,835,710</v>
          </cell>
          <cell r="G11" t="str">
            <v>2</v>
          </cell>
          <cell r="H11" t="str">
            <v>초기</v>
          </cell>
          <cell r="I11" t="str">
            <v>청년</v>
          </cell>
          <cell r="J11">
            <v>0</v>
          </cell>
          <cell r="K11">
            <v>10</v>
          </cell>
          <cell r="L11">
            <v>9</v>
          </cell>
          <cell r="M11">
            <v>18</v>
          </cell>
          <cell r="N11">
            <v>17</v>
          </cell>
          <cell r="O11">
            <v>9</v>
          </cell>
          <cell r="P11">
            <v>9</v>
          </cell>
          <cell r="Q11">
            <v>15</v>
          </cell>
          <cell r="R11">
            <v>5</v>
          </cell>
          <cell r="S11">
            <v>92</v>
          </cell>
          <cell r="T11">
            <v>2</v>
          </cell>
          <cell r="U11">
            <v>94</v>
          </cell>
          <cell r="V11">
            <v>3</v>
          </cell>
          <cell r="W11" t="str">
            <v>화장품 시장에 대한 전망과 객관적 분석 경쟁 제품과의 차별점을 제시한 점은 긍정적입니다. 다만, 이러한 차별성이 자사만의 독보적인 실질적인 기술적 우위로 이어지는 근거가 다소 부족합니다</v>
          </cell>
        </row>
        <row r="12">
          <cell r="B12">
            <v>20416443</v>
          </cell>
          <cell r="C12" t="str">
            <v>지역기반</v>
          </cell>
          <cell r="D12" t="str">
            <v>화공ㆍ섬유</v>
          </cell>
          <cell r="E12" t="str">
            <v>고해상도 DFSR(Dry Film Solder Resist) 제조기술 개발</v>
          </cell>
          <cell r="F12" t="str">
            <v>250,000,000</v>
          </cell>
          <cell r="G12" t="str">
            <v>2</v>
          </cell>
          <cell r="H12" t="str">
            <v>초기</v>
          </cell>
          <cell r="I12" t="str">
            <v>중장년</v>
          </cell>
          <cell r="J12">
            <v>0</v>
          </cell>
          <cell r="K12">
            <v>10</v>
          </cell>
          <cell r="L12">
            <v>9</v>
          </cell>
          <cell r="M12">
            <v>18</v>
          </cell>
          <cell r="N12">
            <v>18</v>
          </cell>
          <cell r="O12">
            <v>9</v>
          </cell>
          <cell r="P12">
            <v>9</v>
          </cell>
          <cell r="Q12">
            <v>15</v>
          </cell>
          <cell r="R12">
            <v>5</v>
          </cell>
          <cell r="S12">
            <v>93</v>
          </cell>
          <cell r="T12">
            <v>0</v>
          </cell>
          <cell r="U12">
            <v>93</v>
          </cell>
          <cell r="V12">
            <v>5</v>
          </cell>
          <cell r="W12" t="str">
            <v>전반적으로 사업화 가능성을 검토한 수준이 우수하다고 판단됩니다.기술 추진 의지는 확고해 보이나, 창업중심대학 지원사업 성격에 따른 실질적인 구현 가능성에 대해서는 추가적인 검토가 요구됩니다.</v>
          </cell>
        </row>
        <row r="13">
          <cell r="B13">
            <v>20421742</v>
          </cell>
          <cell r="C13" t="str">
            <v>실험실</v>
          </cell>
          <cell r="D13" t="str">
            <v>화공ㆍ섬유</v>
          </cell>
          <cell r="E13" t="str">
            <v>고난도 첨단 연구용 유기화합물 맞춤형 합성·공급 플랫폼</v>
          </cell>
          <cell r="F13" t="str">
            <v>26,081,000</v>
          </cell>
          <cell r="G13" t="str">
            <v>1</v>
          </cell>
          <cell r="H13" t="str">
            <v>초기</v>
          </cell>
          <cell r="I13" t="str">
            <v>청년</v>
          </cell>
          <cell r="J13" t="str">
            <v/>
          </cell>
          <cell r="K13">
            <v>10</v>
          </cell>
          <cell r="L13">
            <v>10</v>
          </cell>
          <cell r="M13">
            <v>17</v>
          </cell>
          <cell r="N13">
            <v>18</v>
          </cell>
          <cell r="O13">
            <v>9</v>
          </cell>
          <cell r="P13">
            <v>9</v>
          </cell>
          <cell r="Q13">
            <v>15</v>
          </cell>
          <cell r="R13">
            <v>5</v>
          </cell>
          <cell r="S13">
            <v>93</v>
          </cell>
          <cell r="T13">
            <v>0</v>
          </cell>
          <cell r="U13">
            <v>93</v>
          </cell>
          <cell r="V13">
            <v>5</v>
          </cell>
          <cell r="W13" t="str">
            <v xml:space="preserve">시장 타겟팅과 수익 구조의 틀은 잘 잡혀 있습니다. 세부적인 매출 파이프라인과 실질적인 시장 침투 전략은 구체화가 더 필요해 보입니다. </v>
          </cell>
        </row>
        <row r="14">
          <cell r="B14">
            <v>20426887</v>
          </cell>
          <cell r="C14" t="str">
            <v>지역기반</v>
          </cell>
          <cell r="D14" t="str">
            <v>화공ㆍ섬유</v>
          </cell>
          <cell r="E14" t="str">
            <v>NIDT 변형 리포좀 기술을 적용하여 피부 열감과 속건조를 동시 해결하는 ‘기후 대응형(Zero-Heat) 고기능성 스킨케어’</v>
          </cell>
          <cell r="F14" t="str">
            <v>77,000,000</v>
          </cell>
          <cell r="G14" t="str">
            <v>4</v>
          </cell>
          <cell r="H14" t="str">
            <v>초기</v>
          </cell>
          <cell r="I14" t="str">
            <v>청년</v>
          </cell>
          <cell r="J14">
            <v>0</v>
          </cell>
          <cell r="K14">
            <v>10</v>
          </cell>
          <cell r="L14">
            <v>9</v>
          </cell>
          <cell r="M14">
            <v>18</v>
          </cell>
          <cell r="N14">
            <v>17</v>
          </cell>
          <cell r="O14">
            <v>9</v>
          </cell>
          <cell r="P14">
            <v>9</v>
          </cell>
          <cell r="Q14">
            <v>15</v>
          </cell>
          <cell r="R14">
            <v>5</v>
          </cell>
          <cell r="S14">
            <v>92</v>
          </cell>
          <cell r="T14">
            <v>0</v>
          </cell>
          <cell r="U14">
            <v>92</v>
          </cell>
          <cell r="V14">
            <v>7</v>
          </cell>
          <cell r="W14" t="str">
            <v xml:space="preserve">사업의 배경 및 문제 해결의 필요성은 비교적 명확하게 작성되었습니다. 다만, 현재의 기술 성숙도와 최종 목표치 사이의 경계가 모호한 측면이 있습니다. 기술 리더십은 확인되나, 목표 달성을 위한 구체적인 실현 가능성은 추가 검토가 필요합니다.
</v>
          </cell>
        </row>
        <row r="15">
          <cell r="B15">
            <v>20416668</v>
          </cell>
          <cell r="C15" t="str">
            <v>대학발</v>
          </cell>
          <cell r="D15" t="str">
            <v>화공ㆍ섬유</v>
          </cell>
          <cell r="E15" t="str">
            <v>여름철 민감·트러블 진정용 스킨케어 샤워기용 타블렛 개발</v>
          </cell>
          <cell r="F15" t="str">
            <v>52,678,928</v>
          </cell>
          <cell r="G15" t="str">
            <v>4</v>
          </cell>
          <cell r="H15" t="str">
            <v>초기</v>
          </cell>
          <cell r="I15" t="str">
            <v>청년</v>
          </cell>
          <cell r="J15">
            <v>0</v>
          </cell>
          <cell r="K15">
            <v>10</v>
          </cell>
          <cell r="L15">
            <v>9</v>
          </cell>
          <cell r="M15">
            <v>18</v>
          </cell>
          <cell r="N15">
            <v>17</v>
          </cell>
          <cell r="O15">
            <v>9</v>
          </cell>
          <cell r="P15">
            <v>9</v>
          </cell>
          <cell r="Q15">
            <v>15</v>
          </cell>
          <cell r="R15">
            <v>5</v>
          </cell>
          <cell r="S15">
            <v>92</v>
          </cell>
          <cell r="T15">
            <v>0</v>
          </cell>
          <cell r="U15">
            <v>92</v>
          </cell>
          <cell r="V15">
            <v>7</v>
          </cell>
          <cell r="W15" t="str">
            <v xml:space="preserve">기술적 구현 로드맵과 비즈니스 모델 간의 정합성이 우수하며, 전체적인 사업 실행 계획의 기획 완성도가 높은 수준으로 평가됩니다.
그러나 세부적인 매출 파이프라인과 실질적인 시장 침투 전략은 구체화가 더 필요해 보입니다. </v>
          </cell>
          <cell r="X15" t="str">
            <v>일치</v>
          </cell>
          <cell r="Y15" t="str">
            <v>지역주력산업 일치가 모호하므로 검증이 필요함</v>
          </cell>
        </row>
        <row r="16">
          <cell r="B16">
            <v>20421385</v>
          </cell>
          <cell r="C16" t="str">
            <v>지역기반</v>
          </cell>
          <cell r="D16" t="str">
            <v>화공ㆍ섬유</v>
          </cell>
          <cell r="E16" t="str">
            <v>분자증류를 이용한 전자재료용 고순도 Special Chemicals 제조 (Total 8종)</v>
          </cell>
          <cell r="F16" t="str">
            <v>0</v>
          </cell>
          <cell r="G16" t="str">
            <v>0</v>
          </cell>
          <cell r="H16" t="str">
            <v>예비</v>
          </cell>
          <cell r="I16" t="str">
            <v>중장년</v>
          </cell>
          <cell r="J16">
            <v>0</v>
          </cell>
          <cell r="K16">
            <v>10</v>
          </cell>
          <cell r="L16">
            <v>9</v>
          </cell>
          <cell r="M16">
            <v>16</v>
          </cell>
          <cell r="N16">
            <v>16</v>
          </cell>
          <cell r="O16">
            <v>9</v>
          </cell>
          <cell r="P16">
            <v>9</v>
          </cell>
          <cell r="Q16">
            <v>14</v>
          </cell>
          <cell r="R16">
            <v>5</v>
          </cell>
          <cell r="S16">
            <v>88</v>
          </cell>
          <cell r="T16">
            <v>0</v>
          </cell>
          <cell r="U16">
            <v>88</v>
          </cell>
          <cell r="V16">
            <v>9</v>
          </cell>
          <cell r="W16" t="str">
            <v>경쟁사 대비 차별화 포인트를 도출하였고, 고객의 니즈와 실제 활용 시나리오를 상세히 설명하였습니다. 
이를 통해 아이템의 시장 안착 가능성 검토할 수 있었습니다. 다만, 사업 방향의 타당성을 높이기 위한 객관적 근거 보완이 일부 필요해 보입니다.</v>
          </cell>
        </row>
        <row r="17">
          <cell r="B17">
            <v>20406503</v>
          </cell>
          <cell r="C17" t="str">
            <v>지역기반</v>
          </cell>
          <cell r="D17" t="str">
            <v>화공ㆍ섬유</v>
          </cell>
          <cell r="E17" t="str">
            <v>친환경 생분해 소재 기반 HDPE(High-Density Polyethylene) 대체용  탄소절감, 빗물 재활용, 수목 성장촉진을 위한 수목통 기관 설계 개발</v>
          </cell>
          <cell r="F17" t="str">
            <v>210,000,000</v>
          </cell>
          <cell r="G17" t="str">
            <v>2</v>
          </cell>
          <cell r="H17" t="str">
            <v>초기</v>
          </cell>
          <cell r="I17" t="str">
            <v>중장년</v>
          </cell>
          <cell r="J17">
            <v>0</v>
          </cell>
          <cell r="K17">
            <v>8</v>
          </cell>
          <cell r="L17">
            <v>9</v>
          </cell>
          <cell r="M17">
            <v>18</v>
          </cell>
          <cell r="N17">
            <v>17</v>
          </cell>
          <cell r="O17">
            <v>9</v>
          </cell>
          <cell r="P17">
            <v>8</v>
          </cell>
          <cell r="Q17">
            <v>15</v>
          </cell>
          <cell r="R17">
            <v>4</v>
          </cell>
          <cell r="S17">
            <v>88</v>
          </cell>
          <cell r="T17">
            <v>0</v>
          </cell>
          <cell r="U17">
            <v>88</v>
          </cell>
          <cell r="V17">
            <v>9</v>
          </cell>
          <cell r="W17" t="str">
            <v>전반적으로 사업화 가능성을 검토한 수준이 우수하다고 판단됩니다.기술 추진 의지는 확고해 보이나, 창업중심대학 지원사업 성격에 따른 실질적인 구현 가능성에 대해서는 추가적인 검토가 요구됩니다.</v>
          </cell>
        </row>
        <row r="18">
          <cell r="B18">
            <v>20417179</v>
          </cell>
          <cell r="C18" t="str">
            <v>지역기반</v>
          </cell>
          <cell r="D18" t="str">
            <v>화공ㆍ섬유</v>
          </cell>
          <cell r="E18" t="str">
            <v>VOCs 저감 및 재활용 분리가 가능한 무접착 열라미네이팅 기반 친환경 합지소재 기술개발</v>
          </cell>
          <cell r="F18" t="str">
            <v>30,000,000</v>
          </cell>
          <cell r="G18" t="str">
            <v>1</v>
          </cell>
          <cell r="H18" t="str">
            <v>도약</v>
          </cell>
          <cell r="I18" t="str">
            <v>중장년</v>
          </cell>
          <cell r="J18">
            <v>0</v>
          </cell>
          <cell r="K18">
            <v>10</v>
          </cell>
          <cell r="L18">
            <v>9</v>
          </cell>
          <cell r="M18">
            <v>14</v>
          </cell>
          <cell r="N18">
            <v>16</v>
          </cell>
          <cell r="O18">
            <v>9</v>
          </cell>
          <cell r="P18">
            <v>9</v>
          </cell>
          <cell r="Q18">
            <v>15</v>
          </cell>
          <cell r="R18">
            <v>5</v>
          </cell>
          <cell r="S18">
            <v>87</v>
          </cell>
          <cell r="T18">
            <v>0</v>
          </cell>
          <cell r="U18">
            <v>87</v>
          </cell>
          <cell r="V18">
            <v>11</v>
          </cell>
          <cell r="W18" t="str">
            <v>기술적 구현 로드맵과 비즈니스 모델 간의 정합성이 우수하며, 전체적인 사업 실행 계획의 기획 완성도가 높은 수준으로 평가됩니다.
기술 확보 의지는 뚜렷하나, 실제 시장 안착 가능성에 대해서는 면밀한 보완이 요구됩니다.</v>
          </cell>
        </row>
        <row r="19">
          <cell r="B19">
            <v>20419677</v>
          </cell>
          <cell r="C19" t="str">
            <v>지역기반</v>
          </cell>
          <cell r="D19" t="str">
            <v>화공ㆍ섬유</v>
          </cell>
          <cell r="E19" t="str">
            <v>오토와인더 기술이 적용된  폴리프로필렌(PP) 원사 제조 및 인공지능 공정 제어를 위한 DX</v>
          </cell>
          <cell r="F19" t="str">
            <v>237,000,000</v>
          </cell>
          <cell r="G19" t="str">
            <v>3</v>
          </cell>
          <cell r="H19" t="str">
            <v>초기</v>
          </cell>
          <cell r="I19" t="str">
            <v>청년</v>
          </cell>
          <cell r="J19">
            <v>0</v>
          </cell>
          <cell r="K19">
            <v>9</v>
          </cell>
          <cell r="L19">
            <v>10</v>
          </cell>
          <cell r="M19">
            <v>16</v>
          </cell>
          <cell r="N19">
            <v>14</v>
          </cell>
          <cell r="O19">
            <v>10</v>
          </cell>
          <cell r="P19">
            <v>9</v>
          </cell>
          <cell r="Q19">
            <v>14</v>
          </cell>
          <cell r="R19">
            <v>5</v>
          </cell>
          <cell r="S19">
            <v>87</v>
          </cell>
          <cell r="T19">
            <v>0</v>
          </cell>
          <cell r="U19">
            <v>87</v>
          </cell>
          <cell r="V19">
            <v>11</v>
          </cell>
          <cell r="W19" t="str">
            <v>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v>
          </cell>
        </row>
        <row r="20">
          <cell r="B20">
            <v>20420130</v>
          </cell>
          <cell r="C20" t="str">
            <v>지역기반</v>
          </cell>
          <cell r="D20" t="str">
            <v>화공ㆍ섬유</v>
          </cell>
          <cell r="E20" t="str">
            <v>AI 지능형 위생 진단 기반의 고기능성 스마트 세정 솔루션</v>
          </cell>
          <cell r="F20" t="str">
            <v>74,945,377</v>
          </cell>
          <cell r="G20" t="str">
            <v>1</v>
          </cell>
          <cell r="H20" t="str">
            <v>초기</v>
          </cell>
          <cell r="I20" t="str">
            <v>청년</v>
          </cell>
          <cell r="J20">
            <v>0</v>
          </cell>
          <cell r="K20">
            <v>9</v>
          </cell>
          <cell r="L20">
            <v>10</v>
          </cell>
          <cell r="M20">
            <v>16</v>
          </cell>
          <cell r="N20">
            <v>15</v>
          </cell>
          <cell r="O20">
            <v>9</v>
          </cell>
          <cell r="P20">
            <v>8</v>
          </cell>
          <cell r="Q20">
            <v>14</v>
          </cell>
          <cell r="R20">
            <v>4</v>
          </cell>
          <cell r="S20">
            <v>85</v>
          </cell>
          <cell r="T20">
            <v>2</v>
          </cell>
          <cell r="U20">
            <v>87</v>
          </cell>
          <cell r="V20">
            <v>11</v>
          </cell>
          <cell r="W20" t="str">
            <v>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v>
          </cell>
        </row>
        <row r="21">
          <cell r="B21">
            <v>20427962</v>
          </cell>
          <cell r="C21" t="str">
            <v>지역기반</v>
          </cell>
          <cell r="D21" t="str">
            <v>화공ㆍ섬유</v>
          </cell>
          <cell r="E21" t="str">
            <v>천연 염색 기술이 적용된 영유아 프리미엄 친환경 아동복</v>
          </cell>
          <cell r="F21" t="str">
            <v>151,982,715</v>
          </cell>
          <cell r="G21" t="str">
            <v>0</v>
          </cell>
          <cell r="H21" t="str">
            <v>초기</v>
          </cell>
          <cell r="I21" t="str">
            <v>청년</v>
          </cell>
          <cell r="J21">
            <v>0</v>
          </cell>
          <cell r="K21">
            <v>10</v>
          </cell>
          <cell r="L21">
            <v>9</v>
          </cell>
          <cell r="M21">
            <v>15</v>
          </cell>
          <cell r="N21">
            <v>16</v>
          </cell>
          <cell r="O21">
            <v>8</v>
          </cell>
          <cell r="P21">
            <v>9</v>
          </cell>
          <cell r="Q21">
            <v>15</v>
          </cell>
          <cell r="R21">
            <v>5</v>
          </cell>
          <cell r="S21">
            <v>87</v>
          </cell>
          <cell r="T21">
            <v>0</v>
          </cell>
          <cell r="U21">
            <v>87</v>
          </cell>
          <cell r="V21">
            <v>11</v>
          </cell>
          <cell r="W21" t="str">
            <v>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v>
          </cell>
        </row>
        <row r="22">
          <cell r="B22">
            <v>20428180</v>
          </cell>
          <cell r="C22" t="str">
            <v>지역기반</v>
          </cell>
          <cell r="D22" t="str">
            <v>화공ㆍ섬유</v>
          </cell>
          <cell r="E22" t="str">
            <v>소각되는 우유팩을 고부가가치 ‘비건 레더’로 재탄생시켜, 공공기관의녹색제품 구매 딜레마를 해결하는 ‘실속형 ESG 오피스 키트’ 제품</v>
          </cell>
          <cell r="F22" t="str">
            <v>50,000,000</v>
          </cell>
          <cell r="G22" t="str">
            <v>1</v>
          </cell>
          <cell r="H22" t="str">
            <v>초기</v>
          </cell>
          <cell r="I22" t="str">
            <v>청년</v>
          </cell>
          <cell r="J22">
            <v>0</v>
          </cell>
          <cell r="K22">
            <v>10</v>
          </cell>
          <cell r="L22">
            <v>9</v>
          </cell>
          <cell r="M22">
            <v>15</v>
          </cell>
          <cell r="N22">
            <v>16</v>
          </cell>
          <cell r="O22">
            <v>8</v>
          </cell>
          <cell r="P22">
            <v>9</v>
          </cell>
          <cell r="Q22">
            <v>15</v>
          </cell>
          <cell r="R22">
            <v>5</v>
          </cell>
          <cell r="S22">
            <v>87</v>
          </cell>
          <cell r="T22">
            <v>0</v>
          </cell>
          <cell r="U22">
            <v>87</v>
          </cell>
          <cell r="V22">
            <v>11</v>
          </cell>
          <cell r="W22" t="str">
            <v>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v>
          </cell>
        </row>
        <row r="23">
          <cell r="B23">
            <v>20429392</v>
          </cell>
          <cell r="C23" t="str">
            <v>지역기반</v>
          </cell>
          <cell r="D23" t="str">
            <v>화공ㆍ섬유</v>
          </cell>
          <cell r="E23" t="str">
            <v>초저온 실링 및 수분차단성을 갖춘 친환경 단일소재 폴리에틸렌 연포장 필름</v>
          </cell>
          <cell r="F23" t="str">
            <v>35,000,000</v>
          </cell>
          <cell r="G23" t="str">
            <v>0</v>
          </cell>
          <cell r="H23" t="str">
            <v>초기</v>
          </cell>
          <cell r="I23" t="str">
            <v>중장년</v>
          </cell>
          <cell r="J23">
            <v>0</v>
          </cell>
          <cell r="K23">
            <v>10</v>
          </cell>
          <cell r="L23">
            <v>9</v>
          </cell>
          <cell r="M23">
            <v>15</v>
          </cell>
          <cell r="N23">
            <v>16</v>
          </cell>
          <cell r="O23">
            <v>8</v>
          </cell>
          <cell r="P23">
            <v>9</v>
          </cell>
          <cell r="Q23">
            <v>15</v>
          </cell>
          <cell r="R23">
            <v>5</v>
          </cell>
          <cell r="S23">
            <v>87</v>
          </cell>
          <cell r="T23">
            <v>0</v>
          </cell>
          <cell r="U23">
            <v>87</v>
          </cell>
          <cell r="V23">
            <v>11</v>
          </cell>
          <cell r="W23" t="str">
            <v xml:space="preserve">기술적 특징과 향후 개발 경로가 직관적으로 서술되었습니다. 다만, 현재의 기술 성숙도와 최종 목표치 사이의 경계가 모호한 측면이 있습니다. 
세부적인 매출 파이프라인과 실질적인 시장 침투전략은 구체화가 필요해 보입니다. </v>
          </cell>
        </row>
        <row r="24">
          <cell r="B24">
            <v>20440248</v>
          </cell>
          <cell r="C24" t="str">
            <v>지역기반</v>
          </cell>
          <cell r="D24" t="str">
            <v>화공ㆍ섬유</v>
          </cell>
          <cell r="E24" t="str">
            <v>버려지는 부산물을 활용한 주름개선용 식물성 펩타이드 소재 사업화</v>
          </cell>
          <cell r="F24" t="str">
            <v>63,000,000</v>
          </cell>
          <cell r="G24" t="str">
            <v>0</v>
          </cell>
          <cell r="H24" t="str">
            <v>초기</v>
          </cell>
          <cell r="I24" t="str">
            <v>중장년</v>
          </cell>
          <cell r="J24">
            <v>0</v>
          </cell>
          <cell r="K24">
            <v>10</v>
          </cell>
          <cell r="L24">
            <v>9</v>
          </cell>
          <cell r="M24">
            <v>15</v>
          </cell>
          <cell r="N24">
            <v>16</v>
          </cell>
          <cell r="O24">
            <v>8</v>
          </cell>
          <cell r="P24">
            <v>9</v>
          </cell>
          <cell r="Q24">
            <v>15</v>
          </cell>
          <cell r="R24">
            <v>5</v>
          </cell>
          <cell r="S24">
            <v>87</v>
          </cell>
          <cell r="T24">
            <v>0</v>
          </cell>
          <cell r="U24">
            <v>87</v>
          </cell>
          <cell r="V24">
            <v>11</v>
          </cell>
          <cell r="W24" t="str">
            <v>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v>
          </cell>
        </row>
        <row r="25">
          <cell r="B25">
            <v>20401633</v>
          </cell>
          <cell r="C25" t="str">
            <v>지역기반</v>
          </cell>
          <cell r="D25" t="str">
            <v>화공ㆍ섬유</v>
          </cell>
          <cell r="E25" t="str">
            <v>수면 시간을 관리하는 수면 뷰티 솔루션 네루미인 제품 사업화</v>
          </cell>
          <cell r="F25" t="str">
            <v>20,000,000</v>
          </cell>
          <cell r="G25" t="str">
            <v>2</v>
          </cell>
          <cell r="H25" t="str">
            <v>도약</v>
          </cell>
          <cell r="I25" t="str">
            <v>청년</v>
          </cell>
          <cell r="J25">
            <v>0</v>
          </cell>
          <cell r="K25">
            <v>10</v>
          </cell>
          <cell r="L25">
            <v>9</v>
          </cell>
          <cell r="M25">
            <v>15</v>
          </cell>
          <cell r="N25">
            <v>15</v>
          </cell>
          <cell r="O25">
            <v>9</v>
          </cell>
          <cell r="P25">
            <v>9</v>
          </cell>
          <cell r="Q25">
            <v>15</v>
          </cell>
          <cell r="R25">
            <v>5</v>
          </cell>
          <cell r="S25">
            <v>87</v>
          </cell>
          <cell r="T25">
            <v>0</v>
          </cell>
          <cell r="U25">
            <v>87</v>
          </cell>
          <cell r="V25">
            <v>11</v>
          </cell>
          <cell r="W25" t="str">
            <v xml:space="preserve">경쟁 우위 요소를 발굴하여 제시한 점은 고무적입니다. 다만 이러한 차별화 포인트가 실질적인 기술적 진입장벽이나 우위로 이어진다는 객관적 근거가 다소 미흡합니다. </v>
          </cell>
        </row>
        <row r="26">
          <cell r="B26">
            <v>20404514</v>
          </cell>
          <cell r="C26" t="str">
            <v>지역기반</v>
          </cell>
          <cell r="D26" t="str">
            <v>화공ㆍ섬유</v>
          </cell>
          <cell r="E26" t="str">
            <v>건조기/스타일러 겸용 로컬라이징 천연 섬유유연제 시트 개발</v>
          </cell>
          <cell r="F26" t="str">
            <v>559,870,000</v>
          </cell>
          <cell r="G26" t="str">
            <v>9</v>
          </cell>
          <cell r="H26" t="str">
            <v>도약</v>
          </cell>
          <cell r="I26" t="str">
            <v>중장년</v>
          </cell>
          <cell r="J26">
            <v>0</v>
          </cell>
          <cell r="K26">
            <v>10</v>
          </cell>
          <cell r="L26">
            <v>9</v>
          </cell>
          <cell r="M26">
            <v>15</v>
          </cell>
          <cell r="N26">
            <v>15</v>
          </cell>
          <cell r="O26">
            <v>9</v>
          </cell>
          <cell r="P26">
            <v>9</v>
          </cell>
          <cell r="Q26">
            <v>15</v>
          </cell>
          <cell r="R26">
            <v>5</v>
          </cell>
          <cell r="S26">
            <v>87</v>
          </cell>
          <cell r="T26">
            <v>0</v>
          </cell>
          <cell r="U26">
            <v>87</v>
          </cell>
          <cell r="V26">
            <v>11</v>
          </cell>
          <cell r="W26" t="str">
            <v>기술적 특징과 향후 개발 경로가 직관적으로 서술되었습니다. 
세부적인 매출 파이프라인과 실질적인 시장 침투 전략은 구체화가 더 필요해 보입니다.</v>
          </cell>
        </row>
        <row r="27">
          <cell r="B27">
            <v>20413600</v>
          </cell>
          <cell r="C27" t="str">
            <v>지역기반</v>
          </cell>
          <cell r="D27" t="str">
            <v>화공ㆍ섬유</v>
          </cell>
          <cell r="E27" t="str">
            <v>생리통 완화용 하복부 밀착형 온열·전기자극(TENS) 스마트 이너웨어 개발</v>
          </cell>
          <cell r="F27" t="str">
            <v>0</v>
          </cell>
          <cell r="G27" t="str">
            <v>0</v>
          </cell>
          <cell r="H27" t="str">
            <v>예비</v>
          </cell>
          <cell r="I27" t="str">
            <v>중장년</v>
          </cell>
          <cell r="J27">
            <v>0</v>
          </cell>
          <cell r="K27">
            <v>9</v>
          </cell>
          <cell r="L27">
            <v>10</v>
          </cell>
          <cell r="M27">
            <v>14</v>
          </cell>
          <cell r="N27">
            <v>16</v>
          </cell>
          <cell r="O27">
            <v>9</v>
          </cell>
          <cell r="P27">
            <v>9</v>
          </cell>
          <cell r="Q27">
            <v>14</v>
          </cell>
          <cell r="R27">
            <v>5</v>
          </cell>
          <cell r="S27">
            <v>86</v>
          </cell>
          <cell r="T27">
            <v>0</v>
          </cell>
          <cell r="U27">
            <v>86</v>
          </cell>
          <cell r="V27">
            <v>20</v>
          </cell>
          <cell r="W27" t="str">
            <v>기존 시장 제품들과 비교하여 기술적 차별성이 보여지며, 관련 특허 및 인증을 통해 진입 장벽을 견고히 구축함.
추진력과 아이디어가 훌륭하므로 실무적 완성도를 높인다면 매력적인 사업이 될 것</v>
          </cell>
        </row>
        <row r="28">
          <cell r="B28">
            <v>20420834</v>
          </cell>
          <cell r="C28" t="str">
            <v>지역기반</v>
          </cell>
          <cell r="D28" t="str">
            <v>화공ㆍ섬유</v>
          </cell>
          <cell r="E28" t="str">
            <v>키토산 소재기반, 피부노폐물을 안전하고 효과적으로 제거할 수 있는 화장품용 미립자 소재회</v>
          </cell>
          <cell r="F28" t="str">
            <v>0</v>
          </cell>
          <cell r="G28" t="str">
            <v>0</v>
          </cell>
          <cell r="H28" t="str">
            <v>예비</v>
          </cell>
          <cell r="I28" t="str">
            <v>청년</v>
          </cell>
          <cell r="J28">
            <v>0</v>
          </cell>
          <cell r="K28">
            <v>9</v>
          </cell>
          <cell r="L28">
            <v>9</v>
          </cell>
          <cell r="M28">
            <v>15</v>
          </cell>
          <cell r="N28">
            <v>14</v>
          </cell>
          <cell r="O28">
            <v>8</v>
          </cell>
          <cell r="P28">
            <v>9</v>
          </cell>
          <cell r="Q28">
            <v>15</v>
          </cell>
          <cell r="R28">
            <v>5</v>
          </cell>
          <cell r="S28">
            <v>84</v>
          </cell>
          <cell r="T28">
            <v>2</v>
          </cell>
          <cell r="U28">
            <v>86</v>
          </cell>
          <cell r="V28">
            <v>20</v>
          </cell>
          <cell r="W28" t="str">
            <v>아이템의 핵심 기능과 구체적인 활용 방안이 잘 정리되어 있으며, 기술적 구현 방법과 사업화 전략이 논리적으로 연결. 
전달하고자 하는 가치는 매력적이니 마케팅과 판로개척에 대해서는 추가적 검토 요구됨</v>
          </cell>
        </row>
        <row r="29">
          <cell r="B29">
            <v>20404733</v>
          </cell>
          <cell r="C29" t="str">
            <v>지역기반</v>
          </cell>
          <cell r="D29" t="str">
            <v>화공ㆍ섬유</v>
          </cell>
          <cell r="E29" t="str">
            <v xml:space="preserve">기능성 재활용 필름 기술이 적용된 방취, 고강도 기능의 친환경 반려동물 위생 소재 </v>
          </cell>
          <cell r="F29" t="str">
            <v>35,000,000</v>
          </cell>
          <cell r="G29" t="str">
            <v>3</v>
          </cell>
          <cell r="H29" t="str">
            <v>초기</v>
          </cell>
          <cell r="I29" t="str">
            <v>중장년</v>
          </cell>
          <cell r="J29">
            <v>0</v>
          </cell>
          <cell r="K29">
            <v>9</v>
          </cell>
          <cell r="L29">
            <v>8</v>
          </cell>
          <cell r="M29">
            <v>17</v>
          </cell>
          <cell r="N29">
            <v>17</v>
          </cell>
          <cell r="O29">
            <v>9</v>
          </cell>
          <cell r="P29">
            <v>8</v>
          </cell>
          <cell r="Q29">
            <v>14</v>
          </cell>
          <cell r="R29">
            <v>4</v>
          </cell>
          <cell r="S29">
            <v>86</v>
          </cell>
          <cell r="T29">
            <v>0</v>
          </cell>
          <cell r="U29">
            <v>86</v>
          </cell>
          <cell r="V29">
            <v>20</v>
          </cell>
          <cell r="W29" t="str">
            <v xml:space="preserve">아이템의 핵심기능과 구체적인 판로개척방법들이 잘 정리되어 있음. 
지원사업의 성격에 따른 해외 시장 진출에 따른 국내 기개발 제품과의 차별성, 해외 시장 특허 및 인증에 대한 구체적 방안 제시필요.  </v>
          </cell>
        </row>
        <row r="30">
          <cell r="B30">
            <v>20416549</v>
          </cell>
          <cell r="C30" t="str">
            <v>지역기반</v>
          </cell>
          <cell r="D30" t="str">
            <v>화공ㆍ섬유</v>
          </cell>
          <cell r="E30" t="str">
            <v>특허 기반 3중 레이어 기술 적용 보습 패드팩 개발 및 글로벌 진출</v>
          </cell>
          <cell r="F30" t="str">
            <v>203,000,000</v>
          </cell>
          <cell r="G30" t="str">
            <v>3</v>
          </cell>
          <cell r="H30" t="str">
            <v>초기</v>
          </cell>
          <cell r="I30" t="str">
            <v>청년</v>
          </cell>
          <cell r="J30">
            <v>0</v>
          </cell>
          <cell r="K30">
            <v>9</v>
          </cell>
          <cell r="L30">
            <v>9</v>
          </cell>
          <cell r="M30">
            <v>15</v>
          </cell>
          <cell r="N30">
            <v>16</v>
          </cell>
          <cell r="O30">
            <v>9</v>
          </cell>
          <cell r="P30">
            <v>8</v>
          </cell>
          <cell r="Q30">
            <v>14</v>
          </cell>
          <cell r="R30">
            <v>4</v>
          </cell>
          <cell r="S30">
            <v>84</v>
          </cell>
          <cell r="T30">
            <v>2</v>
          </cell>
          <cell r="U30">
            <v>86</v>
          </cell>
          <cell r="V30">
            <v>20</v>
          </cell>
          <cell r="W30" t="str">
            <v>기존 시장 제품들과 비교하여 기술적 차별성이 보여지며, 관련 특허 및 인증을 통해 진입 장벽을 견고히 구축함
사업의 본질에 집중하도록 예산을 재배정한다면 훨씬 탄탄한 성장이 가능할 것임</v>
          </cell>
        </row>
        <row r="31">
          <cell r="B31">
            <v>20440240</v>
          </cell>
          <cell r="C31" t="str">
            <v>지역기반</v>
          </cell>
          <cell r="D31" t="str">
            <v>화공ㆍ섬유</v>
          </cell>
          <cell r="E31" t="str">
            <v>살균·세정 기능이 결합된 듀얼 챔버 2in1 플러셔블 위생 티슈 '털썩&amp;뽀득'</v>
          </cell>
          <cell r="F31" t="str">
            <v>0</v>
          </cell>
          <cell r="G31" t="str">
            <v>0</v>
          </cell>
          <cell r="H31" t="str">
            <v>예비</v>
          </cell>
          <cell r="I31" t="str">
            <v>청년</v>
          </cell>
          <cell r="J31">
            <v>0</v>
          </cell>
          <cell r="K31">
            <v>8</v>
          </cell>
          <cell r="L31">
            <v>9</v>
          </cell>
          <cell r="M31">
            <v>16</v>
          </cell>
          <cell r="N31">
            <v>17</v>
          </cell>
          <cell r="O31">
            <v>9</v>
          </cell>
          <cell r="P31">
            <v>8</v>
          </cell>
          <cell r="Q31">
            <v>14</v>
          </cell>
          <cell r="R31">
            <v>4</v>
          </cell>
          <cell r="S31">
            <v>85</v>
          </cell>
          <cell r="T31">
            <v>0</v>
          </cell>
          <cell r="U31">
            <v>85</v>
          </cell>
          <cell r="V31">
            <v>24</v>
          </cell>
          <cell r="W31" t="str">
            <v>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v>
          </cell>
        </row>
        <row r="32">
          <cell r="B32">
            <v>20422688</v>
          </cell>
          <cell r="C32" t="str">
            <v>지역기반</v>
          </cell>
          <cell r="D32" t="str">
            <v>화공ㆍ섬유</v>
          </cell>
          <cell r="E32" t="str">
            <v>산업현장 지속가능성 강화를 위한 업사이클 섬유, 모듈형 설계 기술을 활용한 다기능 워크웨어 서비스</v>
          </cell>
          <cell r="F32" t="str">
            <v>130,000,000</v>
          </cell>
          <cell r="G32" t="str">
            <v>0</v>
          </cell>
          <cell r="H32" t="str">
            <v>초기</v>
          </cell>
          <cell r="I32" t="str">
            <v>중장년</v>
          </cell>
          <cell r="J32">
            <v>0</v>
          </cell>
          <cell r="K32">
            <v>8</v>
          </cell>
          <cell r="L32">
            <v>9</v>
          </cell>
          <cell r="M32">
            <v>16</v>
          </cell>
          <cell r="N32">
            <v>17</v>
          </cell>
          <cell r="O32">
            <v>9</v>
          </cell>
          <cell r="P32">
            <v>8</v>
          </cell>
          <cell r="Q32">
            <v>14</v>
          </cell>
          <cell r="R32">
            <v>4</v>
          </cell>
          <cell r="S32">
            <v>85</v>
          </cell>
          <cell r="T32">
            <v>0</v>
          </cell>
          <cell r="U32">
            <v>85</v>
          </cell>
          <cell r="V32">
            <v>24</v>
          </cell>
          <cell r="W32" t="str">
            <v xml:space="preserve">시장 타겟팅과 수익 구조의 틀은 잘 잡혀 있습니다.
기술적 특징과 향후 개발 경로가 직관적으로 서술되었습니다. 세부적인 매출 파이프라인과 실질적인 시장 침투 전략은 구체화가 더 필요해 보입니다. </v>
          </cell>
        </row>
        <row r="33">
          <cell r="B33">
            <v>20431705</v>
          </cell>
          <cell r="C33" t="str">
            <v>지역기반</v>
          </cell>
          <cell r="D33" t="str">
            <v>화공ㆍ섬유</v>
          </cell>
          <cell r="E33" t="str">
            <v>스피큘 비드 코팅 기술 및 PDRN 시각화 기능이 적용된 B2B 화장품 원료 'Crystal Spicule Bead V4.0'</v>
          </cell>
          <cell r="F33" t="str">
            <v>2,000,000,000</v>
          </cell>
          <cell r="G33" t="str">
            <v>6</v>
          </cell>
          <cell r="H33" t="str">
            <v>도약</v>
          </cell>
          <cell r="I33" t="str">
            <v>중장년</v>
          </cell>
          <cell r="J33">
            <v>0</v>
          </cell>
          <cell r="K33">
            <v>10</v>
          </cell>
          <cell r="L33">
            <v>9</v>
          </cell>
          <cell r="M33">
            <v>15</v>
          </cell>
          <cell r="N33">
            <v>14</v>
          </cell>
          <cell r="O33">
            <v>9</v>
          </cell>
          <cell r="P33">
            <v>9</v>
          </cell>
          <cell r="Q33">
            <v>14</v>
          </cell>
          <cell r="R33">
            <v>5</v>
          </cell>
          <cell r="S33">
            <v>85</v>
          </cell>
          <cell r="T33">
            <v>0</v>
          </cell>
          <cell r="U33">
            <v>85</v>
          </cell>
          <cell r="V33">
            <v>24</v>
          </cell>
          <cell r="W33" t="str">
            <v xml:space="preserve">기술적 구현 로드맵과 비즈니스 모델 간의 정합성이 우수하며, 전체적인 사업 실행 계획의 기획 완성도가 있습니다.
세부적인 매출 파이프라인과 실질적인 시장 침투 전략은 구체화가 더 필요해 보입니다. </v>
          </cell>
        </row>
        <row r="34">
          <cell r="B34">
            <v>20409574</v>
          </cell>
          <cell r="C34" t="str">
            <v>지역기반</v>
          </cell>
          <cell r="D34" t="str">
            <v>화공ㆍ섬유</v>
          </cell>
          <cell r="E34" t="str">
            <v>고온 공정 RTD의 원물 풍미 손실을 개선하는 저온 블렌딩 기반 국산 원물 클린라벨 RTD 과일티 개발</v>
          </cell>
          <cell r="F34" t="str">
            <v>0</v>
          </cell>
          <cell r="G34" t="str">
            <v>0</v>
          </cell>
          <cell r="H34" t="str">
            <v>예비</v>
          </cell>
          <cell r="I34" t="str">
            <v>청년</v>
          </cell>
          <cell r="J34">
            <v>0</v>
          </cell>
          <cell r="K34">
            <v>10</v>
          </cell>
          <cell r="L34">
            <v>9</v>
          </cell>
          <cell r="M34">
            <v>14</v>
          </cell>
          <cell r="N34">
            <v>15</v>
          </cell>
          <cell r="O34">
            <v>8</v>
          </cell>
          <cell r="P34">
            <v>9</v>
          </cell>
          <cell r="Q34">
            <v>14</v>
          </cell>
          <cell r="R34">
            <v>4</v>
          </cell>
          <cell r="S34">
            <v>83</v>
          </cell>
          <cell r="T34">
            <v>2</v>
          </cell>
          <cell r="U34">
            <v>85</v>
          </cell>
          <cell r="V34">
            <v>24</v>
          </cell>
          <cell r="W34" t="str">
            <v>관련 소비자 니즈가 증가하는 부분에서 사업적 취지는 인정됨 
다만, 경쟁사 대비 우위를 점할 핵심 기술이나 IP(지식재산권)  차별화 전략 필요한데 비해, 현재 계획서 상에는 차별화된 요소가 미약함</v>
          </cell>
        </row>
        <row r="35">
          <cell r="B35">
            <v>20412771</v>
          </cell>
          <cell r="C35" t="str">
            <v>지역기반</v>
          </cell>
          <cell r="D35" t="str">
            <v>화공ㆍ섬유</v>
          </cell>
          <cell r="E35" t="str">
            <v>고온 향 유지 기반 1인 가구 맞춤형 원스톱 조미료 제조 사업</v>
          </cell>
          <cell r="F35" t="str">
            <v>148,994,539</v>
          </cell>
          <cell r="G35" t="str">
            <v>1</v>
          </cell>
          <cell r="H35" t="str">
            <v>초기</v>
          </cell>
          <cell r="I35" t="str">
            <v>청년</v>
          </cell>
          <cell r="J35">
            <v>0</v>
          </cell>
          <cell r="K35">
            <v>10</v>
          </cell>
          <cell r="L35">
            <v>9</v>
          </cell>
          <cell r="M35">
            <v>13</v>
          </cell>
          <cell r="N35">
            <v>16</v>
          </cell>
          <cell r="O35">
            <v>9</v>
          </cell>
          <cell r="P35">
            <v>8</v>
          </cell>
          <cell r="Q35">
            <v>14</v>
          </cell>
          <cell r="R35">
            <v>4</v>
          </cell>
          <cell r="S35">
            <v>83</v>
          </cell>
          <cell r="T35">
            <v>2</v>
          </cell>
          <cell r="U35">
            <v>85</v>
          </cell>
          <cell r="V35">
            <v>24</v>
          </cell>
          <cell r="W35" t="str">
            <v xml:space="preserve">시장 문제점에 대한 분석이 피상적이며, 시장의 페인 포인트를 입증할 통계나 근거 자료 보완이 필수적임. 아이템의 참신함이 돋보이므로 시장 데이터 보완시 매력적인 사업이 될 것임. </v>
          </cell>
        </row>
        <row r="36">
          <cell r="B36">
            <v>20414836</v>
          </cell>
          <cell r="C36" t="str">
            <v>지역기반</v>
          </cell>
          <cell r="D36" t="str">
            <v>화공ㆍ섬유</v>
          </cell>
          <cell r="E36" t="str">
            <v>백리향 기반 pH 중화 기술을 적용한 친환경 섬유유연제</v>
          </cell>
          <cell r="F36" t="str">
            <v>90,000,000</v>
          </cell>
          <cell r="G36" t="str">
            <v>0</v>
          </cell>
          <cell r="H36" t="str">
            <v>초기</v>
          </cell>
          <cell r="I36" t="str">
            <v>중장년</v>
          </cell>
          <cell r="J36">
            <v>0</v>
          </cell>
          <cell r="K36">
            <v>9</v>
          </cell>
          <cell r="L36">
            <v>10</v>
          </cell>
          <cell r="M36">
            <v>15</v>
          </cell>
          <cell r="N36">
            <v>16</v>
          </cell>
          <cell r="O36">
            <v>9</v>
          </cell>
          <cell r="P36">
            <v>8</v>
          </cell>
          <cell r="Q36">
            <v>14</v>
          </cell>
          <cell r="R36">
            <v>4</v>
          </cell>
          <cell r="S36">
            <v>85</v>
          </cell>
          <cell r="T36">
            <v>0</v>
          </cell>
          <cell r="U36">
            <v>85</v>
          </cell>
          <cell r="V36">
            <v>24</v>
          </cell>
          <cell r="W36" t="str">
            <v xml:space="preserve">기존 시장 제품들과 비교하여 기술적 차별성이 보여지며, 관련 특허 및 인증을 통해 진입 장벽을 견고히 구축함.
추진력과 아이디어에 구체적인 마케팅과 판로개척에 대해 추가적인 검토 요구
</v>
          </cell>
        </row>
        <row r="37">
          <cell r="B37">
            <v>20427195</v>
          </cell>
          <cell r="C37" t="str">
            <v>지역기반</v>
          </cell>
          <cell r="D37" t="str">
            <v>화공ㆍ섬유</v>
          </cell>
          <cell r="E37" t="str">
            <v>제올라이트를 활용한 어싱길 포장재 개발</v>
          </cell>
          <cell r="F37" t="str">
            <v>86,000,000</v>
          </cell>
          <cell r="G37" t="str">
            <v>4</v>
          </cell>
          <cell r="H37" t="str">
            <v>초기</v>
          </cell>
          <cell r="I37" t="str">
            <v>청년</v>
          </cell>
          <cell r="J37">
            <v>0</v>
          </cell>
          <cell r="K37">
            <v>9</v>
          </cell>
          <cell r="L37">
            <v>8</v>
          </cell>
          <cell r="M37">
            <v>16</v>
          </cell>
          <cell r="N37">
            <v>14</v>
          </cell>
          <cell r="O37">
            <v>10</v>
          </cell>
          <cell r="P37">
            <v>9</v>
          </cell>
          <cell r="Q37">
            <v>14</v>
          </cell>
          <cell r="R37">
            <v>5</v>
          </cell>
          <cell r="S37">
            <v>85</v>
          </cell>
          <cell r="T37">
            <v>0</v>
          </cell>
          <cell r="U37">
            <v>85</v>
          </cell>
          <cell r="V37">
            <v>24</v>
          </cell>
          <cell r="W37" t="str">
            <v>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v>
          </cell>
        </row>
        <row r="38">
          <cell r="B38">
            <v>20429165</v>
          </cell>
          <cell r="C38" t="str">
            <v>지역기반</v>
          </cell>
          <cell r="D38" t="str">
            <v>화공ㆍ섬유</v>
          </cell>
          <cell r="E38" t="str">
            <v>AI x IoT 기반 Off-Grid 재난·안전 대응 스마트 모바일 쉘터</v>
          </cell>
          <cell r="F38" t="str">
            <v>608,370,260</v>
          </cell>
          <cell r="G38" t="str">
            <v>2</v>
          </cell>
          <cell r="H38" t="str">
            <v>도약</v>
          </cell>
          <cell r="I38" t="str">
            <v>중장년</v>
          </cell>
          <cell r="J38">
            <v>0</v>
          </cell>
          <cell r="K38">
            <v>10</v>
          </cell>
          <cell r="L38">
            <v>9</v>
          </cell>
          <cell r="M38">
            <v>13</v>
          </cell>
          <cell r="N38">
            <v>14</v>
          </cell>
          <cell r="O38">
            <v>9</v>
          </cell>
          <cell r="P38">
            <v>9</v>
          </cell>
          <cell r="Q38">
            <v>15</v>
          </cell>
          <cell r="R38">
            <v>5</v>
          </cell>
          <cell r="S38">
            <v>84</v>
          </cell>
          <cell r="T38">
            <v>0</v>
          </cell>
          <cell r="U38">
            <v>84</v>
          </cell>
          <cell r="V38">
            <v>31</v>
          </cell>
          <cell r="W38" t="str">
            <v xml:space="preserve">시장 타겟팅과 수익 구조의 틀은 잘 잡혀 있습니다.
기술적 특징과 향후 개발 경로가 직관적으로 서술되었습니다. 세부적인 매출 파이프라인과 실질적인 시장 침투 전략은 구체화가 더 필요해 보입니다. </v>
          </cell>
        </row>
        <row r="39">
          <cell r="B39">
            <v>20430515</v>
          </cell>
          <cell r="C39" t="str">
            <v>지역기반</v>
          </cell>
          <cell r="D39" t="str">
            <v>화공ㆍ섬유</v>
          </cell>
          <cell r="E39" t="str">
            <v>소재의 한지의 느낌을 살려 수묵화 등 한국 전통의 디자인을 적용한  글로벌 진출용 친환경(타이벡) 양산</v>
          </cell>
          <cell r="F39" t="str">
            <v>0</v>
          </cell>
          <cell r="G39" t="str">
            <v>0</v>
          </cell>
          <cell r="H39" t="str">
            <v>예비</v>
          </cell>
          <cell r="I39" t="str">
            <v>중장년</v>
          </cell>
          <cell r="J39">
            <v>0</v>
          </cell>
          <cell r="K39">
            <v>9</v>
          </cell>
          <cell r="L39">
            <v>9</v>
          </cell>
          <cell r="M39">
            <v>15</v>
          </cell>
          <cell r="N39">
            <v>16</v>
          </cell>
          <cell r="O39">
            <v>9</v>
          </cell>
          <cell r="P39">
            <v>8</v>
          </cell>
          <cell r="Q39">
            <v>14</v>
          </cell>
          <cell r="R39">
            <v>4</v>
          </cell>
          <cell r="S39">
            <v>84</v>
          </cell>
          <cell r="T39">
            <v>0</v>
          </cell>
          <cell r="U39">
            <v>84</v>
          </cell>
          <cell r="V39">
            <v>31</v>
          </cell>
          <cell r="W39" t="str">
            <v>관련 소비자 니즈가 증가하는 부분에서 사업적 취지는 인정됨 
다만, 경쟁사 대비 우위를 점할 핵심 기술이나 IP(지식재산권)  차별화 전략 필요한데 비해, 현재 계획서 상에는 차별화된 요소가 미약함</v>
          </cell>
        </row>
        <row r="40">
          <cell r="B40">
            <v>20420092</v>
          </cell>
          <cell r="C40" t="str">
            <v>지역기반</v>
          </cell>
          <cell r="D40" t="str">
            <v>화공ㆍ섬유</v>
          </cell>
          <cell r="E40" t="str">
            <v>90분 건조 브라</v>
          </cell>
          <cell r="F40" t="str">
            <v>0</v>
          </cell>
          <cell r="G40" t="str">
            <v>0</v>
          </cell>
          <cell r="H40" t="str">
            <v>예비</v>
          </cell>
          <cell r="I40" t="str">
            <v>청년</v>
          </cell>
          <cell r="J40">
            <v>0</v>
          </cell>
          <cell r="K40">
            <v>9</v>
          </cell>
          <cell r="L40">
            <v>9</v>
          </cell>
          <cell r="M40">
            <v>12</v>
          </cell>
          <cell r="N40">
            <v>14</v>
          </cell>
          <cell r="O40">
            <v>10</v>
          </cell>
          <cell r="P40">
            <v>10</v>
          </cell>
          <cell r="Q40">
            <v>15</v>
          </cell>
          <cell r="R40">
            <v>5</v>
          </cell>
          <cell r="S40">
            <v>84</v>
          </cell>
          <cell r="T40">
            <v>0</v>
          </cell>
          <cell r="U40">
            <v>84</v>
          </cell>
          <cell r="V40">
            <v>31</v>
          </cell>
          <cell r="W40" t="str">
            <v>아이템의 핵심 기능과 구체적인 활용 방안이 잘 정리되어 있으며, 기술적 구현 방법과 사업화 전략이 논리적으로 연결됩니다. 
기술 추진 의지는 확고해 보이나, 실질적인 구현 가능성에 대해서는 추가적인 검토가 요구됩니다.</v>
          </cell>
        </row>
        <row r="41">
          <cell r="B41">
            <v>20407388</v>
          </cell>
          <cell r="C41" t="str">
            <v>지역기반</v>
          </cell>
          <cell r="D41" t="str">
            <v>화공ㆍ섬유</v>
          </cell>
          <cell r="E41" t="str">
            <v>F.BRX - 동대문 소상공인 원단업체을 위한 섬유 특화 3D/AI 기반 디지털 콘텐츠 제작 서비스</v>
          </cell>
          <cell r="F41" t="str">
            <v>60,000,000</v>
          </cell>
          <cell r="G41" t="str">
            <v>0</v>
          </cell>
          <cell r="H41" t="str">
            <v>초기</v>
          </cell>
          <cell r="I41" t="str">
            <v>중장년</v>
          </cell>
          <cell r="J41">
            <v>0</v>
          </cell>
          <cell r="K41">
            <v>9</v>
          </cell>
          <cell r="L41">
            <v>9</v>
          </cell>
          <cell r="M41">
            <v>15</v>
          </cell>
          <cell r="N41">
            <v>16</v>
          </cell>
          <cell r="O41">
            <v>9</v>
          </cell>
          <cell r="P41">
            <v>8</v>
          </cell>
          <cell r="Q41">
            <v>14</v>
          </cell>
          <cell r="R41">
            <v>4</v>
          </cell>
          <cell r="S41">
            <v>84</v>
          </cell>
          <cell r="T41">
            <v>0</v>
          </cell>
          <cell r="U41">
            <v>84</v>
          </cell>
          <cell r="V41">
            <v>31</v>
          </cell>
          <cell r="W41" t="str">
            <v>창업 동기와 문제 해결의 필요성은 설득력 있게 제시되었습니다.
차별화의 방향성은 타당하나, 독보적인 경쟁력과 실현가능성을 증명하기 위한 추가 근거자료가 필요합니다.</v>
          </cell>
        </row>
        <row r="42">
          <cell r="B42">
            <v>20407919</v>
          </cell>
          <cell r="C42" t="str">
            <v>지역기반</v>
          </cell>
          <cell r="D42" t="str">
            <v>화공ㆍ섬유</v>
          </cell>
          <cell r="E42" t="str">
            <v>세제를 함유하고 간편한 일회용 건식 수세미</v>
          </cell>
          <cell r="F42" t="str">
            <v>195,000,000</v>
          </cell>
          <cell r="G42" t="str">
            <v>0</v>
          </cell>
          <cell r="H42" t="str">
            <v>초기</v>
          </cell>
          <cell r="I42" t="str">
            <v>중장년</v>
          </cell>
          <cell r="J42">
            <v>0</v>
          </cell>
          <cell r="K42">
            <v>10</v>
          </cell>
          <cell r="L42">
            <v>9</v>
          </cell>
          <cell r="M42">
            <v>14</v>
          </cell>
          <cell r="N42">
            <v>13</v>
          </cell>
          <cell r="O42">
            <v>8</v>
          </cell>
          <cell r="P42">
            <v>9</v>
          </cell>
          <cell r="Q42">
            <v>15</v>
          </cell>
          <cell r="R42">
            <v>5</v>
          </cell>
          <cell r="S42">
            <v>83</v>
          </cell>
          <cell r="T42">
            <v>0</v>
          </cell>
          <cell r="U42">
            <v>83</v>
          </cell>
          <cell r="V42">
            <v>35</v>
          </cell>
          <cell r="W42" t="str">
            <v>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사업의 본질에 집중하도록 예산을 재배정한다면 훨씬 탄탄한 성장이 가능할 것임</v>
          </cell>
        </row>
        <row r="43">
          <cell r="B43">
            <v>20426667</v>
          </cell>
          <cell r="C43" t="str">
            <v>지역기반</v>
          </cell>
          <cell r="D43" t="str">
            <v>화공ㆍ섬유</v>
          </cell>
          <cell r="E43" t="str">
            <v>민감성 피부를 위한 단계 조절형 분리형 스피큘 볼 스킨케어 세트</v>
          </cell>
          <cell r="F43" t="str">
            <v>0</v>
          </cell>
          <cell r="G43" t="str">
            <v>0</v>
          </cell>
          <cell r="H43" t="str">
            <v>예비</v>
          </cell>
          <cell r="I43" t="str">
            <v>청년</v>
          </cell>
          <cell r="J43">
            <v>0</v>
          </cell>
          <cell r="K43">
            <v>8</v>
          </cell>
          <cell r="L43">
            <v>9</v>
          </cell>
          <cell r="M43">
            <v>13</v>
          </cell>
          <cell r="N43">
            <v>16</v>
          </cell>
          <cell r="O43">
            <v>9</v>
          </cell>
          <cell r="P43">
            <v>8</v>
          </cell>
          <cell r="Q43">
            <v>14</v>
          </cell>
          <cell r="R43">
            <v>4</v>
          </cell>
          <cell r="S43">
            <v>81</v>
          </cell>
          <cell r="T43">
            <v>2</v>
          </cell>
          <cell r="U43">
            <v>83</v>
          </cell>
          <cell r="V43">
            <v>35</v>
          </cell>
          <cell r="W43" t="str">
            <v>스피큘 소재를 활용한 아이템의 핵심 기능과 구체적인 활용 방안이 잘 정리되어 있으며, 사업화 전략이 논리적으로 연결됩니다
다만, 독보적인 경쟁력과 차별성을 증명하기 위한 시장에 대한 객관적 지표와 추가 보완이 필요합니다.</v>
          </cell>
        </row>
        <row r="44">
          <cell r="B44">
            <v>20408072</v>
          </cell>
          <cell r="C44" t="str">
            <v>지역기반</v>
          </cell>
          <cell r="D44" t="str">
            <v>화공ㆍ섬유</v>
          </cell>
          <cell r="E44" t="str">
            <v>수면·휴식 케어를 위한 수출형 맞춤 웰니스 K-뷰티 아로마 롤온&amp;룸·필로우 스프레이</v>
          </cell>
          <cell r="F44" t="str">
            <v>0</v>
          </cell>
          <cell r="G44" t="str">
            <v>0</v>
          </cell>
          <cell r="H44" t="str">
            <v>예비</v>
          </cell>
          <cell r="I44" t="str">
            <v>청년</v>
          </cell>
          <cell r="J44">
            <v>0</v>
          </cell>
          <cell r="K44">
            <v>10</v>
          </cell>
          <cell r="L44">
            <v>9</v>
          </cell>
          <cell r="M44">
            <v>14</v>
          </cell>
          <cell r="N44">
            <v>15</v>
          </cell>
          <cell r="O44">
            <v>8</v>
          </cell>
          <cell r="P44">
            <v>9</v>
          </cell>
          <cell r="Q44">
            <v>15</v>
          </cell>
          <cell r="R44">
            <v>1</v>
          </cell>
          <cell r="S44">
            <v>81</v>
          </cell>
          <cell r="T44">
            <v>2</v>
          </cell>
          <cell r="U44">
            <v>83</v>
          </cell>
          <cell r="V44">
            <v>35</v>
          </cell>
          <cell r="W44" t="str">
            <v>창업 동기와 문제 해결의 필요성, 기술추진 의지가 설득력 있게 제시되었습니다. 
다만, 독보적인 경쟁력을 증명하기 위한 객관적 지표와 추가 보완이 필요합니다.</v>
          </cell>
        </row>
        <row r="45">
          <cell r="B45">
            <v>20419831</v>
          </cell>
          <cell r="C45" t="str">
            <v>지역기반</v>
          </cell>
          <cell r="D45" t="str">
            <v>화공ㆍ섬유</v>
          </cell>
          <cell r="E45" t="str">
            <v>시니어 생활체육 파크골프에 특화된 파크골프 전문 기능성 의류 제작</v>
          </cell>
          <cell r="F45" t="str">
            <v>0</v>
          </cell>
          <cell r="G45" t="str">
            <v>0</v>
          </cell>
          <cell r="H45" t="str">
            <v>예비</v>
          </cell>
          <cell r="I45" t="str">
            <v>중장년</v>
          </cell>
          <cell r="J45">
            <v>0</v>
          </cell>
          <cell r="K45">
            <v>9</v>
          </cell>
          <cell r="L45">
            <v>10</v>
          </cell>
          <cell r="M45">
            <v>12</v>
          </cell>
          <cell r="N45">
            <v>14</v>
          </cell>
          <cell r="O45">
            <v>10</v>
          </cell>
          <cell r="P45">
            <v>9</v>
          </cell>
          <cell r="Q45">
            <v>14</v>
          </cell>
          <cell r="R45">
            <v>5</v>
          </cell>
          <cell r="S45">
            <v>83</v>
          </cell>
          <cell r="T45">
            <v>0</v>
          </cell>
          <cell r="U45">
            <v>83</v>
          </cell>
          <cell r="V45">
            <v>35</v>
          </cell>
          <cell r="W45" t="str">
            <v>관련 소비자 니즈가 증가하는 부분에서 사업적 취지는 인정됨 
다만, 경쟁사 대비 우위를 점할 핵심 기술이나 경쟁사 대비 우위를 점할 핵심 기술이나 IP(지식재산권)  차별화 전략 필요합니다</v>
          </cell>
        </row>
        <row r="46">
          <cell r="B46">
            <v>20400362</v>
          </cell>
          <cell r="C46" t="str">
            <v>지역기반</v>
          </cell>
          <cell r="D46" t="str">
            <v>화공ㆍ섬유</v>
          </cell>
          <cell r="E46" t="str">
            <v>고기능성 반려견 퀵-레이스 하네스</v>
          </cell>
          <cell r="F46" t="str">
            <v>1,600</v>
          </cell>
          <cell r="G46" t="str">
            <v>1</v>
          </cell>
          <cell r="H46" t="str">
            <v>초기</v>
          </cell>
          <cell r="I46" t="str">
            <v>청년</v>
          </cell>
          <cell r="J46">
            <v>0</v>
          </cell>
          <cell r="K46">
            <v>10</v>
          </cell>
          <cell r="L46">
            <v>9</v>
          </cell>
          <cell r="M46">
            <v>13</v>
          </cell>
          <cell r="N46">
            <v>16</v>
          </cell>
          <cell r="O46">
            <v>9</v>
          </cell>
          <cell r="P46">
            <v>8</v>
          </cell>
          <cell r="Q46">
            <v>14</v>
          </cell>
          <cell r="R46">
            <v>4</v>
          </cell>
          <cell r="S46">
            <v>83</v>
          </cell>
          <cell r="T46">
            <v>0</v>
          </cell>
          <cell r="U46">
            <v>83</v>
          </cell>
          <cell r="V46">
            <v>35</v>
          </cell>
          <cell r="W46" t="str">
            <v>창업 아이템의 개발 배경과 목적이 뚜렷하게 제시되어 있으며, 목표 시장 및 고객 분석 수준 또한 우수합니다. 다만, 제품에 대한 자사만의 차별성과 기술력 독보적인 경쟁력을 증명하기 위한 창업지원사업 성격에 따른 기술적 객관적 지표와 추가 보완이 필요합니다.</v>
          </cell>
        </row>
        <row r="47">
          <cell r="B47">
            <v>20414538</v>
          </cell>
          <cell r="C47" t="str">
            <v>지역기반</v>
          </cell>
          <cell r="D47" t="str">
            <v>화공ㆍ섬유</v>
          </cell>
          <cell r="E47" t="str">
            <v>콘텐츠 반응 데이터 기반 소비자 니즈 분석을 통한 PB 제품 개발 및 운영 프로세스 기술 개발</v>
          </cell>
          <cell r="F47" t="str">
            <v>2,714,536,481</v>
          </cell>
          <cell r="G47" t="str">
            <v>11</v>
          </cell>
          <cell r="H47" t="str">
            <v>초기</v>
          </cell>
          <cell r="I47" t="str">
            <v>청년</v>
          </cell>
          <cell r="J47">
            <v>0</v>
          </cell>
          <cell r="K47">
            <v>10</v>
          </cell>
          <cell r="L47">
            <v>9</v>
          </cell>
          <cell r="M47">
            <v>13</v>
          </cell>
          <cell r="N47">
            <v>16</v>
          </cell>
          <cell r="O47">
            <v>9</v>
          </cell>
          <cell r="P47">
            <v>8</v>
          </cell>
          <cell r="Q47">
            <v>14</v>
          </cell>
          <cell r="R47">
            <v>4</v>
          </cell>
          <cell r="S47">
            <v>83</v>
          </cell>
          <cell r="T47">
            <v>0</v>
          </cell>
          <cell r="U47">
            <v>83</v>
          </cell>
          <cell r="V47">
            <v>35</v>
          </cell>
          <cell r="W47" t="str">
            <v xml:space="preserve">인플루언서 데이터 기반의 서비스의 필요성, 핵심 기능과 구체적인 활용 방안에 대한 사업화가능성에 대한 정리가 되어 있음.
기술 추진 의지는 확고해 보이나, 화장품 데이터 기반 알고리즘 설계와 자동매칭 ,데이터화 방안에 대한 기술적인 구현방법에 대한 보완이 필요. </v>
          </cell>
        </row>
        <row r="48">
          <cell r="B48">
            <v>20417598</v>
          </cell>
          <cell r="C48" t="str">
            <v>지역기반</v>
          </cell>
          <cell r="D48" t="str">
            <v>화공ㆍ섬유</v>
          </cell>
          <cell r="E48" t="str">
            <v>편리한 위생관리를 위한 건조형 음식물처리기 전용세제</v>
          </cell>
          <cell r="F48" t="str">
            <v>0</v>
          </cell>
          <cell r="G48" t="str">
            <v>0</v>
          </cell>
          <cell r="H48" t="str">
            <v>초기</v>
          </cell>
          <cell r="I48" t="str">
            <v>청년</v>
          </cell>
          <cell r="J48">
            <v>0</v>
          </cell>
          <cell r="K48">
            <v>9</v>
          </cell>
          <cell r="L48">
            <v>10</v>
          </cell>
          <cell r="M48">
            <v>15</v>
          </cell>
          <cell r="N48">
            <v>14</v>
          </cell>
          <cell r="O48">
            <v>9</v>
          </cell>
          <cell r="P48">
            <v>8</v>
          </cell>
          <cell r="Q48">
            <v>14</v>
          </cell>
          <cell r="R48">
            <v>4</v>
          </cell>
          <cell r="S48">
            <v>83</v>
          </cell>
          <cell r="T48">
            <v>0</v>
          </cell>
          <cell r="U48">
            <v>83</v>
          </cell>
          <cell r="V48">
            <v>35</v>
          </cell>
          <cell r="W48" t="str">
            <v xml:space="preserve">전달하고자 하는 가치는 충분히 매력적이며 기존 시장에 페인포인트를 해결할 수 있는 창업과제로 판단됨. 
다만  매출발생경로와 시장 진입 전략의 구체성은 다소 부족. 전반적으로 기술 추진 의지는 확인되나 실현가능성은 추가 검토필요
</v>
          </cell>
        </row>
        <row r="49">
          <cell r="B49">
            <v>20410189</v>
          </cell>
          <cell r="C49" t="str">
            <v>지역기반</v>
          </cell>
          <cell r="D49" t="str">
            <v>화공ㆍ섬유</v>
          </cell>
          <cell r="E49" t="str">
            <v>모듈형 교체식 관절 연동 체결 기술을 적용한 소프트 스윔베이트 (Soft Swim Bait Incorporating Modular Interchangeable Articulated Joint Coupling Technology)</v>
          </cell>
          <cell r="F49" t="str">
            <v>156,016,299</v>
          </cell>
          <cell r="G49" t="str">
            <v>1</v>
          </cell>
          <cell r="H49" t="str">
            <v>초기</v>
          </cell>
          <cell r="I49" t="str">
            <v>중장년</v>
          </cell>
          <cell r="J49">
            <v>0</v>
          </cell>
          <cell r="K49">
            <v>10</v>
          </cell>
          <cell r="L49">
            <v>10</v>
          </cell>
          <cell r="M49">
            <v>15</v>
          </cell>
          <cell r="N49">
            <v>12</v>
          </cell>
          <cell r="O49">
            <v>9</v>
          </cell>
          <cell r="P49">
            <v>8</v>
          </cell>
          <cell r="Q49">
            <v>14</v>
          </cell>
          <cell r="R49">
            <v>4</v>
          </cell>
          <cell r="S49">
            <v>82</v>
          </cell>
          <cell r="T49">
            <v>0</v>
          </cell>
          <cell r="U49">
            <v>82</v>
          </cell>
          <cell r="V49">
            <v>42</v>
          </cell>
          <cell r="W49" t="str">
            <v xml:space="preserve">아이템의 핵심 기능과 구체적인 활용 방안이 잘 정리되어 있으며, 기술적 구현 방법과 사업화 전략이 논리적으로 연결됩니다. 다만, 이러한 차별성이 실질적인 기술적 우위로 이어지는 근거가 다소 부족합니다. </v>
          </cell>
        </row>
        <row r="50">
          <cell r="B50">
            <v>20413912</v>
          </cell>
          <cell r="C50" t="str">
            <v>지역기반</v>
          </cell>
          <cell r="D50" t="str">
            <v>화공ㆍ섬유</v>
          </cell>
          <cell r="E50" t="str">
            <v>20만건 퍼스널컬러 진단 데이터를 기반으로 메이크업·패션 제품을 개인 맞춤 추천하는 AI 연계형 K-뷰티 글로벌 플랫폼</v>
          </cell>
          <cell r="F50" t="str">
            <v>1,563,403,436</v>
          </cell>
          <cell r="G50" t="str">
            <v>11</v>
          </cell>
          <cell r="H50" t="str">
            <v>초기</v>
          </cell>
          <cell r="I50" t="str">
            <v>중장년</v>
          </cell>
          <cell r="J50">
            <v>0</v>
          </cell>
          <cell r="K50">
            <v>10</v>
          </cell>
          <cell r="L50">
            <v>9</v>
          </cell>
          <cell r="M50">
            <v>13</v>
          </cell>
          <cell r="N50">
            <v>16</v>
          </cell>
          <cell r="O50">
            <v>8</v>
          </cell>
          <cell r="P50">
            <v>8</v>
          </cell>
          <cell r="Q50">
            <v>14</v>
          </cell>
          <cell r="R50">
            <v>4</v>
          </cell>
          <cell r="S50">
            <v>82</v>
          </cell>
          <cell r="T50">
            <v>0</v>
          </cell>
          <cell r="U50">
            <v>82</v>
          </cell>
          <cell r="V50">
            <v>42</v>
          </cell>
          <cell r="W50" t="str">
            <v xml:space="preserve">전달하고자 하는 가치는 충분히 매력적이며 기존 시장에 페인포인트를 해결할 수 있는 창업과제로 판단됨.  알고리즘 설계와 자동매칭 ,데이터화 방안에 대한 기술적인 구현방법에 대한 보완이 필요. </v>
          </cell>
        </row>
        <row r="51">
          <cell r="B51">
            <v>20413097</v>
          </cell>
          <cell r="C51" t="str">
            <v>지역기반</v>
          </cell>
          <cell r="D51" t="str">
            <v>화공ㆍ섬유</v>
          </cell>
          <cell r="E51" t="str">
            <v>AI 기반 제조 공정 혁신 기술이 적용된 글로벌 타겟 프리미엄 K-디저트 개발 및 사업화</v>
          </cell>
          <cell r="F51" t="str">
            <v>1,000,000,000</v>
          </cell>
          <cell r="G51" t="str">
            <v>13</v>
          </cell>
          <cell r="H51" t="str">
            <v>도약</v>
          </cell>
          <cell r="I51" t="str">
            <v>청년</v>
          </cell>
          <cell r="J51">
            <v>0</v>
          </cell>
          <cell r="K51">
            <v>10</v>
          </cell>
          <cell r="L51">
            <v>16</v>
          </cell>
          <cell r="M51">
            <v>15</v>
          </cell>
          <cell r="N51">
            <v>9</v>
          </cell>
          <cell r="O51">
            <v>8</v>
          </cell>
          <cell r="P51">
            <v>14</v>
          </cell>
          <cell r="Q51">
            <v>4</v>
          </cell>
          <cell r="R51">
            <v>5</v>
          </cell>
          <cell r="S51">
            <v>81</v>
          </cell>
          <cell r="T51">
            <v>0</v>
          </cell>
          <cell r="U51">
            <v>81</v>
          </cell>
          <cell r="V51">
            <v>44</v>
          </cell>
          <cell r="W51" t="str">
            <v xml:space="preserve">기술적 구현 로드맵과 비즈니스 모델 간의 정합성이 우수하며, 전체적인 사업 실행 계획의 기획 완성도가 높은 수준으로 평가됩니다.
그러나 세부적인 매출 파이프라인과 실질적인 시장 침투 전략은 구체화가 더 필요해 보입니다. </v>
          </cell>
        </row>
        <row r="52">
          <cell r="B52">
            <v>20432665</v>
          </cell>
          <cell r="C52" t="str">
            <v>지역기반</v>
          </cell>
          <cell r="D52" t="str">
            <v>화공ㆍ섬유</v>
          </cell>
          <cell r="E52" t="str">
            <v>워크웨어의 진화에 맞춘 툴벨트의 세대교체, 모듈러 테크기어 ‘T.C.R.P.’</v>
          </cell>
          <cell r="F52" t="str">
            <v>0</v>
          </cell>
          <cell r="G52" t="str">
            <v>0</v>
          </cell>
          <cell r="H52" t="str">
            <v>예비</v>
          </cell>
          <cell r="I52" t="str">
            <v>청년</v>
          </cell>
          <cell r="J52">
            <v>0</v>
          </cell>
          <cell r="K52">
            <v>10</v>
          </cell>
          <cell r="L52">
            <v>9</v>
          </cell>
          <cell r="M52">
            <v>13</v>
          </cell>
          <cell r="N52">
            <v>12</v>
          </cell>
          <cell r="O52">
            <v>9</v>
          </cell>
          <cell r="P52">
            <v>8</v>
          </cell>
          <cell r="Q52">
            <v>14</v>
          </cell>
          <cell r="R52">
            <v>4</v>
          </cell>
          <cell r="S52">
            <v>79</v>
          </cell>
          <cell r="T52">
            <v>0</v>
          </cell>
          <cell r="U52">
            <v>79</v>
          </cell>
          <cell r="V52">
            <v>45</v>
          </cell>
          <cell r="W52" t="str">
            <v xml:space="preserve">개발하고자 하는 제품의 핵심기능을 제시하였으나 하중 분산과 근골격계 하중분산에 대한 설계와 근골격계 질환 해결을 위한 제작 방법에 대한 자세한 보완이 필요함.  제조에 참여한 대표의 역량이 뛰어나나 제품개발 관련한 기능과 차별성 검증이 다소 부족하여 보완이 필요함. </v>
          </cell>
        </row>
        <row r="53">
          <cell r="B53">
            <v>20413602</v>
          </cell>
          <cell r="C53" t="str">
            <v>지역기반</v>
          </cell>
          <cell r="D53" t="str">
            <v>화공ㆍ섬유</v>
          </cell>
          <cell r="E53" t="str">
            <v>인플루언서 팬덤을 매출로 전환하는 제조 기반 커머스 플랫폼</v>
          </cell>
          <cell r="F53" t="str">
            <v>300,000,000</v>
          </cell>
          <cell r="G53" t="str">
            <v>3</v>
          </cell>
          <cell r="H53" t="str">
            <v>초기</v>
          </cell>
          <cell r="I53" t="str">
            <v>청년</v>
          </cell>
          <cell r="J53">
            <v>0</v>
          </cell>
          <cell r="K53">
            <v>9</v>
          </cell>
          <cell r="L53">
            <v>8</v>
          </cell>
          <cell r="M53">
            <v>13</v>
          </cell>
          <cell r="N53">
            <v>14</v>
          </cell>
          <cell r="O53">
            <v>7</v>
          </cell>
          <cell r="P53">
            <v>9</v>
          </cell>
          <cell r="Q53">
            <v>14</v>
          </cell>
          <cell r="R53">
            <v>5</v>
          </cell>
          <cell r="S53">
            <v>79</v>
          </cell>
          <cell r="T53">
            <v>0</v>
          </cell>
          <cell r="U53">
            <v>79</v>
          </cell>
          <cell r="V53">
            <v>45</v>
          </cell>
          <cell r="W53" t="str">
            <v xml:space="preserve">개발하고자하는 플랫폼의 창업동기와 문제해결 핵심기능을 제시하였으나  창업지원사업 방향에 따른 인플루언서 협업 플랫폼을 위한 비지니스 모델과 구동 설계 대한 자세한 보완이 필요함. </v>
          </cell>
        </row>
        <row r="54">
          <cell r="B54">
            <v>20417978</v>
          </cell>
          <cell r="C54" t="str">
            <v>지역기반</v>
          </cell>
          <cell r="D54" t="str">
            <v>화공ㆍ섬유</v>
          </cell>
          <cell r="E54" t="str">
            <v>캡 자동닫힘 물티슈 수분건조 방지, 위생, 편의, 실용성, 혜택 서비스를 제공</v>
          </cell>
          <cell r="F54" t="str">
            <v>22,000,000</v>
          </cell>
          <cell r="G54" t="str">
            <v>3</v>
          </cell>
          <cell r="H54" t="str">
            <v>초기</v>
          </cell>
          <cell r="I54" t="str">
            <v>중장년</v>
          </cell>
          <cell r="J54">
            <v>0</v>
          </cell>
          <cell r="K54">
            <v>9</v>
          </cell>
          <cell r="L54">
            <v>8</v>
          </cell>
          <cell r="M54">
            <v>13</v>
          </cell>
          <cell r="N54">
            <v>14</v>
          </cell>
          <cell r="O54">
            <v>7</v>
          </cell>
          <cell r="P54">
            <v>9</v>
          </cell>
          <cell r="Q54">
            <v>14</v>
          </cell>
          <cell r="R54">
            <v>5</v>
          </cell>
          <cell r="S54">
            <v>79</v>
          </cell>
          <cell r="T54">
            <v>0</v>
          </cell>
          <cell r="U54">
            <v>79</v>
          </cell>
          <cell r="V54">
            <v>45</v>
          </cell>
          <cell r="W54" t="str">
            <v>창업 동기와 문제 해결의 필요성은 설득력 있게 제시. 차별화의 방향성은 타당하나 매출발생 경로와 시장 진입 전략의 구체성이 다소 부족. 전반적으로bm향은 적절하나 사업화 논리는 일부 제한적으로 보여짐</v>
          </cell>
        </row>
        <row r="55">
          <cell r="B55">
            <v>20425558</v>
          </cell>
          <cell r="C55" t="str">
            <v>지역기반</v>
          </cell>
          <cell r="D55" t="str">
            <v>화공ㆍ섬유</v>
          </cell>
          <cell r="E55" t="str">
            <v>국내산 집성재의 이익극대화를 위한 상온 경화형 집성재 제조 공정 개발</v>
          </cell>
          <cell r="F55" t="str">
            <v>31,000,000</v>
          </cell>
          <cell r="G55" t="str">
            <v>1</v>
          </cell>
          <cell r="H55" t="str">
            <v>도약</v>
          </cell>
          <cell r="I55" t="str">
            <v>중장년</v>
          </cell>
          <cell r="J55">
            <v>0</v>
          </cell>
          <cell r="K55">
            <v>9</v>
          </cell>
          <cell r="L55">
            <v>9</v>
          </cell>
          <cell r="M55">
            <v>13</v>
          </cell>
          <cell r="N55">
            <v>11</v>
          </cell>
          <cell r="O55">
            <v>9</v>
          </cell>
          <cell r="P55">
            <v>8</v>
          </cell>
          <cell r="Q55">
            <v>15</v>
          </cell>
          <cell r="R55">
            <v>5</v>
          </cell>
          <cell r="S55">
            <v>79</v>
          </cell>
          <cell r="T55">
            <v>0</v>
          </cell>
          <cell r="U55">
            <v>79</v>
          </cell>
          <cell r="V55">
            <v>45</v>
          </cell>
          <cell r="W55" t="str">
            <v xml:space="preserve">기술적 구현 로드맵과 비즈니스 모델 간의 정합성이 우수하며, 전체적인 사업 실행 계획의 기획 완성도가 높은 수준으로 평가됩니다.기술 확보 의지는 뚜렷하나, 세부적인 매출 파이프라인과 실질적인 시장 침투 전략은 구체화가 더 필요해 보입니다. </v>
          </cell>
        </row>
        <row r="56">
          <cell r="B56">
            <v>20424264</v>
          </cell>
          <cell r="C56" t="str">
            <v>지역기반</v>
          </cell>
          <cell r="D56" t="str">
            <v>화공ㆍ섬유</v>
          </cell>
          <cell r="E56" t="str">
            <v>Changpo-Cica Relief 기반, 꽉 묶는 헤어스타일로 인한 두피 통증 완화 및 견인성 탈모 예방 쿨링 스칼프 앰플</v>
          </cell>
          <cell r="F56" t="str">
            <v>0</v>
          </cell>
          <cell r="G56" t="str">
            <v>0</v>
          </cell>
          <cell r="H56" t="str">
            <v>예비</v>
          </cell>
          <cell r="I56" t="str">
            <v>청년</v>
          </cell>
          <cell r="J56">
            <v>0</v>
          </cell>
          <cell r="K56">
            <v>9</v>
          </cell>
          <cell r="L56">
            <v>9</v>
          </cell>
          <cell r="M56">
            <v>14</v>
          </cell>
          <cell r="N56">
            <v>13</v>
          </cell>
          <cell r="O56">
            <v>8</v>
          </cell>
          <cell r="P56">
            <v>8</v>
          </cell>
          <cell r="Q56">
            <v>11</v>
          </cell>
          <cell r="R56">
            <v>4</v>
          </cell>
          <cell r="S56">
            <v>76</v>
          </cell>
          <cell r="T56">
            <v>2</v>
          </cell>
          <cell r="U56">
            <v>78</v>
          </cell>
          <cell r="V56">
            <v>49</v>
          </cell>
          <cell r="W56" t="str">
            <v>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v>
          </cell>
        </row>
        <row r="57">
          <cell r="B57">
            <v>20424266</v>
          </cell>
          <cell r="C57" t="str">
            <v>지역기반</v>
          </cell>
          <cell r="D57" t="str">
            <v>화공ㆍ섬유</v>
          </cell>
          <cell r="E57" t="str">
            <v>AI 자가 피부진단 기반 맞춤형 화장품 제품화 및 글로벌 K-뷰티 진출</v>
          </cell>
          <cell r="F57" t="str">
            <v>0</v>
          </cell>
          <cell r="G57" t="str">
            <v>0</v>
          </cell>
          <cell r="H57" t="str">
            <v>예비</v>
          </cell>
          <cell r="I57" t="str">
            <v>중장년</v>
          </cell>
          <cell r="J57">
            <v>0</v>
          </cell>
          <cell r="K57">
            <v>9</v>
          </cell>
          <cell r="L57">
            <v>9</v>
          </cell>
          <cell r="M57">
            <v>13</v>
          </cell>
          <cell r="N57">
            <v>12</v>
          </cell>
          <cell r="O57">
            <v>9</v>
          </cell>
          <cell r="P57">
            <v>8</v>
          </cell>
          <cell r="Q57">
            <v>14</v>
          </cell>
          <cell r="R57">
            <v>4</v>
          </cell>
          <cell r="S57">
            <v>78</v>
          </cell>
          <cell r="T57">
            <v>0</v>
          </cell>
          <cell r="U57">
            <v>78</v>
          </cell>
          <cell r="V57">
            <v>49</v>
          </cell>
          <cell r="W57" t="str">
            <v xml:space="preserve">아이템의 핵심 기능과 구체적인 활용 방안이 잘 정리되어 있으며, 제품에 대한 구현 방법과 사업화 전략이 논리적으로 연결됩니다. 
사업계획서에 작성된 ai피부분석에 대한 차별성과 기술력 독보적인 경쟁력을 증명하기 위한 시장에 대한 객관적 지표와 추가 보완이 필요합니다. </v>
          </cell>
        </row>
        <row r="58">
          <cell r="B58">
            <v>20408878</v>
          </cell>
          <cell r="C58" t="str">
            <v>지역기반</v>
          </cell>
          <cell r="D58" t="str">
            <v>화공ㆍ섬유</v>
          </cell>
          <cell r="E58" t="str">
            <v>HERMEN – Preserve Line [스킨 케어 브랜드 (화장품)]</v>
          </cell>
          <cell r="F58" t="str">
            <v>0</v>
          </cell>
          <cell r="G58" t="str">
            <v>1</v>
          </cell>
          <cell r="H58" t="str">
            <v>초기</v>
          </cell>
          <cell r="I58" t="str">
            <v>중장년</v>
          </cell>
          <cell r="J58">
            <v>0</v>
          </cell>
          <cell r="K58">
            <v>10</v>
          </cell>
          <cell r="L58">
            <v>9</v>
          </cell>
          <cell r="M58">
            <v>13</v>
          </cell>
          <cell r="N58">
            <v>10</v>
          </cell>
          <cell r="O58">
            <v>9</v>
          </cell>
          <cell r="P58">
            <v>8</v>
          </cell>
          <cell r="Q58">
            <v>14</v>
          </cell>
          <cell r="R58">
            <v>4</v>
          </cell>
          <cell r="S58">
            <v>77</v>
          </cell>
          <cell r="T58">
            <v>0</v>
          </cell>
          <cell r="U58">
            <v>77</v>
          </cell>
          <cell r="V58">
            <v>51</v>
          </cell>
          <cell r="W58" t="str">
            <v>전반적으로 사업화 가능성을 검토한 수준이 우수하다고 판단됩니다.기술 추진 의지는 확고해 보이나, 창업중심대학 지원사업 성격에 따른 실질적인 구현 가능성에 대해서는 추가적인 검토가 요구됩니다.</v>
          </cell>
        </row>
        <row r="59">
          <cell r="B59">
            <v>20419492</v>
          </cell>
          <cell r="C59" t="str">
            <v>지역기반</v>
          </cell>
          <cell r="D59" t="str">
            <v>화공ㆍ섬유</v>
          </cell>
          <cell r="E59" t="str">
            <v>스마트 소재와 인체공학적 보정 패턴 기술이 융합된  5060 시니어 여성 특화 데일리 캐주얼 &amp;lt;헤이린드&amp;gt;</v>
          </cell>
          <cell r="F59" t="str">
            <v>10,000,000</v>
          </cell>
          <cell r="G59" t="str">
            <v>0</v>
          </cell>
          <cell r="H59" t="str">
            <v>초기</v>
          </cell>
          <cell r="I59" t="str">
            <v>중장년</v>
          </cell>
          <cell r="J59">
            <v>0</v>
          </cell>
          <cell r="K59">
            <v>10</v>
          </cell>
          <cell r="L59">
            <v>9</v>
          </cell>
          <cell r="M59">
            <v>13</v>
          </cell>
          <cell r="N59">
            <v>10</v>
          </cell>
          <cell r="O59">
            <v>9</v>
          </cell>
          <cell r="P59">
            <v>8</v>
          </cell>
          <cell r="Q59">
            <v>14</v>
          </cell>
          <cell r="R59">
            <v>4</v>
          </cell>
          <cell r="S59">
            <v>77</v>
          </cell>
          <cell r="T59">
            <v>0</v>
          </cell>
          <cell r="U59">
            <v>77</v>
          </cell>
          <cell r="V59">
            <v>51</v>
          </cell>
          <cell r="W59" t="str">
            <v>전달하고자 하는 가치는 충분히 매력적이며 기존 시장에 페인포인트를 해결할 수 있는 창업과제로 판단됨.
고기능성 스마트 항온소재에 대한 기술적 차별성에 대한 근거는 일부 보완 확인이 필요.</v>
          </cell>
        </row>
        <row r="60">
          <cell r="B60">
            <v>20429160</v>
          </cell>
          <cell r="C60" t="str">
            <v>지역기반</v>
          </cell>
          <cell r="D60" t="str">
            <v>화공ㆍ섬유</v>
          </cell>
          <cell r="E60" t="str">
            <v>국산 과일 소재화 기술 기반 데이터·AI 연계 K-Fruit 동결건조 식품소재 개발 및 글로벌 사업화</v>
          </cell>
          <cell r="F60" t="str">
            <v>1,344,472,947</v>
          </cell>
          <cell r="G60" t="str">
            <v>5</v>
          </cell>
          <cell r="H60" t="str">
            <v>도약</v>
          </cell>
          <cell r="I60" t="str">
            <v>중장년</v>
          </cell>
          <cell r="J60">
            <v>0</v>
          </cell>
          <cell r="K60">
            <v>9</v>
          </cell>
          <cell r="L60">
            <v>9</v>
          </cell>
          <cell r="M60">
            <v>12</v>
          </cell>
          <cell r="N60">
            <v>11</v>
          </cell>
          <cell r="O60">
            <v>9</v>
          </cell>
          <cell r="P60">
            <v>8</v>
          </cell>
          <cell r="Q60">
            <v>15</v>
          </cell>
          <cell r="R60">
            <v>4</v>
          </cell>
          <cell r="S60">
            <v>77</v>
          </cell>
          <cell r="T60">
            <v>0</v>
          </cell>
          <cell r="U60">
            <v>77</v>
          </cell>
          <cell r="V60">
            <v>51</v>
          </cell>
          <cell r="W60" t="str">
            <v xml:space="preserve">기술적 구현 로드맵과 비즈니스 모델 간의 정합성이 우수하며, 전체적인 사업 실행 계획의 기획 완성도가 높은 수준으로 평가됩니다.기술 확보 의지는 뚜렷하나, 세부적인 매출 파이프라인과 실질적인 시장 침투 전략은 구체화가 더 필요해 보입니다. </v>
          </cell>
        </row>
        <row r="61">
          <cell r="B61">
            <v>20423311</v>
          </cell>
          <cell r="C61" t="str">
            <v>대학발</v>
          </cell>
          <cell r="D61" t="str">
            <v>화공ㆍ섬유</v>
          </cell>
          <cell r="E61" t="str">
            <v>리사이클 팩토리 AI</v>
          </cell>
          <cell r="F61" t="str">
            <v>155,756,130</v>
          </cell>
          <cell r="G61" t="str">
            <v>1</v>
          </cell>
          <cell r="H61" t="str">
            <v>초기</v>
          </cell>
          <cell r="I61" t="str">
            <v>중장년</v>
          </cell>
          <cell r="J61">
            <v>0</v>
          </cell>
          <cell r="K61">
            <v>9</v>
          </cell>
          <cell r="L61">
            <v>10</v>
          </cell>
          <cell r="M61">
            <v>13</v>
          </cell>
          <cell r="N61">
            <v>10</v>
          </cell>
          <cell r="O61">
            <v>8</v>
          </cell>
          <cell r="P61">
            <v>9</v>
          </cell>
          <cell r="Q61">
            <v>14</v>
          </cell>
          <cell r="R61">
            <v>4</v>
          </cell>
          <cell r="S61">
            <v>77</v>
          </cell>
          <cell r="T61">
            <v>0</v>
          </cell>
          <cell r="U61">
            <v>77</v>
          </cell>
          <cell r="V61">
            <v>51</v>
          </cell>
          <cell r="W61" t="str">
            <v>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v>
          </cell>
          <cell r="X61" t="str">
            <v>일치</v>
          </cell>
          <cell r="Y61" t="str">
            <v>기능구성에 ai분야가 포함되어 일치됨.</v>
          </cell>
        </row>
        <row r="62">
          <cell r="B62">
            <v>20432239</v>
          </cell>
          <cell r="C62" t="str">
            <v>지역기반</v>
          </cell>
          <cell r="D62" t="str">
            <v>화공ㆍ섬유</v>
          </cell>
          <cell r="E62" t="str">
            <v>플라스틱 업사이클링 기술이 적용된 셀프케어 기능의 홈 퍼머넌트 키트</v>
          </cell>
          <cell r="F62" t="str">
            <v>0</v>
          </cell>
          <cell r="G62" t="str">
            <v>0</v>
          </cell>
          <cell r="H62" t="str">
            <v>예비</v>
          </cell>
          <cell r="I62" t="str">
            <v>청년</v>
          </cell>
          <cell r="J62">
            <v>0</v>
          </cell>
          <cell r="K62">
            <v>9</v>
          </cell>
          <cell r="L62">
            <v>8</v>
          </cell>
          <cell r="M62">
            <v>13</v>
          </cell>
          <cell r="N62">
            <v>14</v>
          </cell>
          <cell r="O62">
            <v>7</v>
          </cell>
          <cell r="P62">
            <v>9</v>
          </cell>
          <cell r="Q62">
            <v>13</v>
          </cell>
          <cell r="R62">
            <v>3</v>
          </cell>
          <cell r="S62">
            <v>76</v>
          </cell>
          <cell r="T62">
            <v>0</v>
          </cell>
          <cell r="U62">
            <v>76</v>
          </cell>
          <cell r="V62">
            <v>55</v>
          </cell>
          <cell r="W62" t="str">
            <v>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v>
          </cell>
        </row>
        <row r="63">
          <cell r="B63">
            <v>20417853</v>
          </cell>
          <cell r="C63" t="str">
            <v>지역기반</v>
          </cell>
          <cell r="D63" t="str">
            <v>화공ㆍ섬유</v>
          </cell>
          <cell r="E63" t="str">
            <v>AI 가상피팅 기반의 데이터 검증 및 고객 반응형 생산 D2C 패션 브랜드</v>
          </cell>
          <cell r="F63" t="str">
            <v>2,800,000</v>
          </cell>
          <cell r="G63" t="str">
            <v>0</v>
          </cell>
          <cell r="H63" t="str">
            <v>초기</v>
          </cell>
          <cell r="I63" t="str">
            <v>중장년</v>
          </cell>
          <cell r="J63">
            <v>0</v>
          </cell>
          <cell r="K63">
            <v>9</v>
          </cell>
          <cell r="L63">
            <v>8</v>
          </cell>
          <cell r="M63">
            <v>13</v>
          </cell>
          <cell r="N63">
            <v>12</v>
          </cell>
          <cell r="O63">
            <v>7</v>
          </cell>
          <cell r="P63">
            <v>9</v>
          </cell>
          <cell r="Q63">
            <v>14</v>
          </cell>
          <cell r="R63">
            <v>4</v>
          </cell>
          <cell r="S63">
            <v>76</v>
          </cell>
          <cell r="T63">
            <v>0</v>
          </cell>
          <cell r="U63">
            <v>76</v>
          </cell>
          <cell r="V63">
            <v>55</v>
          </cell>
          <cell r="W63" t="str">
            <v>기존 시장 제품들과 비교하여 차별성이 보여지며, 자사몰 운영을 통해 진입 장벽을 견고히 구축함.
아이디어에 구체적인 기술적 구현방법, 마케팅과 판로개척에 대해 추가적인 검토 요구</v>
          </cell>
        </row>
        <row r="64">
          <cell r="B64">
            <v>20427594</v>
          </cell>
          <cell r="C64" t="str">
            <v>지역기반</v>
          </cell>
          <cell r="D64" t="str">
            <v>화공ㆍ섬유</v>
          </cell>
          <cell r="E64" t="str">
            <v>“나노 하이브리드 코팅 기술이 적용된 선크림 차단막 보존 기능의  SWEIN 테크니컬 스킨 타월”</v>
          </cell>
          <cell r="F64" t="str">
            <v>27,898,000</v>
          </cell>
          <cell r="G64" t="str">
            <v>1</v>
          </cell>
          <cell r="H64" t="str">
            <v>초기</v>
          </cell>
          <cell r="I64" t="str">
            <v>청년</v>
          </cell>
          <cell r="J64">
            <v>0</v>
          </cell>
          <cell r="K64">
            <v>9</v>
          </cell>
          <cell r="L64">
            <v>10</v>
          </cell>
          <cell r="M64">
            <v>10</v>
          </cell>
          <cell r="N64">
            <v>12</v>
          </cell>
          <cell r="O64">
            <v>8</v>
          </cell>
          <cell r="P64">
            <v>9</v>
          </cell>
          <cell r="Q64">
            <v>14</v>
          </cell>
          <cell r="R64">
            <v>4</v>
          </cell>
          <cell r="S64">
            <v>76</v>
          </cell>
          <cell r="T64">
            <v>0</v>
          </cell>
          <cell r="U64">
            <v>76</v>
          </cell>
          <cell r="V64">
            <v>55</v>
          </cell>
          <cell r="W64" t="str">
            <v>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v>
          </cell>
        </row>
        <row r="65">
          <cell r="B65">
            <v>20432269</v>
          </cell>
          <cell r="C65" t="str">
            <v>지역기반</v>
          </cell>
          <cell r="D65" t="str">
            <v>화공ㆍ섬유</v>
          </cell>
          <cell r="E65" t="str">
            <v>나노리포좀 기술이 적용된 해양 바이오 K뷰티 스킨케어 브랜드 : 해올</v>
          </cell>
          <cell r="F65" t="str">
            <v>19,000,000</v>
          </cell>
          <cell r="G65" t="str">
            <v>4</v>
          </cell>
          <cell r="H65" t="str">
            <v>초기</v>
          </cell>
          <cell r="I65" t="str">
            <v>청년</v>
          </cell>
          <cell r="J65">
            <v>0</v>
          </cell>
          <cell r="K65">
            <v>9</v>
          </cell>
          <cell r="L65">
            <v>10</v>
          </cell>
          <cell r="M65">
            <v>10</v>
          </cell>
          <cell r="N65">
            <v>12</v>
          </cell>
          <cell r="O65">
            <v>8</v>
          </cell>
          <cell r="P65">
            <v>7</v>
          </cell>
          <cell r="Q65">
            <v>14</v>
          </cell>
          <cell r="R65">
            <v>4</v>
          </cell>
          <cell r="S65">
            <v>74</v>
          </cell>
          <cell r="T65">
            <v>2</v>
          </cell>
          <cell r="U65">
            <v>76</v>
          </cell>
          <cell r="V65">
            <v>55</v>
          </cell>
          <cell r="W65" t="str">
            <v xml:space="preserve">아이템의 핵심기능과 구체적인 판로개척방법들이 잘 정리되어 있음. 
지원사업의 성격에 따른 국내 기개발 제품과의 차별성, 해외 시장 진출에 따른 전략과 인증에 대한 구체적 방안 제시필요. </v>
          </cell>
        </row>
        <row r="66">
          <cell r="B66">
            <v>20422874</v>
          </cell>
          <cell r="C66" t="str">
            <v>지역기반</v>
          </cell>
          <cell r="D66" t="str">
            <v>화공ㆍ섬유</v>
          </cell>
          <cell r="E66" t="str">
            <v>굴패각과 리싸이클 패트병을 활용한 친환경 원단 개발 및 지속가능한 의류 제작</v>
          </cell>
          <cell r="F66" t="str">
            <v>0</v>
          </cell>
          <cell r="G66" t="str">
            <v>0</v>
          </cell>
          <cell r="H66" t="str">
            <v>예비</v>
          </cell>
          <cell r="I66" t="str">
            <v>중장년</v>
          </cell>
          <cell r="J66">
            <v>0</v>
          </cell>
          <cell r="K66">
            <v>10</v>
          </cell>
          <cell r="L66">
            <v>9</v>
          </cell>
          <cell r="M66">
            <v>11</v>
          </cell>
          <cell r="N66">
            <v>10</v>
          </cell>
          <cell r="O66">
            <v>9</v>
          </cell>
          <cell r="P66">
            <v>8</v>
          </cell>
          <cell r="Q66">
            <v>14</v>
          </cell>
          <cell r="R66">
            <v>4</v>
          </cell>
          <cell r="S66">
            <v>75</v>
          </cell>
          <cell r="T66">
            <v>0</v>
          </cell>
          <cell r="U66">
            <v>75</v>
          </cell>
          <cell r="V66">
            <v>59</v>
          </cell>
          <cell r="W66" t="str">
            <v>문제인식 및 근거 보완 (유의 사항)업사이클링 소재를 활용한 아이템의 핵심 기능과 구체적인 활용 방안이 잘 정리되어 있으며, 기술적 구현 방법과 사업화 전략이 논리적으로 연결됩니다
다만, 독보적인 경쟁력을 증명하기 위한 시장에 대한 객관적 지표와 추가 보완이 필요합니다.</v>
          </cell>
        </row>
        <row r="67">
          <cell r="B67">
            <v>20415838</v>
          </cell>
          <cell r="C67" t="str">
            <v>지역기반</v>
          </cell>
          <cell r="D67" t="str">
            <v>화공ㆍ섬유</v>
          </cell>
          <cell r="E67" t="str">
            <v>사춘기 호르몬성 과지피 해결을 위한 징크PCA 기반 미스트 및 블록체인 이력관리 시스템</v>
          </cell>
          <cell r="F67" t="str">
            <v>0</v>
          </cell>
          <cell r="G67" t="str">
            <v>0</v>
          </cell>
          <cell r="H67" t="str">
            <v>예비</v>
          </cell>
          <cell r="I67" t="str">
            <v>중장년</v>
          </cell>
          <cell r="J67">
            <v>0</v>
          </cell>
          <cell r="K67">
            <v>8</v>
          </cell>
          <cell r="L67">
            <v>8</v>
          </cell>
          <cell r="M67">
            <v>14</v>
          </cell>
          <cell r="N67">
            <v>16</v>
          </cell>
          <cell r="O67">
            <v>7</v>
          </cell>
          <cell r="P67">
            <v>7</v>
          </cell>
          <cell r="Q67">
            <v>12</v>
          </cell>
          <cell r="R67">
            <v>3</v>
          </cell>
          <cell r="S67">
            <v>75</v>
          </cell>
          <cell r="T67">
            <v>0</v>
          </cell>
          <cell r="U67">
            <v>75</v>
          </cell>
          <cell r="V67">
            <v>59</v>
          </cell>
          <cell r="W67" t="str">
            <v>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v>
          </cell>
        </row>
        <row r="68">
          <cell r="B68">
            <v>20409143</v>
          </cell>
          <cell r="C68" t="str">
            <v>지역기반</v>
          </cell>
          <cell r="D68" t="str">
            <v>화공ㆍ섬유</v>
          </cell>
          <cell r="E68" t="str">
            <v>N52 등급 자성 결합 기술과 하이브리드 소재 공정을 적용한 맥세이프 부착형 프리미엄 립 케어 모듈 개발</v>
          </cell>
          <cell r="F68" t="str">
            <v>0</v>
          </cell>
          <cell r="G68" t="str">
            <v>3</v>
          </cell>
          <cell r="H68" t="str">
            <v>초기</v>
          </cell>
          <cell r="I68" t="str">
            <v>중장년</v>
          </cell>
          <cell r="J68">
            <v>0</v>
          </cell>
          <cell r="K68">
            <v>9</v>
          </cell>
          <cell r="L68">
            <v>8</v>
          </cell>
          <cell r="M68">
            <v>12</v>
          </cell>
          <cell r="N68">
            <v>13</v>
          </cell>
          <cell r="O68">
            <v>8</v>
          </cell>
          <cell r="P68">
            <v>7</v>
          </cell>
          <cell r="Q68">
            <v>14</v>
          </cell>
          <cell r="R68">
            <v>4</v>
          </cell>
          <cell r="S68">
            <v>75</v>
          </cell>
          <cell r="T68">
            <v>0</v>
          </cell>
          <cell r="U68">
            <v>75</v>
          </cell>
          <cell r="V68">
            <v>59</v>
          </cell>
          <cell r="W68" t="str">
            <v xml:space="preserve">아이템의 핵심기능과 구체적인 판로개척방법들이 잘 정리되어 있음. 다만 시장 문제점에 대한 분석이 피상적이며, 시장의 페인 포인트를 입증할 통계나 근거 자료 보완이 필수적임. 아이템의 참신함이 돋보이므로 시장 데이터 보완시 매력적인 사업이 될 것임. </v>
          </cell>
        </row>
        <row r="69">
          <cell r="B69">
            <v>20417276</v>
          </cell>
          <cell r="C69" t="str">
            <v>지역기반</v>
          </cell>
          <cell r="D69" t="str">
            <v>화공ㆍ섬유</v>
          </cell>
          <cell r="E69" t="str">
            <v>AI기술이 적용된 수면 피부 맞춤 침구 솔루션 제품 서비스</v>
          </cell>
          <cell r="F69" t="str">
            <v>20,000,000</v>
          </cell>
          <cell r="G69" t="str">
            <v>2</v>
          </cell>
          <cell r="H69" t="str">
            <v>초기</v>
          </cell>
          <cell r="I69" t="str">
            <v>중장년</v>
          </cell>
          <cell r="J69">
            <v>0</v>
          </cell>
          <cell r="K69">
            <v>9</v>
          </cell>
          <cell r="L69">
            <v>8</v>
          </cell>
          <cell r="M69">
            <v>12</v>
          </cell>
          <cell r="N69">
            <v>13</v>
          </cell>
          <cell r="O69">
            <v>8</v>
          </cell>
          <cell r="P69">
            <v>7</v>
          </cell>
          <cell r="Q69">
            <v>14</v>
          </cell>
          <cell r="R69">
            <v>4</v>
          </cell>
          <cell r="S69">
            <v>75</v>
          </cell>
          <cell r="T69">
            <v>0</v>
          </cell>
          <cell r="U69">
            <v>75</v>
          </cell>
          <cell r="V69">
            <v>59</v>
          </cell>
          <cell r="W69" t="str">
            <v>슬립테크와 연관된 데이터 축척과 aI 분석의 단계등 개발배경과 목적이 명확
전반적으로 사업계획의 방향성과 구성은 적절한 것으로 판단된다.</v>
          </cell>
        </row>
        <row r="70">
          <cell r="B70">
            <v>20427672</v>
          </cell>
          <cell r="C70" t="str">
            <v>지역기반</v>
          </cell>
          <cell r="D70" t="str">
            <v>화공ㆍ섬유</v>
          </cell>
          <cell r="E70" t="str">
            <v>연화소재 기반 K-유자껍질 업사이클링 원료와 PLA 친환경 패키징을 활용하여 국내외로 지속가능 웰니스 경험을 선사하는 바디케어(바디로션) 제품 개발</v>
          </cell>
          <cell r="F70" t="str">
            <v>99,561,204</v>
          </cell>
          <cell r="G70" t="str">
            <v>2</v>
          </cell>
          <cell r="H70" t="str">
            <v>도약</v>
          </cell>
          <cell r="I70" t="str">
            <v>청년</v>
          </cell>
          <cell r="J70">
            <v>0</v>
          </cell>
          <cell r="K70">
            <v>9</v>
          </cell>
          <cell r="L70">
            <v>10</v>
          </cell>
          <cell r="M70">
            <v>10</v>
          </cell>
          <cell r="N70">
            <v>11</v>
          </cell>
          <cell r="O70">
            <v>8</v>
          </cell>
          <cell r="P70">
            <v>9</v>
          </cell>
          <cell r="Q70">
            <v>14</v>
          </cell>
          <cell r="R70">
            <v>4</v>
          </cell>
          <cell r="S70">
            <v>75</v>
          </cell>
          <cell r="T70">
            <v>0</v>
          </cell>
          <cell r="U70">
            <v>75</v>
          </cell>
          <cell r="V70">
            <v>59</v>
          </cell>
          <cell r="W70" t="str">
            <v xml:space="preserve">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v>
          </cell>
        </row>
        <row r="71">
          <cell r="B71">
            <v>20418712</v>
          </cell>
          <cell r="C71" t="str">
            <v>지역기반</v>
          </cell>
          <cell r="D71" t="str">
            <v>화공ㆍ섬유</v>
          </cell>
          <cell r="E71" t="str">
            <v>고강도 퍼포먼스 환경에서의 안면 홍조 진정 및 피부 장벽 보호를 위한 '마이크로바이옴 스킨-본딩 쿠션 선크림 HAERI</v>
          </cell>
          <cell r="F71" t="str">
            <v>0</v>
          </cell>
          <cell r="G71" t="str">
            <v>0</v>
          </cell>
          <cell r="H71" t="str">
            <v>예비</v>
          </cell>
          <cell r="I71" t="str">
            <v>청년</v>
          </cell>
          <cell r="J71">
            <v>0</v>
          </cell>
          <cell r="K71">
            <v>9</v>
          </cell>
          <cell r="L71">
            <v>8</v>
          </cell>
          <cell r="M71">
            <v>13</v>
          </cell>
          <cell r="N71">
            <v>14</v>
          </cell>
          <cell r="O71">
            <v>7</v>
          </cell>
          <cell r="P71">
            <v>9</v>
          </cell>
          <cell r="Q71">
            <v>11</v>
          </cell>
          <cell r="R71">
            <v>3</v>
          </cell>
          <cell r="S71">
            <v>74</v>
          </cell>
          <cell r="T71">
            <v>0</v>
          </cell>
          <cell r="U71">
            <v>74</v>
          </cell>
          <cell r="V71">
            <v>64</v>
          </cell>
          <cell r="W71" t="str">
            <v>창업 동기와 문제 해결의 필요성은 설득력 있게 제시되었습니다. 
다만, 시장 규모와 고객 검증을 뒷받침하는 데이터가 다소 제한적이므로, 사업 방향의 타당성을 높이기 위한 객관적 근거 보완이 일부 필요해 보입니다.</v>
          </cell>
        </row>
        <row r="72">
          <cell r="B72">
            <v>20426750</v>
          </cell>
          <cell r="C72" t="str">
            <v>지역기반</v>
          </cell>
          <cell r="D72" t="str">
            <v>화공ㆍ섬유</v>
          </cell>
          <cell r="E72" t="str">
            <v>AI 제형 최적화 기술 기반 스마트 올인원 젤과 네일숍을 위한 AI 제고 운영 관리 SaaS 솔루션, ARO NAIL</v>
          </cell>
          <cell r="F72" t="str">
            <v>0</v>
          </cell>
          <cell r="G72" t="str">
            <v>0</v>
          </cell>
          <cell r="H72" t="str">
            <v>예비</v>
          </cell>
          <cell r="I72" t="str">
            <v>청년</v>
          </cell>
          <cell r="J72">
            <v>0</v>
          </cell>
          <cell r="K72">
            <v>9</v>
          </cell>
          <cell r="L72">
            <v>8</v>
          </cell>
          <cell r="M72">
            <v>12</v>
          </cell>
          <cell r="N72">
            <v>13</v>
          </cell>
          <cell r="O72">
            <v>8</v>
          </cell>
          <cell r="P72">
            <v>8</v>
          </cell>
          <cell r="Q72">
            <v>13</v>
          </cell>
          <cell r="R72">
            <v>3</v>
          </cell>
          <cell r="S72">
            <v>74</v>
          </cell>
          <cell r="T72">
            <v>0</v>
          </cell>
          <cell r="U72">
            <v>74</v>
          </cell>
          <cell r="V72">
            <v>64</v>
          </cell>
          <cell r="W72" t="str">
            <v>관련 소비자 니즈가 증가하는 부분에서 사업적 취지는 인정됨 다만, 경쟁사 대비 우위를 점할 핵심 기술이나 IP(지식재산권)  차별화 전략 필요한데 비해, 현재 계획서 상에는 차별화된 요소가 미약함</v>
          </cell>
        </row>
        <row r="73">
          <cell r="B73">
            <v>20411886</v>
          </cell>
          <cell r="C73" t="str">
            <v>지역기반</v>
          </cell>
          <cell r="D73" t="str">
            <v>화공ㆍ섬유</v>
          </cell>
          <cell r="E73" t="str">
            <v>마이크로에센셜 포물러 기술이 적용된 패밀리 더마 웰니스 바디케어 키트 개발</v>
          </cell>
          <cell r="F73" t="str">
            <v>40,000,000</v>
          </cell>
          <cell r="G73" t="str">
            <v>0</v>
          </cell>
          <cell r="H73" t="str">
            <v>초기</v>
          </cell>
          <cell r="I73" t="str">
            <v>중장년</v>
          </cell>
          <cell r="J73">
            <v>0</v>
          </cell>
          <cell r="K73">
            <v>9</v>
          </cell>
          <cell r="L73">
            <v>8</v>
          </cell>
          <cell r="M73">
            <v>13</v>
          </cell>
          <cell r="N73">
            <v>12</v>
          </cell>
          <cell r="O73">
            <v>7</v>
          </cell>
          <cell r="P73">
            <v>9</v>
          </cell>
          <cell r="Q73">
            <v>13</v>
          </cell>
          <cell r="R73">
            <v>3</v>
          </cell>
          <cell r="S73">
            <v>74</v>
          </cell>
          <cell r="T73">
            <v>0</v>
          </cell>
          <cell r="U73">
            <v>74</v>
          </cell>
          <cell r="V73">
            <v>64</v>
          </cell>
          <cell r="W73" t="str">
            <v>피부장벽케어 영유아 화장품에 대한 문제인식과 핵심기능을 제시하였으나, 이를 연구 개발하고 데이터 수치화할 근거가 다소 부족해보임.
시장규모와 고객검증을 뒷받침하는 객관적 지표와 기술 추진에 대한 보완이 필요</v>
          </cell>
        </row>
        <row r="74">
          <cell r="B74">
            <v>20427576</v>
          </cell>
          <cell r="C74" t="str">
            <v>지역기반</v>
          </cell>
          <cell r="D74" t="str">
            <v>화공ㆍ섬유</v>
          </cell>
          <cell r="E74" t="str">
            <v>락토피치 바이옴 독자 성분과 기능성 복합 포뮬러를 적용하여 팩 한 통의 효과를 간편하게 구현하는 고효능 모공 케어 앰플</v>
          </cell>
          <cell r="F74" t="str">
            <v>35,381,900</v>
          </cell>
          <cell r="G74" t="str">
            <v>0</v>
          </cell>
          <cell r="H74" t="str">
            <v>초기</v>
          </cell>
          <cell r="I74" t="str">
            <v>청년</v>
          </cell>
          <cell r="J74">
            <v>0</v>
          </cell>
          <cell r="K74">
            <v>9</v>
          </cell>
          <cell r="L74">
            <v>10</v>
          </cell>
          <cell r="M74">
            <v>11</v>
          </cell>
          <cell r="N74">
            <v>9</v>
          </cell>
          <cell r="O74">
            <v>7</v>
          </cell>
          <cell r="P74">
            <v>9</v>
          </cell>
          <cell r="Q74">
            <v>14</v>
          </cell>
          <cell r="R74">
            <v>5</v>
          </cell>
          <cell r="S74">
            <v>74</v>
          </cell>
          <cell r="T74">
            <v>0</v>
          </cell>
          <cell r="U74">
            <v>74</v>
          </cell>
          <cell r="V74">
            <v>64</v>
          </cell>
          <cell r="W74" t="str">
            <v xml:space="preserve">진출 시장의 특징과 향후 개발 경로가 직관적으로 서술되었습니다. 다만, 현재의 기술 성숙도와 최종 목표치 사이의 경계가 모호한 측면이 있습니다. 기술 리더십은 확인되나, 목표 달성을 위한 구체적인 실현 가능성은 추가 검토가 필요하다.
</v>
          </cell>
        </row>
        <row r="75">
          <cell r="B75">
            <v>20432460</v>
          </cell>
          <cell r="C75" t="str">
            <v>지역기반</v>
          </cell>
          <cell r="D75" t="str">
            <v>화공ㆍ섬유</v>
          </cell>
          <cell r="E75" t="str">
            <v>여성 선수 체형 설계 데이터베이스 기반 퍼포먼스 스포츠웨어 '주키트(JUKIT) 우먼스 라인'</v>
          </cell>
          <cell r="F75" t="str">
            <v>77,000,000</v>
          </cell>
          <cell r="G75" t="str">
            <v>2</v>
          </cell>
          <cell r="H75" t="str">
            <v>초기</v>
          </cell>
          <cell r="I75" t="str">
            <v>청년</v>
          </cell>
          <cell r="J75">
            <v>0</v>
          </cell>
          <cell r="K75">
            <v>9</v>
          </cell>
          <cell r="L75">
            <v>9</v>
          </cell>
          <cell r="M75">
            <v>10</v>
          </cell>
          <cell r="N75">
            <v>9</v>
          </cell>
          <cell r="O75">
            <v>9</v>
          </cell>
          <cell r="P75">
            <v>8</v>
          </cell>
          <cell r="Q75">
            <v>15</v>
          </cell>
          <cell r="R75">
            <v>5</v>
          </cell>
          <cell r="S75">
            <v>74</v>
          </cell>
          <cell r="T75">
            <v>0</v>
          </cell>
          <cell r="U75">
            <v>74</v>
          </cell>
          <cell r="V75">
            <v>64</v>
          </cell>
          <cell r="W75" t="str">
            <v>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v>
          </cell>
        </row>
        <row r="76">
          <cell r="B76">
            <v>20412068</v>
          </cell>
          <cell r="C76" t="str">
            <v>지역기반</v>
          </cell>
          <cell r="D76" t="str">
            <v>화공ㆍ섬유</v>
          </cell>
          <cell r="E76" t="str">
            <v>계면활성제 10% 이하 초저계면 세정 기술이 적용된  탄산 마이크로버블 브랜드 ‘beurth’ 양산화 및 글로벌(아마존) 스케일업</v>
          </cell>
          <cell r="F76" t="str">
            <v>209,000,000</v>
          </cell>
          <cell r="G76" t="str">
            <v>3</v>
          </cell>
          <cell r="H76" t="str">
            <v>도약</v>
          </cell>
          <cell r="I76" t="str">
            <v>청년</v>
          </cell>
          <cell r="J76">
            <v>0</v>
          </cell>
          <cell r="K76">
            <v>9</v>
          </cell>
          <cell r="L76">
            <v>10</v>
          </cell>
          <cell r="M76">
            <v>10</v>
          </cell>
          <cell r="N76">
            <v>9</v>
          </cell>
          <cell r="O76">
            <v>8</v>
          </cell>
          <cell r="P76">
            <v>9</v>
          </cell>
          <cell r="Q76">
            <v>14</v>
          </cell>
          <cell r="R76">
            <v>5</v>
          </cell>
          <cell r="S76">
            <v>74</v>
          </cell>
          <cell r="T76">
            <v>0</v>
          </cell>
          <cell r="U76">
            <v>74</v>
          </cell>
          <cell r="V76">
            <v>64</v>
          </cell>
          <cell r="W76" t="str">
            <v xml:space="preserve">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v>
          </cell>
        </row>
        <row r="77">
          <cell r="B77">
            <v>20426581</v>
          </cell>
          <cell r="C77" t="str">
            <v>지역기반</v>
          </cell>
          <cell r="D77" t="str">
            <v>화공ㆍ섬유</v>
          </cell>
          <cell r="E77" t="str">
            <v>황벽나무 및 쇠비름 유효성분의 효능 최대화 기술이 적용된 가려움 완화  비도포 분사형 제품</v>
          </cell>
          <cell r="F77" t="str">
            <v>160,000,000</v>
          </cell>
          <cell r="G77" t="str">
            <v>0</v>
          </cell>
          <cell r="H77" t="str">
            <v>도약</v>
          </cell>
          <cell r="I77" t="str">
            <v>청년</v>
          </cell>
          <cell r="J77">
            <v>0</v>
          </cell>
          <cell r="K77">
            <v>9</v>
          </cell>
          <cell r="L77">
            <v>10</v>
          </cell>
          <cell r="M77">
            <v>10</v>
          </cell>
          <cell r="N77">
            <v>9</v>
          </cell>
          <cell r="O77">
            <v>8</v>
          </cell>
          <cell r="P77">
            <v>9</v>
          </cell>
          <cell r="Q77">
            <v>14</v>
          </cell>
          <cell r="R77">
            <v>5</v>
          </cell>
          <cell r="S77">
            <v>74</v>
          </cell>
          <cell r="T77">
            <v>0</v>
          </cell>
          <cell r="U77">
            <v>74</v>
          </cell>
          <cell r="V77">
            <v>64</v>
          </cell>
          <cell r="W77" t="str">
            <v xml:space="preserve">아이템의 핵심기능과 구체적인 판로개척방법들이 잘 정리되어 있음. 
지원사업의 성격에 따른 기술과 차별성, 해외 시장 진출에 따른 전략 구체적 방안 제시필요. </v>
          </cell>
        </row>
        <row r="78">
          <cell r="B78">
            <v>20429774</v>
          </cell>
          <cell r="C78" t="str">
            <v>지역기반</v>
          </cell>
          <cell r="D78" t="str">
            <v>화공ㆍ섬유</v>
          </cell>
          <cell r="E78" t="str">
            <v>주짓수 도복 및 스포츠웨어 스마트 제조 및 제작</v>
          </cell>
          <cell r="F78" t="str">
            <v>650,000,000</v>
          </cell>
          <cell r="G78" t="str">
            <v>1</v>
          </cell>
          <cell r="H78" t="str">
            <v>도약</v>
          </cell>
          <cell r="I78" t="str">
            <v>중장년</v>
          </cell>
          <cell r="J78">
            <v>0</v>
          </cell>
          <cell r="K78">
            <v>9</v>
          </cell>
          <cell r="L78">
            <v>10</v>
          </cell>
          <cell r="M78">
            <v>10</v>
          </cell>
          <cell r="N78">
            <v>9</v>
          </cell>
          <cell r="O78">
            <v>8</v>
          </cell>
          <cell r="P78">
            <v>9</v>
          </cell>
          <cell r="Q78">
            <v>14</v>
          </cell>
          <cell r="R78">
            <v>5</v>
          </cell>
          <cell r="S78">
            <v>74</v>
          </cell>
          <cell r="T78">
            <v>0</v>
          </cell>
          <cell r="U78">
            <v>74</v>
          </cell>
          <cell r="V78">
            <v>64</v>
          </cell>
          <cell r="W78" t="str">
            <v xml:space="preserve">경쟁 우위 요소를 발굴하여 제시한 점은 고무적입니다. 
다만 이러한 차별화 포인트가 실질적인 기술적 진입장벽이나 우위로 이어진다는 객관적 근거가 다소 미흡합니다. </v>
          </cell>
        </row>
        <row r="79">
          <cell r="B79">
            <v>20429506</v>
          </cell>
          <cell r="C79" t="str">
            <v>지역기반</v>
          </cell>
          <cell r="D79" t="str">
            <v>화공ㆍ섬유</v>
          </cell>
          <cell r="E79" t="str">
            <v>멜라노사이트 표적 리포좀 기술이 적용된 임산부 색소침착 개선 기능을 제공하는 피트산 리포좀 립 마스크</v>
          </cell>
          <cell r="F79" t="str">
            <v>20,995,197</v>
          </cell>
          <cell r="G79" t="str">
            <v>0</v>
          </cell>
          <cell r="H79" t="str">
            <v>초기</v>
          </cell>
          <cell r="I79" t="str">
            <v>청년</v>
          </cell>
          <cell r="J79">
            <v>0</v>
          </cell>
          <cell r="K79">
            <v>9</v>
          </cell>
          <cell r="L79">
            <v>10</v>
          </cell>
          <cell r="M79">
            <v>10</v>
          </cell>
          <cell r="N79">
            <v>9</v>
          </cell>
          <cell r="O79">
            <v>8</v>
          </cell>
          <cell r="P79">
            <v>9</v>
          </cell>
          <cell r="Q79">
            <v>14</v>
          </cell>
          <cell r="R79">
            <v>4</v>
          </cell>
          <cell r="S79">
            <v>73</v>
          </cell>
          <cell r="T79">
            <v>0</v>
          </cell>
          <cell r="U79">
            <v>73</v>
          </cell>
          <cell r="V79">
            <v>72</v>
          </cell>
          <cell r="W79" t="str">
            <v>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v>
          </cell>
        </row>
        <row r="80">
          <cell r="B80">
            <v>20433253</v>
          </cell>
          <cell r="C80" t="str">
            <v>지역기반</v>
          </cell>
          <cell r="D80" t="str">
            <v>화공ㆍ섬유</v>
          </cell>
          <cell r="E80" t="str">
            <v>효과와 자극의 딜레마 극복, '초단기 턴오버 회복' K-뷰티 라인업</v>
          </cell>
          <cell r="F80" t="str">
            <v>133,110,166</v>
          </cell>
          <cell r="G80" t="str">
            <v>0</v>
          </cell>
          <cell r="H80" t="str">
            <v>초기</v>
          </cell>
          <cell r="I80" t="str">
            <v>청년</v>
          </cell>
          <cell r="J80">
            <v>0</v>
          </cell>
          <cell r="K80">
            <v>9</v>
          </cell>
          <cell r="L80">
            <v>10</v>
          </cell>
          <cell r="M80">
            <v>10</v>
          </cell>
          <cell r="N80">
            <v>9</v>
          </cell>
          <cell r="O80">
            <v>8</v>
          </cell>
          <cell r="P80">
            <v>9</v>
          </cell>
          <cell r="Q80">
            <v>14</v>
          </cell>
          <cell r="R80">
            <v>4</v>
          </cell>
          <cell r="S80">
            <v>73</v>
          </cell>
          <cell r="T80">
            <v>0</v>
          </cell>
          <cell r="U80">
            <v>73</v>
          </cell>
          <cell r="V80">
            <v>72</v>
          </cell>
          <cell r="W80" t="str">
            <v>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v>
          </cell>
        </row>
        <row r="81">
          <cell r="B81">
            <v>20425251</v>
          </cell>
          <cell r="C81" t="str">
            <v>대학발</v>
          </cell>
          <cell r="D81" t="str">
            <v>화공ㆍ섬유</v>
          </cell>
          <cell r="E81" t="str">
            <v>AI 안면 분석 기반 개인 맞춤형 눈썹 스타일링 키트</v>
          </cell>
          <cell r="F81" t="str">
            <v>0</v>
          </cell>
          <cell r="G81" t="str">
            <v>0</v>
          </cell>
          <cell r="H81" t="str">
            <v>초기</v>
          </cell>
          <cell r="I81" t="str">
            <v>중장년</v>
          </cell>
          <cell r="J81">
            <v>0</v>
          </cell>
          <cell r="K81">
            <v>9</v>
          </cell>
          <cell r="L81">
            <v>10</v>
          </cell>
          <cell r="M81">
            <v>10</v>
          </cell>
          <cell r="N81">
            <v>9</v>
          </cell>
          <cell r="O81">
            <v>8</v>
          </cell>
          <cell r="P81">
            <v>9</v>
          </cell>
          <cell r="Q81">
            <v>14</v>
          </cell>
          <cell r="R81">
            <v>4</v>
          </cell>
          <cell r="S81">
            <v>73</v>
          </cell>
          <cell r="T81">
            <v>0</v>
          </cell>
          <cell r="U81">
            <v>73</v>
          </cell>
          <cell r="V81">
            <v>72</v>
          </cell>
          <cell r="W81" t="str">
            <v xml:space="preserve">경쟁 우위 요소를 발굴하여 제시한 점은 고무적입니다. 다만 이러한 차별화 포인트가 실질적인 기술적 진입장벽이나 우위로 이어진다는 객관적 근거가 다소 미흡합니다. </v>
          </cell>
          <cell r="X81" t="str">
            <v>일치</v>
          </cell>
          <cell r="Y81" t="str">
            <v>기능구성에 ai분야가 포함되어 일치됨.</v>
          </cell>
        </row>
        <row r="82">
          <cell r="B82">
            <v>20422189</v>
          </cell>
          <cell r="C82" t="str">
            <v>대학발</v>
          </cell>
          <cell r="D82" t="str">
            <v>화공ㆍ섬유</v>
          </cell>
          <cell r="E82" t="str">
            <v>피부 장벽 개선 및 복합적 피부 고민 관리를 위한 스킨케어 솔루션</v>
          </cell>
          <cell r="F82" t="str">
            <v>2,000,000</v>
          </cell>
          <cell r="G82" t="str">
            <v>1</v>
          </cell>
          <cell r="H82" t="str">
            <v>도약</v>
          </cell>
          <cell r="I82" t="str">
            <v>중장년</v>
          </cell>
          <cell r="J82">
            <v>0</v>
          </cell>
          <cell r="K82">
            <v>9</v>
          </cell>
          <cell r="L82">
            <v>10</v>
          </cell>
          <cell r="M82">
            <v>10</v>
          </cell>
          <cell r="N82">
            <v>9</v>
          </cell>
          <cell r="O82">
            <v>8</v>
          </cell>
          <cell r="P82">
            <v>9</v>
          </cell>
          <cell r="Q82">
            <v>14</v>
          </cell>
          <cell r="R82">
            <v>4</v>
          </cell>
          <cell r="S82">
            <v>73</v>
          </cell>
          <cell r="T82">
            <v>0</v>
          </cell>
          <cell r="U82">
            <v>73</v>
          </cell>
          <cell r="V82">
            <v>72</v>
          </cell>
          <cell r="W82" t="str">
            <v xml:space="preserve">경쟁 우위 요소를 발굴하여 제시한 점은 고무적입니다. 다만 이러한 차별화 포인트가 실질적인 기술적 진입장벽이나 우위로 이어진다는 객관적 근거가 다소 미흡합니다. </v>
          </cell>
          <cell r="X82" t="str">
            <v>불일치</v>
          </cell>
          <cell r="Y82" t="str">
            <v>단순화학반응 제품으로 연관검토가 가능한 주력산업분야에 해당하지 않는것으로 사료됨</v>
          </cell>
        </row>
        <row r="83">
          <cell r="B83">
            <v>20412478</v>
          </cell>
          <cell r="C83" t="str">
            <v>지역기반</v>
          </cell>
          <cell r="D83" t="str">
            <v>화공ㆍ섬유</v>
          </cell>
          <cell r="E83" t="str">
            <v>업사이클링 원료 기반, 1030 트러블 케어 ‘1회분 스틱 파우더 팩’ · ‘10초 바디 진정 미스트’ 세트 개발 및 국내 버티컬 플랫폼 상용화</v>
          </cell>
          <cell r="F83" t="str">
            <v>0</v>
          </cell>
          <cell r="G83" t="str">
            <v>0</v>
          </cell>
          <cell r="H83" t="str">
            <v>예비</v>
          </cell>
          <cell r="I83" t="str">
            <v>청년</v>
          </cell>
          <cell r="J83">
            <v>0</v>
          </cell>
          <cell r="K83">
            <v>8</v>
          </cell>
          <cell r="L83">
            <v>9</v>
          </cell>
          <cell r="M83">
            <v>11</v>
          </cell>
          <cell r="N83">
            <v>10</v>
          </cell>
          <cell r="O83">
            <v>8</v>
          </cell>
          <cell r="P83">
            <v>9</v>
          </cell>
          <cell r="Q83">
            <v>13</v>
          </cell>
          <cell r="R83">
            <v>4</v>
          </cell>
          <cell r="S83">
            <v>72</v>
          </cell>
          <cell r="T83">
            <v>0</v>
          </cell>
          <cell r="U83">
            <v>72</v>
          </cell>
          <cell r="V83">
            <v>76</v>
          </cell>
          <cell r="W83" t="str">
            <v>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v>
          </cell>
        </row>
        <row r="84">
          <cell r="B84">
            <v>20420487</v>
          </cell>
          <cell r="C84" t="str">
            <v>지역기반</v>
          </cell>
          <cell r="D84" t="str">
            <v>화공ㆍ섬유</v>
          </cell>
          <cell r="E84" t="str">
            <v>업사이클링 천연 원료 기반 복합 기능 조성물 기술을 적용한 문제성 발톱 관리 제품</v>
          </cell>
          <cell r="F84" t="str">
            <v>0</v>
          </cell>
          <cell r="G84" t="str">
            <v>0</v>
          </cell>
          <cell r="H84" t="str">
            <v>예비</v>
          </cell>
          <cell r="I84" t="str">
            <v>청년</v>
          </cell>
          <cell r="J84">
            <v>0</v>
          </cell>
          <cell r="K84">
            <v>9</v>
          </cell>
          <cell r="L84">
            <v>9</v>
          </cell>
          <cell r="M84">
            <v>13</v>
          </cell>
          <cell r="N84">
            <v>12</v>
          </cell>
          <cell r="O84">
            <v>9</v>
          </cell>
          <cell r="P84">
            <v>8</v>
          </cell>
          <cell r="Q84">
            <v>11</v>
          </cell>
          <cell r="R84">
            <v>1</v>
          </cell>
          <cell r="S84">
            <v>72</v>
          </cell>
          <cell r="T84">
            <v>0</v>
          </cell>
          <cell r="U84">
            <v>72</v>
          </cell>
          <cell r="V84">
            <v>76</v>
          </cell>
          <cell r="W84" t="str">
            <v>대표자의 역량이 중요하며 기술/운영 등 핵심 인력 구성이 미흡함. 
사업 추진에 필수적인 핵심 기술자나 운영 인력이 확보되지 않아 실행력이 우려됨 사업 확대 시 리스크 관리와 조직 운영을 위한 팀 빌딩 보완이 시급함.</v>
          </cell>
        </row>
        <row r="85">
          <cell r="B85">
            <v>20440097</v>
          </cell>
          <cell r="C85" t="str">
            <v>지역기반</v>
          </cell>
          <cell r="D85" t="str">
            <v>화공ㆍ섬유</v>
          </cell>
          <cell r="E85" t="str">
            <v>더마리프(DermaLeaf)</v>
          </cell>
          <cell r="F85" t="str">
            <v>0</v>
          </cell>
          <cell r="G85" t="str">
            <v>0</v>
          </cell>
          <cell r="H85" t="str">
            <v>예비</v>
          </cell>
          <cell r="I85" t="str">
            <v>청년</v>
          </cell>
          <cell r="J85">
            <v>0</v>
          </cell>
          <cell r="K85">
            <v>9</v>
          </cell>
          <cell r="L85">
            <v>8</v>
          </cell>
          <cell r="M85">
            <v>12</v>
          </cell>
          <cell r="N85">
            <v>13</v>
          </cell>
          <cell r="O85">
            <v>8</v>
          </cell>
          <cell r="P85">
            <v>7</v>
          </cell>
          <cell r="Q85">
            <v>12</v>
          </cell>
          <cell r="R85">
            <v>3</v>
          </cell>
          <cell r="S85">
            <v>72</v>
          </cell>
          <cell r="T85">
            <v>0</v>
          </cell>
          <cell r="U85">
            <v>72</v>
          </cell>
          <cell r="V85">
            <v>76</v>
          </cell>
          <cell r="W85" t="str">
            <v>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v>
          </cell>
        </row>
        <row r="86">
          <cell r="B86">
            <v>20426074</v>
          </cell>
          <cell r="C86" t="str">
            <v>지역기반</v>
          </cell>
          <cell r="D86" t="str">
            <v>화공ㆍ섬유</v>
          </cell>
          <cell r="E86" t="str">
            <v>피부 트러블 및 소재 손상 방지를 위한 중성 포뮬러 기반  아이웨어 전용 폼 워시</v>
          </cell>
          <cell r="F86" t="str">
            <v>0</v>
          </cell>
          <cell r="G86" t="str">
            <v>0</v>
          </cell>
          <cell r="H86" t="str">
            <v>초기</v>
          </cell>
          <cell r="I86" t="str">
            <v>청년</v>
          </cell>
          <cell r="J86">
            <v>0</v>
          </cell>
          <cell r="K86">
            <v>8</v>
          </cell>
          <cell r="L86">
            <v>9</v>
          </cell>
          <cell r="M86">
            <v>10</v>
          </cell>
          <cell r="N86">
            <v>9</v>
          </cell>
          <cell r="O86">
            <v>8</v>
          </cell>
          <cell r="P86">
            <v>8</v>
          </cell>
          <cell r="Q86">
            <v>14</v>
          </cell>
          <cell r="R86">
            <v>4</v>
          </cell>
          <cell r="S86">
            <v>70</v>
          </cell>
          <cell r="T86">
            <v>2</v>
          </cell>
          <cell r="U86">
            <v>72</v>
          </cell>
          <cell r="V86">
            <v>76</v>
          </cell>
          <cell r="W86" t="str">
            <v>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v>
          </cell>
        </row>
        <row r="87">
          <cell r="B87">
            <v>20427695</v>
          </cell>
          <cell r="C87" t="str">
            <v>지역기반</v>
          </cell>
          <cell r="D87" t="str">
            <v>화공ㆍ섬유</v>
          </cell>
          <cell r="E87" t="str">
            <v>국내외 중소 브랜드를 위한 MOQ 100 기반 K-Denim End-to-End OEM 플랫폼</v>
          </cell>
          <cell r="F87" t="str">
            <v>3,192,172,185</v>
          </cell>
          <cell r="G87" t="str">
            <v>11</v>
          </cell>
          <cell r="H87" t="str">
            <v>초기</v>
          </cell>
          <cell r="I87" t="str">
            <v>중장년</v>
          </cell>
          <cell r="J87">
            <v>0</v>
          </cell>
          <cell r="K87">
            <v>9</v>
          </cell>
          <cell r="L87">
            <v>9</v>
          </cell>
          <cell r="M87">
            <v>10</v>
          </cell>
          <cell r="N87">
            <v>9</v>
          </cell>
          <cell r="O87">
            <v>8</v>
          </cell>
          <cell r="P87">
            <v>8</v>
          </cell>
          <cell r="Q87">
            <v>14</v>
          </cell>
          <cell r="R87">
            <v>5</v>
          </cell>
          <cell r="S87">
            <v>72</v>
          </cell>
          <cell r="T87">
            <v>0</v>
          </cell>
          <cell r="U87">
            <v>72</v>
          </cell>
          <cell r="V87">
            <v>76</v>
          </cell>
          <cell r="W87" t="str">
            <v>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v>
          </cell>
        </row>
        <row r="88">
          <cell r="B88">
            <v>20421895</v>
          </cell>
          <cell r="C88" t="str">
            <v>지역기반</v>
          </cell>
          <cell r="D88" t="str">
            <v>화공ㆍ섬유</v>
          </cell>
          <cell r="E88" t="str">
            <v>손쉽게 눌러쓰는 압출식 2 in 1 버블 토너</v>
          </cell>
          <cell r="F88" t="str">
            <v>0</v>
          </cell>
          <cell r="G88" t="str">
            <v>0</v>
          </cell>
          <cell r="H88" t="str">
            <v>예비</v>
          </cell>
          <cell r="I88" t="str">
            <v>청년</v>
          </cell>
          <cell r="J88">
            <v>0</v>
          </cell>
          <cell r="K88">
            <v>9</v>
          </cell>
          <cell r="L88">
            <v>8</v>
          </cell>
          <cell r="M88">
            <v>12</v>
          </cell>
          <cell r="N88">
            <v>10</v>
          </cell>
          <cell r="O88">
            <v>8</v>
          </cell>
          <cell r="P88">
            <v>8</v>
          </cell>
          <cell r="Q88">
            <v>13</v>
          </cell>
          <cell r="R88">
            <v>3</v>
          </cell>
          <cell r="S88">
            <v>71</v>
          </cell>
          <cell r="T88">
            <v>0</v>
          </cell>
          <cell r="U88">
            <v>71</v>
          </cell>
          <cell r="V88">
            <v>81</v>
          </cell>
          <cell r="W88" t="str">
            <v>창업 동기와 문제 해결의 필요성, 기술추진 의지가 설득력 있게 제시되었습니다. 
다만, 독보적인 경쟁력을 증명하기 위한 객관적 지표와 추가 보완이 필요합니다.</v>
          </cell>
        </row>
        <row r="89">
          <cell r="B89">
            <v>20427388</v>
          </cell>
          <cell r="C89" t="str">
            <v>지역기반</v>
          </cell>
          <cell r="D89" t="str">
            <v>화공ㆍ섬유</v>
          </cell>
          <cell r="E89" t="str">
            <v>pH5.5 이중 배합 기술 기반 두피세정·모발코팅 듀얼 케어 샴푸</v>
          </cell>
          <cell r="F89" t="str">
            <v>0</v>
          </cell>
          <cell r="G89" t="str">
            <v>0</v>
          </cell>
          <cell r="H89" t="str">
            <v>초기</v>
          </cell>
          <cell r="I89" t="str">
            <v>청년</v>
          </cell>
          <cell r="J89">
            <v>0</v>
          </cell>
          <cell r="K89">
            <v>8</v>
          </cell>
          <cell r="L89">
            <v>9</v>
          </cell>
          <cell r="M89">
            <v>10</v>
          </cell>
          <cell r="N89">
            <v>9</v>
          </cell>
          <cell r="O89">
            <v>8</v>
          </cell>
          <cell r="P89">
            <v>8</v>
          </cell>
          <cell r="Q89">
            <v>15</v>
          </cell>
          <cell r="R89">
            <v>4</v>
          </cell>
          <cell r="S89">
            <v>71</v>
          </cell>
          <cell r="T89">
            <v>0</v>
          </cell>
          <cell r="U89">
            <v>71</v>
          </cell>
          <cell r="V89">
            <v>81</v>
          </cell>
          <cell r="W89" t="str">
            <v>사업의 배경 및 문제 해결의 필요성은 비교적 명확하게 작성되었습니다. 다만, 현재의 기술 성숙도와 최종 목표치 사이의 경계가 모호한 측면이 있습니다. 기술 리더십은 확인되나, 목표 달성을 위한 구체적인 실현 가능성은 추가 검토가 필요합니다.</v>
          </cell>
        </row>
        <row r="90">
          <cell r="B90">
            <v>20428424</v>
          </cell>
          <cell r="C90" t="str">
            <v>지역기반</v>
          </cell>
          <cell r="D90" t="str">
            <v>화공ㆍ섬유</v>
          </cell>
          <cell r="E90" t="str">
            <v>다층 압축 기술이 적용된 일상의 샤워를 특별하게 만드는 샤워 향기 태블릿, '딘트 샤워팝'</v>
          </cell>
          <cell r="F90" t="str">
            <v>28,000,000</v>
          </cell>
          <cell r="G90" t="str">
            <v>0</v>
          </cell>
          <cell r="H90" t="str">
            <v>초기</v>
          </cell>
          <cell r="I90" t="str">
            <v>청년</v>
          </cell>
          <cell r="J90">
            <v>0</v>
          </cell>
          <cell r="K90">
            <v>9</v>
          </cell>
          <cell r="L90">
            <v>8</v>
          </cell>
          <cell r="M90">
            <v>10</v>
          </cell>
          <cell r="N90">
            <v>12</v>
          </cell>
          <cell r="O90">
            <v>7</v>
          </cell>
          <cell r="P90">
            <v>7</v>
          </cell>
          <cell r="Q90">
            <v>14</v>
          </cell>
          <cell r="R90">
            <v>4</v>
          </cell>
          <cell r="S90">
            <v>71</v>
          </cell>
          <cell r="T90">
            <v>0</v>
          </cell>
          <cell r="U90">
            <v>71</v>
          </cell>
          <cell r="V90">
            <v>81</v>
          </cell>
          <cell r="W90" t="str">
            <v xml:space="preserve">아이템의 핵심기능과 구체적인 판로개척방법들이 잘 정리되어 있음. 
지원사업의 성격에 따른 국내 기개발 제품과의 차별성, 해외 시장 진출에 따른 전략과 인증에 대한 구체적 방안 제시필요. </v>
          </cell>
        </row>
        <row r="91">
          <cell r="B91">
            <v>20427911</v>
          </cell>
          <cell r="C91" t="str">
            <v>지역기반</v>
          </cell>
          <cell r="D91" t="str">
            <v>화공ㆍ섬유</v>
          </cell>
          <cell r="E91" t="str">
            <v>탄닌계 바이오 매염제 기반 저온 편물 가먼트 염색 기술이 적용된 냉·온감 기능 유지 및 색상 확장 기능의 홀가먼트 침구</v>
          </cell>
          <cell r="F91" t="str">
            <v>0</v>
          </cell>
          <cell r="G91" t="str">
            <v>0</v>
          </cell>
          <cell r="H91" t="str">
            <v>예비</v>
          </cell>
          <cell r="I91" t="str">
            <v>청년</v>
          </cell>
          <cell r="J91">
            <v>0</v>
          </cell>
          <cell r="K91">
            <v>10</v>
          </cell>
          <cell r="L91">
            <v>8</v>
          </cell>
          <cell r="M91">
            <v>12</v>
          </cell>
          <cell r="N91">
            <v>10</v>
          </cell>
          <cell r="O91">
            <v>6</v>
          </cell>
          <cell r="P91">
            <v>8</v>
          </cell>
          <cell r="Q91">
            <v>14</v>
          </cell>
          <cell r="R91">
            <v>2</v>
          </cell>
          <cell r="S91">
            <v>70</v>
          </cell>
          <cell r="T91">
            <v>0</v>
          </cell>
          <cell r="U91">
            <v>70</v>
          </cell>
          <cell r="V91">
            <v>84</v>
          </cell>
          <cell r="W91" t="str">
            <v>기술의 개요와 개발 방향은 이해하기 쉽게 서술되었으나, 현재의 개발 공정과 최종 목표치 사이의 구분이 다소 모호합니다. 
기술 추진 의지는 확고해 보이나, 실질적인 구현 가능성에 대해서는 추가적인 검토가 요구됩니다.</v>
          </cell>
        </row>
        <row r="92">
          <cell r="B92">
            <v>20401779</v>
          </cell>
          <cell r="C92" t="str">
            <v>지역기반</v>
          </cell>
          <cell r="D92" t="str">
            <v>화공ㆍ섬유</v>
          </cell>
          <cell r="E92" t="str">
            <v>안자극이 없는 수경 안티포그액</v>
          </cell>
          <cell r="F92" t="str">
            <v>208,378,702</v>
          </cell>
          <cell r="G92" t="str">
            <v>0</v>
          </cell>
          <cell r="H92" t="str">
            <v>초기</v>
          </cell>
          <cell r="I92" t="str">
            <v>중장년</v>
          </cell>
          <cell r="J92">
            <v>0</v>
          </cell>
          <cell r="K92">
            <v>9</v>
          </cell>
          <cell r="L92">
            <v>8</v>
          </cell>
          <cell r="M92">
            <v>10</v>
          </cell>
          <cell r="N92">
            <v>12</v>
          </cell>
          <cell r="O92">
            <v>8</v>
          </cell>
          <cell r="P92">
            <v>6</v>
          </cell>
          <cell r="Q92">
            <v>14</v>
          </cell>
          <cell r="R92">
            <v>3</v>
          </cell>
          <cell r="S92">
            <v>70</v>
          </cell>
          <cell r="T92">
            <v>0</v>
          </cell>
          <cell r="U92">
            <v>70</v>
          </cell>
          <cell r="V92">
            <v>84</v>
          </cell>
          <cell r="W92" t="str">
            <v>수익 구조가 단순 판매에 치중되어 있고 매출 산출 근거가 낙관적임. 이러한 차별성이 실질적인 기술적 우위로 이어지는 근거가 다소 부족합니다. 차별화의 방향성은 타당하나, 독보적인 경쟁력을 증명하기 위한 추가 확인이 필요합니다.</v>
          </cell>
        </row>
        <row r="93">
          <cell r="B93">
            <v>20420970</v>
          </cell>
          <cell r="C93" t="str">
            <v>지역기반</v>
          </cell>
          <cell r="D93" t="str">
            <v>화공ㆍ섬유</v>
          </cell>
          <cell r="E93" t="str">
            <v>Zero-Sticky 왁싱 리페어 에센스</v>
          </cell>
          <cell r="F93" t="str">
            <v>0</v>
          </cell>
          <cell r="G93" t="str">
            <v>1</v>
          </cell>
          <cell r="H93" t="str">
            <v>초기</v>
          </cell>
          <cell r="I93" t="str">
            <v>청년</v>
          </cell>
          <cell r="J93">
            <v>0</v>
          </cell>
          <cell r="K93">
            <v>8</v>
          </cell>
          <cell r="L93">
            <v>9</v>
          </cell>
          <cell r="M93">
            <v>10</v>
          </cell>
          <cell r="N93">
            <v>9</v>
          </cell>
          <cell r="O93">
            <v>7</v>
          </cell>
          <cell r="P93">
            <v>7</v>
          </cell>
          <cell r="Q93">
            <v>14</v>
          </cell>
          <cell r="R93">
            <v>4</v>
          </cell>
          <cell r="S93">
            <v>68</v>
          </cell>
          <cell r="T93">
            <v>2</v>
          </cell>
          <cell r="U93">
            <v>70</v>
          </cell>
          <cell r="V93">
            <v>84</v>
          </cell>
          <cell r="W93" t="str">
            <v>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v>
          </cell>
        </row>
        <row r="94">
          <cell r="B94">
            <v>20432575</v>
          </cell>
          <cell r="C94" t="str">
            <v>지역기반</v>
          </cell>
          <cell r="D94" t="str">
            <v>화공ㆍ섬유</v>
          </cell>
          <cell r="E94" t="str">
            <v>비건·할랄 기준을 적용한 피부장벽·탄력 개선 기능의 글로벌 스킨케어 제품</v>
          </cell>
          <cell r="F94" t="str">
            <v>150,000,000</v>
          </cell>
          <cell r="G94" t="str">
            <v>3</v>
          </cell>
          <cell r="H94" t="str">
            <v>초기</v>
          </cell>
          <cell r="I94" t="str">
            <v>청년</v>
          </cell>
          <cell r="J94">
            <v>0</v>
          </cell>
          <cell r="K94">
            <v>8</v>
          </cell>
          <cell r="L94">
            <v>9</v>
          </cell>
          <cell r="M94">
            <v>10</v>
          </cell>
          <cell r="N94">
            <v>9</v>
          </cell>
          <cell r="O94">
            <v>8</v>
          </cell>
          <cell r="P94">
            <v>8</v>
          </cell>
          <cell r="Q94">
            <v>14</v>
          </cell>
          <cell r="R94">
            <v>4</v>
          </cell>
          <cell r="S94">
            <v>70</v>
          </cell>
          <cell r="T94">
            <v>0</v>
          </cell>
          <cell r="U94">
            <v>70</v>
          </cell>
          <cell r="V94">
            <v>84</v>
          </cell>
          <cell r="W94" t="str">
            <v xml:space="preserve">대표자의 유관 분야 경력과 전문 역량은 신뢰할 만한 수준입니다.
기술 리더십은 확인되나, 목표 달성을 위한 구체적인 실현 가능성은 추가 검토가 필요합니다. </v>
          </cell>
        </row>
        <row r="95">
          <cell r="B95">
            <v>20410575</v>
          </cell>
          <cell r="C95" t="str">
            <v>지역기반</v>
          </cell>
          <cell r="D95" t="str">
            <v>화공ㆍ섬유</v>
          </cell>
          <cell r="E95" t="str">
            <v>로컬 상생형 프리미엄 수제 쌀 디저트, 'K-설기(K-Seolgi) 하이엔드 솔루션'</v>
          </cell>
          <cell r="F95" t="str">
            <v>0</v>
          </cell>
          <cell r="G95" t="str">
            <v>0</v>
          </cell>
          <cell r="H95" t="str">
            <v>예비</v>
          </cell>
          <cell r="I95" t="str">
            <v>청년</v>
          </cell>
          <cell r="J95">
            <v>0</v>
          </cell>
          <cell r="K95">
            <v>9</v>
          </cell>
          <cell r="L95">
            <v>9</v>
          </cell>
          <cell r="M95">
            <v>9</v>
          </cell>
          <cell r="N95">
            <v>10</v>
          </cell>
          <cell r="O95">
            <v>7</v>
          </cell>
          <cell r="P95">
            <v>7</v>
          </cell>
          <cell r="Q95">
            <v>14</v>
          </cell>
          <cell r="R95">
            <v>4</v>
          </cell>
          <cell r="S95">
            <v>69</v>
          </cell>
          <cell r="T95">
            <v>0</v>
          </cell>
          <cell r="U95">
            <v>69</v>
          </cell>
          <cell r="V95">
            <v>88</v>
          </cell>
          <cell r="W95" t="str">
            <v>관련 소비자 니즈가 증가하는 부분에서 사업적 취지는 인정됨 
다만, 경쟁사 대비 우위를 점할 핵심 기술이나 경쟁사 대비 우위를 점할 핵심 기술이나 IP(지식재산권)  차별화 전략 필요합니다</v>
          </cell>
        </row>
        <row r="96">
          <cell r="B96">
            <v>20399602</v>
          </cell>
          <cell r="C96" t="str">
            <v>지역기반</v>
          </cell>
          <cell r="D96" t="str">
            <v>화공ㆍ섬유</v>
          </cell>
          <cell r="E96" t="str">
            <v>임상 기반 기능성 아로마 바디케어 제품 개발 및 브랜드 사업화</v>
          </cell>
          <cell r="F96" t="str">
            <v>0</v>
          </cell>
          <cell r="G96" t="str">
            <v>0</v>
          </cell>
          <cell r="H96" t="str">
            <v>예비</v>
          </cell>
          <cell r="I96" t="str">
            <v>중장년</v>
          </cell>
          <cell r="J96">
            <v>0</v>
          </cell>
          <cell r="K96">
            <v>10</v>
          </cell>
          <cell r="L96">
            <v>8</v>
          </cell>
          <cell r="M96">
            <v>12</v>
          </cell>
          <cell r="N96">
            <v>10</v>
          </cell>
          <cell r="O96">
            <v>6</v>
          </cell>
          <cell r="P96">
            <v>8</v>
          </cell>
          <cell r="Q96">
            <v>14</v>
          </cell>
          <cell r="R96">
            <v>1</v>
          </cell>
          <cell r="S96">
            <v>69</v>
          </cell>
          <cell r="T96">
            <v>0</v>
          </cell>
          <cell r="U96">
            <v>69</v>
          </cell>
          <cell r="V96">
            <v>88</v>
          </cell>
          <cell r="W96" t="str">
            <v xml:space="preserve">개발하고자하는 제품의 핵심기능을 제시하였으나  아로마바디오일 개발을 위한 제품 설계와 제작 방법에 대한 자세한 보완이 필요함. 
대표의 역량이 기술개발과 관련한 역량이 뛰어나나 제품개발 관련한 제품개발과 양산에 대한 역량이 다소 부족하여 보완이 필요함. </v>
          </cell>
        </row>
        <row r="97">
          <cell r="B97">
            <v>20424187</v>
          </cell>
          <cell r="C97" t="str">
            <v>지역기반</v>
          </cell>
          <cell r="D97" t="str">
            <v>화공ㆍ섬유</v>
          </cell>
          <cell r="E97" t="str">
            <v>지게미 업사이클링 기반 지역농산물 활용 K-디저트 개발</v>
          </cell>
          <cell r="F97" t="str">
            <v>0</v>
          </cell>
          <cell r="G97" t="str">
            <v>0</v>
          </cell>
          <cell r="H97" t="str">
            <v>예비</v>
          </cell>
          <cell r="I97" t="str">
            <v>청년</v>
          </cell>
          <cell r="J97">
            <v>0</v>
          </cell>
          <cell r="K97">
            <v>9</v>
          </cell>
          <cell r="L97">
            <v>8</v>
          </cell>
          <cell r="M97">
            <v>11</v>
          </cell>
          <cell r="N97">
            <v>10</v>
          </cell>
          <cell r="O97">
            <v>8</v>
          </cell>
          <cell r="P97">
            <v>8</v>
          </cell>
          <cell r="Q97">
            <v>12</v>
          </cell>
          <cell r="R97">
            <v>3</v>
          </cell>
          <cell r="S97">
            <v>69</v>
          </cell>
          <cell r="T97">
            <v>0</v>
          </cell>
          <cell r="U97">
            <v>69</v>
          </cell>
          <cell r="V97">
            <v>88</v>
          </cell>
          <cell r="W97" t="str">
            <v>아이템의 핵심 기능과 구체적인 활용 방안이 잘 정리되어 있으며, 기술적 구현 방법과 사업화 전략이 논리적으로 연결됩니다. 
기술 추진 의지는 확고해 보이나, 실질적인 구현 가능성에 대해서는 추가적인 검토가 요구됩니다.</v>
          </cell>
        </row>
        <row r="98">
          <cell r="B98">
            <v>20426973</v>
          </cell>
          <cell r="C98" t="str">
            <v>지역기반</v>
          </cell>
          <cell r="D98" t="str">
            <v>화공ㆍ섬유</v>
          </cell>
          <cell r="E98" t="str">
            <v>혁신신소재 에어로젤을 활용한 응용소비재</v>
          </cell>
          <cell r="F98" t="str">
            <v>0</v>
          </cell>
          <cell r="G98" t="str">
            <v>0</v>
          </cell>
          <cell r="H98" t="str">
            <v>예비</v>
          </cell>
          <cell r="I98" t="str">
            <v>청년</v>
          </cell>
          <cell r="J98">
            <v>0</v>
          </cell>
          <cell r="K98">
            <v>10</v>
          </cell>
          <cell r="L98">
            <v>8</v>
          </cell>
          <cell r="M98">
            <v>10</v>
          </cell>
          <cell r="N98">
            <v>9</v>
          </cell>
          <cell r="O98">
            <v>8</v>
          </cell>
          <cell r="P98">
            <v>7</v>
          </cell>
          <cell r="Q98">
            <v>13</v>
          </cell>
          <cell r="R98">
            <v>2</v>
          </cell>
          <cell r="S98">
            <v>67</v>
          </cell>
          <cell r="T98">
            <v>2</v>
          </cell>
          <cell r="U98">
            <v>69</v>
          </cell>
          <cell r="V98">
            <v>88</v>
          </cell>
          <cell r="W98" t="str">
            <v xml:space="preserve">개발하고자하는 제품의 핵심기능을 제시하였으나  반려동물 홈케어 라인 개발을 위한 제품 설계와 제작 방법에 대한 자세한 보완이 필요함. 
대표의 역량이 기술개발과 관련한 역량이 뛰어나나 제품개발 관련한 연구, 양산에 대한 역량이 다소 부족하여 보완이 필요함. </v>
          </cell>
        </row>
        <row r="99">
          <cell r="B99">
            <v>20430941</v>
          </cell>
          <cell r="C99" t="str">
            <v>지역기반</v>
          </cell>
          <cell r="D99" t="str">
            <v>화공ㆍ섬유</v>
          </cell>
          <cell r="E99" t="str">
            <v>버려지는 농업 부산물을 고기능 원료로 전환하고 에어리스 구조로 위생적이고 깔끔한 사용감을 구현한 클렌징 밤</v>
          </cell>
          <cell r="F99" t="str">
            <v>0</v>
          </cell>
          <cell r="G99" t="str">
            <v>0</v>
          </cell>
          <cell r="H99" t="str">
            <v>예비</v>
          </cell>
          <cell r="I99" t="str">
            <v>청년</v>
          </cell>
          <cell r="J99">
            <v>0</v>
          </cell>
          <cell r="K99">
            <v>10</v>
          </cell>
          <cell r="L99">
            <v>8</v>
          </cell>
          <cell r="M99">
            <v>12</v>
          </cell>
          <cell r="N99">
            <v>10</v>
          </cell>
          <cell r="O99">
            <v>6</v>
          </cell>
          <cell r="P99">
            <v>8</v>
          </cell>
          <cell r="Q99">
            <v>14</v>
          </cell>
          <cell r="R99">
            <v>1</v>
          </cell>
          <cell r="S99">
            <v>69</v>
          </cell>
          <cell r="T99">
            <v>0</v>
          </cell>
          <cell r="U99">
            <v>69</v>
          </cell>
          <cell r="V99">
            <v>88</v>
          </cell>
          <cell r="W99" t="str">
            <v>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v>
          </cell>
        </row>
        <row r="100">
          <cell r="B100">
            <v>20421819</v>
          </cell>
          <cell r="C100" t="str">
            <v>지역기반</v>
          </cell>
          <cell r="D100" t="str">
            <v>화공ㆍ섬유</v>
          </cell>
          <cell r="E100" t="str">
            <v>노령견 피부장벽 예방 기능성 케어 크림 개발</v>
          </cell>
          <cell r="F100" t="str">
            <v>385,902</v>
          </cell>
          <cell r="G100" t="str">
            <v>0</v>
          </cell>
          <cell r="H100" t="str">
            <v>초기</v>
          </cell>
          <cell r="I100" t="str">
            <v>청년</v>
          </cell>
          <cell r="J100">
            <v>0</v>
          </cell>
          <cell r="K100">
            <v>9</v>
          </cell>
          <cell r="L100">
            <v>8</v>
          </cell>
          <cell r="M100">
            <v>11</v>
          </cell>
          <cell r="N100">
            <v>9</v>
          </cell>
          <cell r="O100">
            <v>6</v>
          </cell>
          <cell r="P100">
            <v>8</v>
          </cell>
          <cell r="Q100">
            <v>14</v>
          </cell>
          <cell r="R100">
            <v>4</v>
          </cell>
          <cell r="S100">
            <v>69</v>
          </cell>
          <cell r="T100">
            <v>0</v>
          </cell>
          <cell r="U100">
            <v>69</v>
          </cell>
          <cell r="V100">
            <v>88</v>
          </cell>
          <cell r="W100" t="str">
            <v>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필요하다.</v>
          </cell>
        </row>
        <row r="101">
          <cell r="B101">
            <v>20426450</v>
          </cell>
          <cell r="C101" t="str">
            <v>지역기반</v>
          </cell>
          <cell r="D101" t="str">
            <v>화공ㆍ섬유</v>
          </cell>
          <cell r="E101" t="str">
            <v>아우라 오브 조선 (Aura of Joseon)</v>
          </cell>
          <cell r="F101" t="str">
            <v>1,042,366,276</v>
          </cell>
          <cell r="G101" t="str">
            <v>1</v>
          </cell>
          <cell r="H101" t="str">
            <v>도약</v>
          </cell>
          <cell r="I101" t="str">
            <v>청년</v>
          </cell>
          <cell r="J101">
            <v>0</v>
          </cell>
          <cell r="K101">
            <v>9</v>
          </cell>
          <cell r="L101">
            <v>8</v>
          </cell>
          <cell r="M101">
            <v>10</v>
          </cell>
          <cell r="N101">
            <v>7</v>
          </cell>
          <cell r="O101">
            <v>9</v>
          </cell>
          <cell r="P101">
            <v>8</v>
          </cell>
          <cell r="Q101">
            <v>14</v>
          </cell>
          <cell r="R101">
            <v>4</v>
          </cell>
          <cell r="S101">
            <v>69</v>
          </cell>
          <cell r="T101">
            <v>0</v>
          </cell>
          <cell r="U101">
            <v>69</v>
          </cell>
          <cell r="V101">
            <v>88</v>
          </cell>
          <cell r="W101" t="str">
            <v>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v>
          </cell>
        </row>
        <row r="102">
          <cell r="B102">
            <v>20430395</v>
          </cell>
          <cell r="C102" t="str">
            <v>지역기반</v>
          </cell>
          <cell r="D102" t="str">
            <v>화공ㆍ섬유</v>
          </cell>
          <cell r="E102" t="str">
            <v>고양이와 안전하게 외출할 수 있는 슬개골‧디스크 케어 이동가방</v>
          </cell>
          <cell r="F102" t="str">
            <v>488,321,219</v>
          </cell>
          <cell r="G102" t="str">
            <v>1</v>
          </cell>
          <cell r="H102" t="str">
            <v>도약</v>
          </cell>
          <cell r="I102" t="str">
            <v>청년</v>
          </cell>
          <cell r="J102">
            <v>0</v>
          </cell>
          <cell r="K102">
            <v>9</v>
          </cell>
          <cell r="L102">
            <v>8</v>
          </cell>
          <cell r="M102">
            <v>9</v>
          </cell>
          <cell r="N102">
            <v>9</v>
          </cell>
          <cell r="O102">
            <v>6</v>
          </cell>
          <cell r="P102">
            <v>8</v>
          </cell>
          <cell r="Q102">
            <v>14</v>
          </cell>
          <cell r="R102">
            <v>4</v>
          </cell>
          <cell r="S102">
            <v>67</v>
          </cell>
          <cell r="T102">
            <v>2</v>
          </cell>
          <cell r="U102">
            <v>69</v>
          </cell>
          <cell r="V102">
            <v>88</v>
          </cell>
          <cell r="W102" t="str">
            <v xml:space="preserve">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v>
          </cell>
        </row>
        <row r="103">
          <cell r="B103">
            <v>20424877</v>
          </cell>
          <cell r="C103" t="str">
            <v>지역기반</v>
          </cell>
          <cell r="D103" t="str">
            <v>화공ㆍ섬유</v>
          </cell>
          <cell r="E103" t="str">
            <v>2,000만 반려인의 동물병원 방문 1순위 ‘피부질환’ 문제를 해결하기 위해3D 유해성분 제로, 강아지 피부세포 실험으로 검증 특허 성분 함유 저자극 기능성 펫 스킨케어 ‘너티포비'</v>
          </cell>
          <cell r="F103" t="str">
            <v>3,585,411</v>
          </cell>
          <cell r="G103" t="str">
            <v>0</v>
          </cell>
          <cell r="H103" t="str">
            <v>초기</v>
          </cell>
          <cell r="I103" t="str">
            <v>청년</v>
          </cell>
          <cell r="J103">
            <v>0</v>
          </cell>
          <cell r="K103">
            <v>8</v>
          </cell>
          <cell r="L103">
            <v>9</v>
          </cell>
          <cell r="M103">
            <v>10</v>
          </cell>
          <cell r="N103">
            <v>9</v>
          </cell>
          <cell r="O103">
            <v>7</v>
          </cell>
          <cell r="P103">
            <v>7</v>
          </cell>
          <cell r="Q103">
            <v>14</v>
          </cell>
          <cell r="R103">
            <v>4</v>
          </cell>
          <cell r="S103">
            <v>68</v>
          </cell>
          <cell r="T103">
            <v>0</v>
          </cell>
          <cell r="U103">
            <v>68</v>
          </cell>
          <cell r="V103">
            <v>96</v>
          </cell>
          <cell r="W103" t="str">
            <v>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v>
          </cell>
        </row>
        <row r="104">
          <cell r="B104">
            <v>20402057</v>
          </cell>
          <cell r="C104" t="str">
            <v>지역기반</v>
          </cell>
          <cell r="D104" t="str">
            <v>화공ㆍ섬유</v>
          </cell>
          <cell r="E104" t="str">
            <v>CODEBI 러닝·퍼포먼스 기능성 의류 (쇼츠, 상의, 타이즈, 액세서리)</v>
          </cell>
          <cell r="F104" t="str">
            <v>0</v>
          </cell>
          <cell r="G104" t="str">
            <v>0</v>
          </cell>
          <cell r="H104" t="str">
            <v>예비</v>
          </cell>
          <cell r="I104" t="str">
            <v>중장년</v>
          </cell>
          <cell r="J104">
            <v>0</v>
          </cell>
          <cell r="K104">
            <v>9</v>
          </cell>
          <cell r="L104">
            <v>8</v>
          </cell>
          <cell r="M104">
            <v>11</v>
          </cell>
          <cell r="N104">
            <v>9</v>
          </cell>
          <cell r="O104">
            <v>6</v>
          </cell>
          <cell r="P104">
            <v>8</v>
          </cell>
          <cell r="Q104">
            <v>14</v>
          </cell>
          <cell r="R104">
            <v>2</v>
          </cell>
          <cell r="S104">
            <v>67</v>
          </cell>
          <cell r="T104">
            <v>0</v>
          </cell>
          <cell r="U104">
            <v>67</v>
          </cell>
          <cell r="V104">
            <v>97</v>
          </cell>
          <cell r="W104" t="str">
            <v>창업 동기와 문제 해결의 필요성, 기술추진 의지가 설득력 있게 제시되었습니다. 
다만, 독보적인 경쟁력을 증명하기 위한 객관적 지표와 추가 보완이 필요합니다.</v>
          </cell>
        </row>
        <row r="105">
          <cell r="B105">
            <v>20403598</v>
          </cell>
          <cell r="C105" t="str">
            <v>지역기반</v>
          </cell>
          <cell r="D105" t="str">
            <v>화공ㆍ섬유</v>
          </cell>
          <cell r="E105" t="str">
            <v>리텐션 고도화형 B2B 글로벌 수출 K-뷰티 속눈썹·글루 제품</v>
          </cell>
          <cell r="F105" t="str">
            <v>0</v>
          </cell>
          <cell r="G105" t="str">
            <v>0</v>
          </cell>
          <cell r="H105" t="str">
            <v>초기</v>
          </cell>
          <cell r="I105" t="str">
            <v>중장년</v>
          </cell>
          <cell r="J105">
            <v>0</v>
          </cell>
          <cell r="K105">
            <v>9</v>
          </cell>
          <cell r="L105">
            <v>8</v>
          </cell>
          <cell r="M105">
            <v>11</v>
          </cell>
          <cell r="N105">
            <v>9</v>
          </cell>
          <cell r="O105">
            <v>6</v>
          </cell>
          <cell r="P105">
            <v>8</v>
          </cell>
          <cell r="Q105">
            <v>14</v>
          </cell>
          <cell r="R105">
            <v>2</v>
          </cell>
          <cell r="S105">
            <v>67</v>
          </cell>
          <cell r="T105">
            <v>0</v>
          </cell>
          <cell r="U105">
            <v>67</v>
          </cell>
          <cell r="V105">
            <v>97</v>
          </cell>
          <cell r="W105" t="str">
            <v>관련 소비자 니즈가 증가하는 부분에서 사업적 취지는 인정됨 다만, 경쟁사 대비 우위를 점할 핵심 기술이나 IP(지식재산권)  차별화 전략 필요한데 비해, 현재 계획서 상에는 차별화된 요소가 미약함</v>
          </cell>
        </row>
        <row r="106">
          <cell r="B106">
            <v>20417321</v>
          </cell>
          <cell r="C106" t="str">
            <v>지역기반</v>
          </cell>
          <cell r="D106" t="str">
            <v>화공ㆍ섬유</v>
          </cell>
          <cell r="E106" t="str">
            <v>롤러형먼지크리너겸용방충포집기</v>
          </cell>
          <cell r="F106" t="str">
            <v>10,880,000</v>
          </cell>
          <cell r="G106" t="str">
            <v>0</v>
          </cell>
          <cell r="H106" t="str">
            <v>초기</v>
          </cell>
          <cell r="I106" t="str">
            <v>중장년</v>
          </cell>
          <cell r="J106">
            <v>0</v>
          </cell>
          <cell r="K106">
            <v>9</v>
          </cell>
          <cell r="L106">
            <v>8</v>
          </cell>
          <cell r="M106">
            <v>11</v>
          </cell>
          <cell r="N106">
            <v>9</v>
          </cell>
          <cell r="O106">
            <v>6</v>
          </cell>
          <cell r="P106">
            <v>8</v>
          </cell>
          <cell r="Q106">
            <v>14</v>
          </cell>
          <cell r="R106">
            <v>2</v>
          </cell>
          <cell r="S106">
            <v>67</v>
          </cell>
          <cell r="T106">
            <v>0</v>
          </cell>
          <cell r="U106">
            <v>67</v>
          </cell>
          <cell r="V106">
            <v>97</v>
          </cell>
          <cell r="W106" t="str">
            <v xml:space="preserve">아이템의 핵심 기능과 구체적인 활용 방안이 잘 정리되어 있으며, 기술적 구현 방법과 사업화 전략이 논리적으로 연결. 
아이템의 참신함이 돋보이므로 시장 데이터 보완시 매력적인 사업이 될 것임. </v>
          </cell>
        </row>
        <row r="107">
          <cell r="B107">
            <v>20422094</v>
          </cell>
          <cell r="C107" t="str">
            <v>지역기반</v>
          </cell>
          <cell r="D107" t="str">
            <v>화공ㆍ섬유</v>
          </cell>
          <cell r="E107" t="str">
            <v>피부를 숨기지 않아도 되는 안심 베이스</v>
          </cell>
          <cell r="F107" t="str">
            <v>150,000,000</v>
          </cell>
          <cell r="G107" t="str">
            <v>1</v>
          </cell>
          <cell r="H107" t="str">
            <v>초기</v>
          </cell>
          <cell r="I107" t="str">
            <v>청년</v>
          </cell>
          <cell r="J107">
            <v>0</v>
          </cell>
          <cell r="K107">
            <v>9</v>
          </cell>
          <cell r="L107">
            <v>8</v>
          </cell>
          <cell r="M107">
            <v>11</v>
          </cell>
          <cell r="N107">
            <v>9</v>
          </cell>
          <cell r="O107">
            <v>6</v>
          </cell>
          <cell r="P107">
            <v>8</v>
          </cell>
          <cell r="Q107">
            <v>14</v>
          </cell>
          <cell r="R107">
            <v>2</v>
          </cell>
          <cell r="S107">
            <v>67</v>
          </cell>
          <cell r="T107">
            <v>0</v>
          </cell>
          <cell r="U107">
            <v>67</v>
          </cell>
          <cell r="V107">
            <v>97</v>
          </cell>
          <cell r="W107" t="str">
            <v>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v>
          </cell>
        </row>
        <row r="108">
          <cell r="B108">
            <v>20424847</v>
          </cell>
          <cell r="C108" t="str">
            <v>지역기반</v>
          </cell>
          <cell r="D108" t="str">
            <v>화공ㆍ섬유</v>
          </cell>
          <cell r="E108" t="str">
            <v>Ag⁺/Zn²⁺ 항균 기술이 적용된IAD 억제 기능의4층 무봉제 요실금팬티</v>
          </cell>
          <cell r="F108" t="str">
            <v>2,500,000</v>
          </cell>
          <cell r="G108" t="str">
            <v>1</v>
          </cell>
          <cell r="H108" t="str">
            <v>초기</v>
          </cell>
          <cell r="I108" t="str">
            <v>중장년</v>
          </cell>
          <cell r="J108">
            <v>0</v>
          </cell>
          <cell r="K108">
            <v>9</v>
          </cell>
          <cell r="L108">
            <v>8</v>
          </cell>
          <cell r="M108">
            <v>10</v>
          </cell>
          <cell r="N108">
            <v>9</v>
          </cell>
          <cell r="O108">
            <v>7</v>
          </cell>
          <cell r="P108">
            <v>7</v>
          </cell>
          <cell r="Q108">
            <v>13</v>
          </cell>
          <cell r="R108">
            <v>4</v>
          </cell>
          <cell r="S108">
            <v>67</v>
          </cell>
          <cell r="T108">
            <v>0</v>
          </cell>
          <cell r="U108">
            <v>67</v>
          </cell>
          <cell r="V108">
            <v>97</v>
          </cell>
          <cell r="W108" t="str">
            <v>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v>
          </cell>
        </row>
        <row r="109">
          <cell r="B109">
            <v>20426725</v>
          </cell>
          <cell r="C109" t="str">
            <v>지역기반</v>
          </cell>
          <cell r="D109" t="str">
            <v>화공ㆍ섬유</v>
          </cell>
          <cell r="E109" t="str">
            <v>농산 폐기물(유자 폐껍질·잣송이 외피) 업사이클링 원료 기반의 멘톨·유칼립투스 완전 배제 영유아·민감성 체질 안심 비염 완화 밤 '숲결'</v>
          </cell>
          <cell r="F109" t="str">
            <v>0</v>
          </cell>
          <cell r="G109" t="str">
            <v>1</v>
          </cell>
          <cell r="H109" t="str">
            <v>초기</v>
          </cell>
          <cell r="I109" t="str">
            <v>청년</v>
          </cell>
          <cell r="J109">
            <v>0</v>
          </cell>
          <cell r="K109">
            <v>9</v>
          </cell>
          <cell r="L109">
            <v>8</v>
          </cell>
          <cell r="M109">
            <v>10</v>
          </cell>
          <cell r="N109">
            <v>9</v>
          </cell>
          <cell r="O109">
            <v>7</v>
          </cell>
          <cell r="P109">
            <v>7</v>
          </cell>
          <cell r="Q109">
            <v>13</v>
          </cell>
          <cell r="R109">
            <v>4</v>
          </cell>
          <cell r="S109">
            <v>67</v>
          </cell>
          <cell r="T109">
            <v>0</v>
          </cell>
          <cell r="U109">
            <v>67</v>
          </cell>
          <cell r="V109">
            <v>97</v>
          </cell>
          <cell r="W109" t="str">
            <v>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v>
          </cell>
        </row>
        <row r="110">
          <cell r="B110">
            <v>20408236</v>
          </cell>
          <cell r="C110" t="str">
            <v>지역기반</v>
          </cell>
          <cell r="D110" t="str">
            <v>화공ㆍ섬유</v>
          </cell>
          <cell r="E110" t="str">
            <v>니치퍼퓸, 아로마 해외 수출 전문 화장품</v>
          </cell>
          <cell r="F110" t="str">
            <v>60,000,000</v>
          </cell>
          <cell r="G110" t="str">
            <v>1</v>
          </cell>
          <cell r="H110" t="str">
            <v>도약</v>
          </cell>
          <cell r="I110" t="str">
            <v>청년</v>
          </cell>
          <cell r="J110">
            <v>0</v>
          </cell>
          <cell r="K110">
            <v>9</v>
          </cell>
          <cell r="L110">
            <v>8</v>
          </cell>
          <cell r="M110">
            <v>9</v>
          </cell>
          <cell r="N110">
            <v>9</v>
          </cell>
          <cell r="O110">
            <v>6</v>
          </cell>
          <cell r="P110">
            <v>8</v>
          </cell>
          <cell r="Q110">
            <v>14</v>
          </cell>
          <cell r="R110">
            <v>4</v>
          </cell>
          <cell r="S110">
            <v>67</v>
          </cell>
          <cell r="T110">
            <v>0</v>
          </cell>
          <cell r="U110">
            <v>67</v>
          </cell>
          <cell r="V110">
            <v>97</v>
          </cell>
          <cell r="W110" t="str">
            <v xml:space="preserve">아이템의 핵심기능과 구체적인 판로개척방법들이 잘 정리되어 있음. 
지원사업의 성격에 따른 국내 기개발 제품과의 차별성, 해외 시장 진출에 따른 전략 구체적 방안 제시필요. </v>
          </cell>
        </row>
        <row r="111">
          <cell r="B111">
            <v>20406606</v>
          </cell>
          <cell r="C111" t="str">
            <v>지역기반</v>
          </cell>
          <cell r="D111" t="str">
            <v>화공ㆍ섬유</v>
          </cell>
          <cell r="E111" t="str">
            <v>즉석 맥반석 구이김 단지 순회공급 시스템 구축</v>
          </cell>
          <cell r="F111" t="str">
            <v>0</v>
          </cell>
          <cell r="G111" t="str">
            <v>0</v>
          </cell>
          <cell r="H111" t="str">
            <v>예비</v>
          </cell>
          <cell r="I111" t="str">
            <v>중장년</v>
          </cell>
          <cell r="J111">
            <v>0</v>
          </cell>
          <cell r="K111">
            <v>10</v>
          </cell>
          <cell r="L111">
            <v>8</v>
          </cell>
          <cell r="M111">
            <v>10</v>
          </cell>
          <cell r="N111">
            <v>9</v>
          </cell>
          <cell r="O111">
            <v>8</v>
          </cell>
          <cell r="P111">
            <v>7</v>
          </cell>
          <cell r="Q111">
            <v>13</v>
          </cell>
          <cell r="R111">
            <v>1</v>
          </cell>
          <cell r="S111">
            <v>66</v>
          </cell>
          <cell r="T111">
            <v>0</v>
          </cell>
          <cell r="U111">
            <v>66</v>
          </cell>
          <cell r="V111">
            <v>104</v>
          </cell>
          <cell r="W111" t="str">
            <v xml:space="preserve">개발하고자하는 제품의 핵심기능을 제시하였으나 개발을 위한 제품 설계와 제작 방법에 대한 자세한 보완이 필요함. 
대표의 역량이 기술개발과 관련한 역량이 뛰어나나 제품개발 관련한 제품개발과 양산에 대한 역량이 다소 부족하여 보완이 필요함. </v>
          </cell>
        </row>
        <row r="112">
          <cell r="B112">
            <v>20430698</v>
          </cell>
          <cell r="C112" t="str">
            <v>지역기반</v>
          </cell>
          <cell r="D112" t="str">
            <v>화공ㆍ섬유</v>
          </cell>
          <cell r="E112" t="str">
            <v>그래핀 복합 원사 기술이 적용된 항균·소취 기능의 쾌적한 수면 환경을 제공하는 기능성 침구 제품</v>
          </cell>
          <cell r="F112" t="str">
            <v>0</v>
          </cell>
          <cell r="G112" t="str">
            <v>0</v>
          </cell>
          <cell r="H112" t="str">
            <v>예비</v>
          </cell>
          <cell r="I112" t="str">
            <v>청년</v>
          </cell>
          <cell r="J112">
            <v>0</v>
          </cell>
          <cell r="K112">
            <v>8</v>
          </cell>
          <cell r="L112">
            <v>9</v>
          </cell>
          <cell r="M112">
            <v>12</v>
          </cell>
          <cell r="N112">
            <v>9</v>
          </cell>
          <cell r="O112">
            <v>7</v>
          </cell>
          <cell r="P112">
            <v>7</v>
          </cell>
          <cell r="Q112">
            <v>12</v>
          </cell>
          <cell r="R112">
            <v>2</v>
          </cell>
          <cell r="S112">
            <v>66</v>
          </cell>
          <cell r="T112">
            <v>0</v>
          </cell>
          <cell r="U112">
            <v>66</v>
          </cell>
          <cell r="V112">
            <v>104</v>
          </cell>
          <cell r="W112" t="str">
            <v xml:space="preserve">개발하고자하는 제품의 핵심기능을 제시하였으나 그래핀 복합원사 기반 기능성 침구에 대한 설계와 제작 방법에 대한 자세한 보완이 필요함. 
제조에 참여한 대표의 역량이 뛰어나나 제품개발 관련한 기능과 차별성 검증이 다소 부족하여 보완이 필요함. </v>
          </cell>
        </row>
        <row r="113">
          <cell r="B113">
            <v>20417527</v>
          </cell>
          <cell r="C113" t="str">
            <v>지역기반</v>
          </cell>
          <cell r="D113" t="str">
            <v>화공ㆍ섬유</v>
          </cell>
          <cell r="E113" t="str">
            <v>초보자도 손쉽게 제모 가능한 고기능성 슈가페이스트 및 자동 충진 제조 시스템의 사업화</v>
          </cell>
          <cell r="F113" t="str">
            <v>100,000,000</v>
          </cell>
          <cell r="G113" t="str">
            <v>1</v>
          </cell>
          <cell r="H113" t="str">
            <v>초기</v>
          </cell>
          <cell r="I113" t="str">
            <v>중장년</v>
          </cell>
          <cell r="J113">
            <v>0</v>
          </cell>
          <cell r="K113">
            <v>8</v>
          </cell>
          <cell r="L113">
            <v>9</v>
          </cell>
          <cell r="M113">
            <v>12</v>
          </cell>
          <cell r="N113">
            <v>9</v>
          </cell>
          <cell r="O113">
            <v>7</v>
          </cell>
          <cell r="P113">
            <v>7</v>
          </cell>
          <cell r="Q113">
            <v>12</v>
          </cell>
          <cell r="R113">
            <v>2</v>
          </cell>
          <cell r="S113">
            <v>66</v>
          </cell>
          <cell r="T113">
            <v>0</v>
          </cell>
          <cell r="U113">
            <v>66</v>
          </cell>
          <cell r="V113">
            <v>104</v>
          </cell>
          <cell r="W113" t="str">
            <v>창업동기와 문제인식은 비교적 명확하게 제시. 다만 시장 규모와 고객검증 자료는 다소 제한적으로 제시. 
전반적으로 사업 방향은 적절하나 객관적 근거는 일부 보완이 필요함</v>
          </cell>
        </row>
        <row r="114">
          <cell r="B114">
            <v>20428898</v>
          </cell>
          <cell r="C114" t="str">
            <v>지역기반</v>
          </cell>
          <cell r="D114" t="str">
            <v>화공ㆍ섬유</v>
          </cell>
          <cell r="E114" t="str">
            <v>천연소재 복합배합 기반 친환경 반려동물 위생용품 개발</v>
          </cell>
          <cell r="F114" t="str">
            <v>0</v>
          </cell>
          <cell r="G114" t="str">
            <v>0</v>
          </cell>
          <cell r="H114" t="str">
            <v>예비</v>
          </cell>
          <cell r="I114" t="str">
            <v>청년</v>
          </cell>
          <cell r="J114">
            <v>0</v>
          </cell>
          <cell r="K114">
            <v>9</v>
          </cell>
          <cell r="L114">
            <v>8</v>
          </cell>
          <cell r="M114">
            <v>10</v>
          </cell>
          <cell r="N114">
            <v>9</v>
          </cell>
          <cell r="O114">
            <v>8</v>
          </cell>
          <cell r="P114">
            <v>6</v>
          </cell>
          <cell r="Q114">
            <v>12</v>
          </cell>
          <cell r="R114">
            <v>3</v>
          </cell>
          <cell r="S114">
            <v>65</v>
          </cell>
          <cell r="T114">
            <v>0</v>
          </cell>
          <cell r="U114">
            <v>65</v>
          </cell>
          <cell r="V114">
            <v>107</v>
          </cell>
          <cell r="W114" t="str">
            <v>수익 구조가 단순 판매에 치중되어 있고 매출 산출 근거가 낙관적임
 과제 수행기간 동안 아이템 구체화의 목표는 확인이 되나 경쟁사대비 비교우위 성능과 특장점에 대한 기술 구체화가 부족함.</v>
          </cell>
        </row>
        <row r="115">
          <cell r="B115">
            <v>20439838</v>
          </cell>
          <cell r="C115" t="str">
            <v>지역기반</v>
          </cell>
          <cell r="D115" t="str">
            <v>화공ㆍ섬유</v>
          </cell>
          <cell r="E115" t="str">
            <v>핏 중심 기능성 러닝웨어 브랜드 개발 및 사업화</v>
          </cell>
          <cell r="F115" t="str">
            <v>0</v>
          </cell>
          <cell r="G115" t="str">
            <v>1</v>
          </cell>
          <cell r="H115" t="str">
            <v>예비</v>
          </cell>
          <cell r="I115" t="str">
            <v>청년</v>
          </cell>
          <cell r="J115">
            <v>0</v>
          </cell>
          <cell r="K115">
            <v>9</v>
          </cell>
          <cell r="L115">
            <v>8</v>
          </cell>
          <cell r="M115">
            <v>10</v>
          </cell>
          <cell r="N115">
            <v>9</v>
          </cell>
          <cell r="O115">
            <v>8</v>
          </cell>
          <cell r="P115">
            <v>6</v>
          </cell>
          <cell r="Q115">
            <v>12</v>
          </cell>
          <cell r="R115">
            <v>3</v>
          </cell>
          <cell r="S115">
            <v>65</v>
          </cell>
          <cell r="T115">
            <v>0</v>
          </cell>
          <cell r="U115">
            <v>65</v>
          </cell>
          <cell r="V115">
            <v>107</v>
          </cell>
          <cell r="W115" t="str">
            <v>관련 소비자 니즈가 증가하는 부분에서 사업적 취지는 인정됨 다만, 경쟁사 대비 우위를 점할 핵심 기술이나 IP(지식재산권)  차별화 전략 필요한데 비해, 현재 계획서 상에는 차별화된 요소가 미약함</v>
          </cell>
        </row>
        <row r="116">
          <cell r="B116">
            <v>20411654</v>
          </cell>
          <cell r="C116" t="str">
            <v>지역기반</v>
          </cell>
          <cell r="D116" t="str">
            <v>화공ㆍ섬유</v>
          </cell>
          <cell r="E116" t="str">
            <v>여성 착용 편안성을 개선한 기능성 심리스 브라 및 언더웨어 제품 개발 사업</v>
          </cell>
          <cell r="F116" t="str">
            <v>230,000,000</v>
          </cell>
          <cell r="G116" t="str">
            <v>3</v>
          </cell>
          <cell r="H116" t="str">
            <v>초기</v>
          </cell>
          <cell r="I116" t="str">
            <v>중장년</v>
          </cell>
          <cell r="J116">
            <v>0</v>
          </cell>
          <cell r="K116">
            <v>9</v>
          </cell>
          <cell r="L116">
            <v>8</v>
          </cell>
          <cell r="M116">
            <v>10</v>
          </cell>
          <cell r="N116">
            <v>9</v>
          </cell>
          <cell r="O116">
            <v>7</v>
          </cell>
          <cell r="P116">
            <v>7</v>
          </cell>
          <cell r="Q116">
            <v>13</v>
          </cell>
          <cell r="R116">
            <v>2</v>
          </cell>
          <cell r="S116">
            <v>65</v>
          </cell>
          <cell r="T116">
            <v>0</v>
          </cell>
          <cell r="U116">
            <v>65</v>
          </cell>
          <cell r="V116">
            <v>107</v>
          </cell>
          <cell r="W116" t="str">
            <v>개발하고자하는 제품의 핵심기능을 제시하였으나  기능성 언더웨어 개발을 위한 제품 설계와 제작 방법에 대한 자세한 보완이 필요함. 
대표의 역량이 관련한 경력과 역량이 뛰어나나 제품개발 관련한 제품개발과 양산에 대한 역량이 다소 부족하여 보완이 필요함</v>
          </cell>
        </row>
        <row r="117">
          <cell r="B117">
            <v>20420533</v>
          </cell>
          <cell r="C117" t="str">
            <v>지역기반</v>
          </cell>
          <cell r="D117" t="str">
            <v>화공ㆍ섬유</v>
          </cell>
          <cell r="E117" t="str">
            <v>소가죽 용접복의 문제점 해결 가능한 &amp;quot;재생가죽 용접복&amp;quot;</v>
          </cell>
          <cell r="F117" t="str">
            <v>35,000,000</v>
          </cell>
          <cell r="G117" t="str">
            <v>0</v>
          </cell>
          <cell r="H117" t="str">
            <v>초기</v>
          </cell>
          <cell r="I117" t="str">
            <v>중장년</v>
          </cell>
          <cell r="J117">
            <v>0</v>
          </cell>
          <cell r="K117">
            <v>9</v>
          </cell>
          <cell r="L117">
            <v>8</v>
          </cell>
          <cell r="M117">
            <v>10</v>
          </cell>
          <cell r="N117">
            <v>9</v>
          </cell>
          <cell r="O117">
            <v>7</v>
          </cell>
          <cell r="P117">
            <v>7</v>
          </cell>
          <cell r="Q117">
            <v>13</v>
          </cell>
          <cell r="R117">
            <v>2</v>
          </cell>
          <cell r="S117">
            <v>65</v>
          </cell>
          <cell r="T117">
            <v>0</v>
          </cell>
          <cell r="U117">
            <v>65</v>
          </cell>
          <cell r="V117">
            <v>107</v>
          </cell>
          <cell r="W117" t="str">
            <v>사업의 배경 및 문제 해결의 필요성은 비교적 명확하게 작성되었습니다. 
다만, 객관적인 시장 규모 데이터와 실질적인 고객 피드백 증빙이 다소 제한적으로 제시되었습니다. 기술 확보 의지는 뚜렷하나, 실제 시장 안착 가능성에 대해서는 면밀한 보완이 요구됩니</v>
          </cell>
        </row>
        <row r="118">
          <cell r="B118">
            <v>20425984</v>
          </cell>
          <cell r="C118" t="str">
            <v>지역기반</v>
          </cell>
          <cell r="D118" t="str">
            <v>화공ㆍ섬유</v>
          </cell>
          <cell r="E118" t="str">
            <v>수요는 있고 브랜드는 없는 율무 화장품의 글로벌 직진출 사업화</v>
          </cell>
          <cell r="F118" t="str">
            <v>1,759,756</v>
          </cell>
          <cell r="G118" t="str">
            <v>0</v>
          </cell>
          <cell r="H118" t="str">
            <v>초기</v>
          </cell>
          <cell r="I118" t="str">
            <v>청년</v>
          </cell>
          <cell r="J118">
            <v>0</v>
          </cell>
          <cell r="K118">
            <v>9</v>
          </cell>
          <cell r="L118">
            <v>8</v>
          </cell>
          <cell r="M118">
            <v>8</v>
          </cell>
          <cell r="N118">
            <v>9</v>
          </cell>
          <cell r="O118">
            <v>6</v>
          </cell>
          <cell r="P118">
            <v>8</v>
          </cell>
          <cell r="Q118">
            <v>14</v>
          </cell>
          <cell r="R118">
            <v>3</v>
          </cell>
          <cell r="S118">
            <v>65</v>
          </cell>
          <cell r="T118">
            <v>0</v>
          </cell>
          <cell r="U118">
            <v>65</v>
          </cell>
          <cell r="V118">
            <v>107</v>
          </cell>
          <cell r="W118" t="str">
            <v>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v>
          </cell>
        </row>
        <row r="119">
          <cell r="B119">
            <v>20431143</v>
          </cell>
          <cell r="C119" t="str">
            <v>지역기반</v>
          </cell>
          <cell r="D119" t="str">
            <v>화공ㆍ섬유</v>
          </cell>
          <cell r="E119" t="str">
            <v>멀티유즈 프리미엄 라이프케어 제품 개발 및 브랜드 사업화</v>
          </cell>
          <cell r="F119" t="str">
            <v>0</v>
          </cell>
          <cell r="G119" t="str">
            <v>0</v>
          </cell>
          <cell r="H119" t="str">
            <v>초기</v>
          </cell>
          <cell r="I119" t="str">
            <v>청년</v>
          </cell>
          <cell r="J119">
            <v>0</v>
          </cell>
          <cell r="K119">
            <v>9</v>
          </cell>
          <cell r="L119">
            <v>8</v>
          </cell>
          <cell r="M119">
            <v>8</v>
          </cell>
          <cell r="N119">
            <v>9</v>
          </cell>
          <cell r="O119">
            <v>6</v>
          </cell>
          <cell r="P119">
            <v>8</v>
          </cell>
          <cell r="Q119">
            <v>14</v>
          </cell>
          <cell r="R119">
            <v>3</v>
          </cell>
          <cell r="S119">
            <v>65</v>
          </cell>
          <cell r="T119">
            <v>0</v>
          </cell>
          <cell r="U119">
            <v>65</v>
          </cell>
          <cell r="V119">
            <v>107</v>
          </cell>
          <cell r="W119" t="str">
            <v>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v>
          </cell>
        </row>
        <row r="120">
          <cell r="B120">
            <v>20423688</v>
          </cell>
          <cell r="C120" t="str">
            <v>지역기반</v>
          </cell>
          <cell r="D120" t="str">
            <v>화공ㆍ섬유</v>
          </cell>
          <cell r="E120" t="str">
            <v>즉각적 피부 심미성 개선 효과를 부여하는 스킨케어 브랜드</v>
          </cell>
          <cell r="F120" t="str">
            <v>0</v>
          </cell>
          <cell r="G120" t="str">
            <v>1</v>
          </cell>
          <cell r="H120" t="str">
            <v>초기</v>
          </cell>
          <cell r="I120" t="str">
            <v>중장년</v>
          </cell>
          <cell r="J120">
            <v>0</v>
          </cell>
          <cell r="K120">
            <v>8</v>
          </cell>
          <cell r="L120">
            <v>8</v>
          </cell>
          <cell r="M120">
            <v>8</v>
          </cell>
          <cell r="N120">
            <v>8</v>
          </cell>
          <cell r="O120">
            <v>6</v>
          </cell>
          <cell r="P120">
            <v>8</v>
          </cell>
          <cell r="Q120">
            <v>14</v>
          </cell>
          <cell r="R120">
            <v>4</v>
          </cell>
          <cell r="S120">
            <v>64</v>
          </cell>
          <cell r="T120">
            <v>0</v>
          </cell>
          <cell r="U120">
            <v>64</v>
          </cell>
          <cell r="V120">
            <v>113</v>
          </cell>
          <cell r="W120" t="str">
            <v>사업의 배경 및 문제 해결의 필요성은 비교적 명확하게 작성되었습니다. 다만, 객관적인 시장 규모 데이터와 실질적인 고객 피드백 증빙이 다소 제한적으로 제시되었습니다. 기술 확보 의지는 뚜렷하나, 실제 시장 안착 가능성에 대해서는 면밀한 보완이 요구됩니다.</v>
          </cell>
        </row>
        <row r="121">
          <cell r="B121">
            <v>20426252</v>
          </cell>
          <cell r="C121" t="str">
            <v>지역기반</v>
          </cell>
          <cell r="D121" t="str">
            <v>화공ㆍ섬유</v>
          </cell>
          <cell r="E121" t="str">
            <v>지속적인 음용이 가능하도록 기획된 라이프스타일형 소용량 블렌드 과·채즙</v>
          </cell>
          <cell r="F121" t="str">
            <v>48,000,000</v>
          </cell>
          <cell r="G121" t="str">
            <v>0</v>
          </cell>
          <cell r="H121" t="str">
            <v>초기</v>
          </cell>
          <cell r="I121" t="str">
            <v>중장년</v>
          </cell>
          <cell r="J121">
            <v>0</v>
          </cell>
          <cell r="K121">
            <v>9</v>
          </cell>
          <cell r="L121">
            <v>8</v>
          </cell>
          <cell r="M121">
            <v>8</v>
          </cell>
          <cell r="N121">
            <v>8</v>
          </cell>
          <cell r="O121">
            <v>6</v>
          </cell>
          <cell r="P121">
            <v>8</v>
          </cell>
          <cell r="Q121">
            <v>14</v>
          </cell>
          <cell r="R121">
            <v>3</v>
          </cell>
          <cell r="S121">
            <v>64</v>
          </cell>
          <cell r="T121">
            <v>0</v>
          </cell>
          <cell r="U121">
            <v>64</v>
          </cell>
          <cell r="V121">
            <v>113</v>
          </cell>
          <cell r="W121" t="str">
            <v xml:space="preserve">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v>
          </cell>
        </row>
        <row r="122">
          <cell r="B122">
            <v>20430628</v>
          </cell>
          <cell r="C122" t="str">
            <v>지역기반</v>
          </cell>
          <cell r="D122" t="str">
            <v>화공ㆍ섬유</v>
          </cell>
          <cell r="E122" t="str">
            <v>째피 저속노화 바디 루틴</v>
          </cell>
          <cell r="F122" t="str">
            <v>0</v>
          </cell>
          <cell r="G122" t="str">
            <v>0</v>
          </cell>
          <cell r="H122" t="str">
            <v>초기</v>
          </cell>
          <cell r="I122" t="str">
            <v>중장년</v>
          </cell>
          <cell r="J122">
            <v>0</v>
          </cell>
          <cell r="K122">
            <v>8</v>
          </cell>
          <cell r="L122">
            <v>8</v>
          </cell>
          <cell r="M122">
            <v>7</v>
          </cell>
          <cell r="N122">
            <v>8</v>
          </cell>
          <cell r="O122">
            <v>7</v>
          </cell>
          <cell r="P122">
            <v>8</v>
          </cell>
          <cell r="Q122">
            <v>14</v>
          </cell>
          <cell r="R122">
            <v>4</v>
          </cell>
          <cell r="S122">
            <v>64</v>
          </cell>
          <cell r="T122">
            <v>0</v>
          </cell>
          <cell r="U122">
            <v>64</v>
          </cell>
          <cell r="V122">
            <v>113</v>
          </cell>
          <cell r="W122" t="str">
            <v xml:space="preserve">현재의 기술 성숙도와 최종 목표치 사이의 경계가 모호한 측면이 있습니다. 
세부적인 매출 파이프라인과 실질적인 시장 침투전략은 구체화가 필요해 보입니다. </v>
          </cell>
        </row>
        <row r="123">
          <cell r="B123">
            <v>20421393</v>
          </cell>
          <cell r="C123" t="str">
            <v>대학발</v>
          </cell>
          <cell r="D123" t="str">
            <v>화공ㆍ섬유</v>
          </cell>
          <cell r="E123" t="str">
            <v>AI, IOT 다중시설 환경 위생관리 솔루션</v>
          </cell>
          <cell r="F123" t="str">
            <v>0</v>
          </cell>
          <cell r="G123" t="str">
            <v>0</v>
          </cell>
          <cell r="H123" t="str">
            <v>예비</v>
          </cell>
          <cell r="I123" t="str">
            <v>청년</v>
          </cell>
          <cell r="J123" t="str">
            <v>요건탈락</v>
          </cell>
          <cell r="S123" t="str">
            <v/>
          </cell>
          <cell r="T123">
            <v>0</v>
          </cell>
          <cell r="U123" t="str">
            <v/>
          </cell>
          <cell r="V123" t="str">
            <v/>
          </cell>
        </row>
        <row r="124">
          <cell r="B124">
            <v>20401269</v>
          </cell>
          <cell r="C124" t="str">
            <v>지역기반</v>
          </cell>
          <cell r="D124" t="str">
            <v>화공ㆍ섬유</v>
          </cell>
          <cell r="E124" t="str">
            <v>수상 스포츠 이후 아로마테라피를 활용한 ‘After-Water Ritual’ 스킨케어 브랜드</v>
          </cell>
          <cell r="F124" t="str">
            <v>41,352,356</v>
          </cell>
          <cell r="G124" t="str">
            <v>0</v>
          </cell>
          <cell r="H124" t="str">
            <v>초기</v>
          </cell>
          <cell r="I124" t="str">
            <v>청년</v>
          </cell>
          <cell r="J124" t="str">
            <v>면제</v>
          </cell>
          <cell r="S124" t="str">
            <v/>
          </cell>
          <cell r="T124">
            <v>0</v>
          </cell>
          <cell r="U124">
            <v>100</v>
          </cell>
          <cell r="V124" t="str">
            <v/>
          </cell>
        </row>
        <row r="125">
          <cell r="B125">
            <v>20424839</v>
          </cell>
          <cell r="C125" t="str">
            <v>지역기반</v>
          </cell>
          <cell r="D125" t="str">
            <v>화공ㆍ섬유</v>
          </cell>
          <cell r="E125" t="str">
            <v>옷장 속 미술관 : 입는 예술, 글로벌 아트웨어 브랜드 사업화</v>
          </cell>
          <cell r="F125" t="str">
            <v>71,776,812</v>
          </cell>
          <cell r="G125" t="str">
            <v>3</v>
          </cell>
          <cell r="H125" t="str">
            <v>초기</v>
          </cell>
          <cell r="I125" t="str">
            <v>청년</v>
          </cell>
          <cell r="J125" t="str">
            <v>면제</v>
          </cell>
          <cell r="S125" t="str">
            <v/>
          </cell>
          <cell r="T125">
            <v>0</v>
          </cell>
          <cell r="U125">
            <v>100</v>
          </cell>
          <cell r="V125" t="str">
            <v/>
          </cell>
        </row>
        <row r="126">
          <cell r="B126">
            <v>20428258</v>
          </cell>
          <cell r="C126" t="str">
            <v>지역기반</v>
          </cell>
          <cell r="D126" t="str">
            <v>화공ㆍ섬유</v>
          </cell>
          <cell r="E126" t="str">
            <v>친환경 원천 소재 기술 기반의 제로 웨이스트 브랜드 고도화 솔루션</v>
          </cell>
          <cell r="F126" t="str">
            <v>27,818,182</v>
          </cell>
          <cell r="G126" t="str">
            <v>1</v>
          </cell>
          <cell r="H126" t="str">
            <v>초기</v>
          </cell>
          <cell r="I126" t="str">
            <v>청년</v>
          </cell>
          <cell r="J126" t="str">
            <v>면제</v>
          </cell>
          <cell r="S126" t="str">
            <v/>
          </cell>
          <cell r="T126">
            <v>0</v>
          </cell>
          <cell r="U126">
            <v>100</v>
          </cell>
          <cell r="V126" t="str">
            <v/>
          </cell>
        </row>
        <row r="127">
          <cell r="B127">
            <v>20429258</v>
          </cell>
          <cell r="C127" t="str">
            <v>대학발</v>
          </cell>
          <cell r="D127" t="str">
            <v>화공ㆍ섬유</v>
          </cell>
          <cell r="E127" t="str">
            <v>피부를 숨기지 않아도 되는 안심 베이스</v>
          </cell>
          <cell r="F127" t="str">
            <v>150,000,000</v>
          </cell>
          <cell r="G127" t="str">
            <v>1</v>
          </cell>
          <cell r="H127" t="str">
            <v>초기</v>
          </cell>
          <cell r="I127" t="str">
            <v>청년</v>
          </cell>
          <cell r="J127" t="str">
            <v>요건탈락</v>
          </cell>
          <cell r="S127" t="str">
            <v/>
          </cell>
          <cell r="T127">
            <v>0</v>
          </cell>
          <cell r="U127" t="str">
            <v/>
          </cell>
          <cell r="V127" t="str">
            <v/>
          </cell>
        </row>
        <row r="128">
          <cell r="B128">
            <v>20410202</v>
          </cell>
          <cell r="C128" t="str">
            <v>지역기반</v>
          </cell>
          <cell r="D128" t="str">
            <v>화공ㆍ섬유</v>
          </cell>
          <cell r="E128" t="str">
            <v>AI 기반 고급 가죽 잡화 맞춤 제작 솔루션</v>
          </cell>
          <cell r="F128" t="str">
            <v>210,766,110</v>
          </cell>
          <cell r="G128" t="str">
            <v>4</v>
          </cell>
          <cell r="H128" t="str">
            <v>도약</v>
          </cell>
          <cell r="I128" t="str">
            <v>청년</v>
          </cell>
          <cell r="J128" t="str">
            <v>면제</v>
          </cell>
          <cell r="S128" t="str">
            <v/>
          </cell>
          <cell r="T128">
            <v>0</v>
          </cell>
          <cell r="U128">
            <v>100</v>
          </cell>
          <cell r="V128" t="str">
            <v/>
          </cell>
        </row>
        <row r="129">
          <cell r="B129">
            <v>20414167</v>
          </cell>
          <cell r="C129" t="str">
            <v>지역기반</v>
          </cell>
          <cell r="D129" t="str">
            <v>화공ㆍ섬유</v>
          </cell>
          <cell r="E129" t="str">
            <v>다층 복합 구조 레이저 방호 원단을 활용한 경량형 레이저 보호복</v>
          </cell>
          <cell r="F129" t="str">
            <v>1,177,000,000</v>
          </cell>
          <cell r="G129" t="str">
            <v>8</v>
          </cell>
          <cell r="H129" t="str">
            <v>도약</v>
          </cell>
          <cell r="I129" t="str">
            <v>청년</v>
          </cell>
          <cell r="J129" t="str">
            <v>면제</v>
          </cell>
          <cell r="S129" t="str">
            <v/>
          </cell>
          <cell r="T129">
            <v>0</v>
          </cell>
          <cell r="U129">
            <v>100</v>
          </cell>
          <cell r="V129" t="str">
            <v/>
          </cell>
        </row>
        <row r="130">
          <cell r="C130" t="str">
            <v/>
          </cell>
          <cell r="D130" t="str">
            <v/>
          </cell>
          <cell r="E130" t="str">
            <v/>
          </cell>
          <cell r="F130" t="str">
            <v/>
          </cell>
          <cell r="G130" t="str">
            <v/>
          </cell>
          <cell r="H130" t="str">
            <v/>
          </cell>
          <cell r="I130" t="str">
            <v/>
          </cell>
          <cell r="J130" t="str">
            <v/>
          </cell>
          <cell r="S130">
            <v>0</v>
          </cell>
          <cell r="T130" t="str">
            <v/>
          </cell>
          <cell r="U130" t="str">
            <v/>
          </cell>
          <cell r="V130" t="str">
            <v/>
          </cell>
        </row>
        <row r="131">
          <cell r="C131" t="str">
            <v/>
          </cell>
          <cell r="D131" t="str">
            <v/>
          </cell>
          <cell r="E131" t="str">
            <v/>
          </cell>
          <cell r="F131" t="str">
            <v/>
          </cell>
          <cell r="G131" t="str">
            <v/>
          </cell>
          <cell r="H131" t="str">
            <v/>
          </cell>
          <cell r="I131" t="str">
            <v/>
          </cell>
          <cell r="J131" t="str">
            <v/>
          </cell>
          <cell r="S131">
            <v>0</v>
          </cell>
          <cell r="T131" t="str">
            <v/>
          </cell>
          <cell r="U131" t="str">
            <v/>
          </cell>
          <cell r="V131" t="str">
            <v/>
          </cell>
        </row>
        <row r="132">
          <cell r="C132" t="str">
            <v/>
          </cell>
          <cell r="D132" t="str">
            <v/>
          </cell>
          <cell r="E132" t="str">
            <v/>
          </cell>
          <cell r="F132" t="str">
            <v/>
          </cell>
          <cell r="G132" t="str">
            <v/>
          </cell>
          <cell r="H132" t="str">
            <v/>
          </cell>
          <cell r="I132" t="str">
            <v/>
          </cell>
          <cell r="J132" t="str">
            <v/>
          </cell>
          <cell r="S132">
            <v>0</v>
          </cell>
          <cell r="T132" t="str">
            <v/>
          </cell>
          <cell r="U132" t="str">
            <v/>
          </cell>
          <cell r="V132" t="str">
            <v/>
          </cell>
        </row>
        <row r="133">
          <cell r="C133" t="str">
            <v/>
          </cell>
          <cell r="D133" t="str">
            <v/>
          </cell>
          <cell r="E133" t="str">
            <v/>
          </cell>
          <cell r="F133" t="str">
            <v/>
          </cell>
          <cell r="G133" t="str">
            <v/>
          </cell>
          <cell r="H133" t="str">
            <v/>
          </cell>
          <cell r="I133" t="str">
            <v/>
          </cell>
          <cell r="J133" t="str">
            <v/>
          </cell>
          <cell r="S133">
            <v>0</v>
          </cell>
          <cell r="T133" t="str">
            <v/>
          </cell>
          <cell r="U133" t="str">
            <v/>
          </cell>
          <cell r="V133" t="str">
            <v/>
          </cell>
        </row>
        <row r="134">
          <cell r="C134" t="str">
            <v/>
          </cell>
          <cell r="D134" t="str">
            <v/>
          </cell>
          <cell r="E134" t="str">
            <v/>
          </cell>
          <cell r="F134" t="str">
            <v/>
          </cell>
          <cell r="G134" t="str">
            <v/>
          </cell>
          <cell r="H134" t="str">
            <v/>
          </cell>
          <cell r="I134" t="str">
            <v/>
          </cell>
          <cell r="J134" t="str">
            <v/>
          </cell>
          <cell r="S134">
            <v>0</v>
          </cell>
          <cell r="T134" t="str">
            <v/>
          </cell>
          <cell r="U134" t="str">
            <v/>
          </cell>
          <cell r="V134" t="str">
            <v/>
          </cell>
        </row>
        <row r="135">
          <cell r="C135" t="str">
            <v/>
          </cell>
          <cell r="D135" t="str">
            <v/>
          </cell>
          <cell r="E135" t="str">
            <v/>
          </cell>
          <cell r="F135" t="str">
            <v/>
          </cell>
          <cell r="G135" t="str">
            <v/>
          </cell>
          <cell r="H135" t="str">
            <v/>
          </cell>
          <cell r="I135" t="str">
            <v/>
          </cell>
          <cell r="J135" t="str">
            <v/>
          </cell>
          <cell r="S135">
            <v>0</v>
          </cell>
          <cell r="T135" t="str">
            <v/>
          </cell>
          <cell r="U135" t="str">
            <v/>
          </cell>
          <cell r="V135" t="str">
            <v/>
          </cell>
        </row>
        <row r="136">
          <cell r="C136" t="str">
            <v/>
          </cell>
          <cell r="D136" t="str">
            <v/>
          </cell>
          <cell r="E136" t="str">
            <v/>
          </cell>
          <cell r="F136" t="str">
            <v/>
          </cell>
          <cell r="G136" t="str">
            <v/>
          </cell>
          <cell r="H136" t="str">
            <v/>
          </cell>
          <cell r="I136" t="str">
            <v/>
          </cell>
          <cell r="J136" t="str">
            <v/>
          </cell>
          <cell r="S136">
            <v>0</v>
          </cell>
          <cell r="T136" t="str">
            <v/>
          </cell>
          <cell r="U136" t="str">
            <v/>
          </cell>
          <cell r="V136" t="str">
            <v/>
          </cell>
        </row>
        <row r="137">
          <cell r="C137" t="str">
            <v/>
          </cell>
          <cell r="D137" t="str">
            <v/>
          </cell>
          <cell r="E137" t="str">
            <v/>
          </cell>
          <cell r="F137" t="str">
            <v/>
          </cell>
          <cell r="G137" t="str">
            <v/>
          </cell>
          <cell r="H137" t="str">
            <v/>
          </cell>
          <cell r="I137" t="str">
            <v/>
          </cell>
          <cell r="J137" t="str">
            <v/>
          </cell>
          <cell r="S137">
            <v>0</v>
          </cell>
          <cell r="T137" t="str">
            <v/>
          </cell>
          <cell r="U137" t="str">
            <v/>
          </cell>
          <cell r="V137" t="str">
            <v/>
          </cell>
        </row>
        <row r="138">
          <cell r="C138" t="str">
            <v/>
          </cell>
          <cell r="D138" t="str">
            <v/>
          </cell>
          <cell r="E138" t="str">
            <v/>
          </cell>
          <cell r="F138" t="str">
            <v/>
          </cell>
          <cell r="G138" t="str">
            <v/>
          </cell>
          <cell r="H138" t="str">
            <v/>
          </cell>
          <cell r="I138" t="str">
            <v/>
          </cell>
          <cell r="J138" t="str">
            <v/>
          </cell>
          <cell r="S138">
            <v>0</v>
          </cell>
          <cell r="T138" t="str">
            <v/>
          </cell>
          <cell r="U138" t="str">
            <v/>
          </cell>
          <cell r="V138" t="str">
            <v/>
          </cell>
        </row>
        <row r="139">
          <cell r="C139" t="str">
            <v/>
          </cell>
          <cell r="D139" t="str">
            <v/>
          </cell>
          <cell r="E139" t="str">
            <v/>
          </cell>
          <cell r="F139" t="str">
            <v/>
          </cell>
          <cell r="G139" t="str">
            <v/>
          </cell>
          <cell r="H139" t="str">
            <v/>
          </cell>
          <cell r="I139" t="str">
            <v/>
          </cell>
          <cell r="J139" t="str">
            <v/>
          </cell>
          <cell r="S139">
            <v>0</v>
          </cell>
          <cell r="T139" t="str">
            <v/>
          </cell>
          <cell r="U139" t="str">
            <v/>
          </cell>
          <cell r="V139" t="str">
            <v/>
          </cell>
        </row>
        <row r="140">
          <cell r="C140" t="str">
            <v/>
          </cell>
          <cell r="D140" t="str">
            <v/>
          </cell>
          <cell r="E140" t="str">
            <v/>
          </cell>
          <cell r="F140" t="str">
            <v/>
          </cell>
          <cell r="G140" t="str">
            <v/>
          </cell>
          <cell r="H140" t="str">
            <v/>
          </cell>
          <cell r="I140" t="str">
            <v/>
          </cell>
          <cell r="J140" t="str">
            <v/>
          </cell>
          <cell r="S140">
            <v>0</v>
          </cell>
          <cell r="T140" t="str">
            <v/>
          </cell>
          <cell r="U140" t="str">
            <v/>
          </cell>
          <cell r="V140" t="str">
            <v/>
          </cell>
        </row>
        <row r="141">
          <cell r="C141" t="str">
            <v/>
          </cell>
          <cell r="D141" t="str">
            <v/>
          </cell>
          <cell r="E141" t="str">
            <v/>
          </cell>
          <cell r="F141" t="str">
            <v/>
          </cell>
          <cell r="G141" t="str">
            <v/>
          </cell>
          <cell r="H141" t="str">
            <v/>
          </cell>
          <cell r="I141" t="str">
            <v/>
          </cell>
          <cell r="J141" t="str">
            <v/>
          </cell>
          <cell r="S141">
            <v>0</v>
          </cell>
          <cell r="T141" t="str">
            <v/>
          </cell>
          <cell r="U141" t="str">
            <v/>
          </cell>
          <cell r="V141" t="str">
            <v/>
          </cell>
        </row>
        <row r="142">
          <cell r="C142" t="str">
            <v/>
          </cell>
          <cell r="D142" t="str">
            <v/>
          </cell>
          <cell r="E142" t="str">
            <v/>
          </cell>
          <cell r="F142" t="str">
            <v/>
          </cell>
          <cell r="G142" t="str">
            <v/>
          </cell>
          <cell r="H142" t="str">
            <v/>
          </cell>
          <cell r="I142" t="str">
            <v/>
          </cell>
          <cell r="J142" t="str">
            <v/>
          </cell>
          <cell r="S142">
            <v>0</v>
          </cell>
          <cell r="T142" t="str">
            <v/>
          </cell>
          <cell r="U142" t="str">
            <v/>
          </cell>
          <cell r="V142" t="str">
            <v/>
          </cell>
        </row>
        <row r="143">
          <cell r="C143" t="str">
            <v/>
          </cell>
          <cell r="D143" t="str">
            <v/>
          </cell>
          <cell r="E143" t="str">
            <v/>
          </cell>
          <cell r="F143" t="str">
            <v/>
          </cell>
          <cell r="G143" t="str">
            <v/>
          </cell>
          <cell r="H143" t="str">
            <v/>
          </cell>
          <cell r="I143" t="str">
            <v/>
          </cell>
          <cell r="J143" t="str">
            <v/>
          </cell>
          <cell r="S143">
            <v>0</v>
          </cell>
          <cell r="T143" t="str">
            <v/>
          </cell>
          <cell r="U143" t="str">
            <v/>
          </cell>
          <cell r="V143" t="str">
            <v/>
          </cell>
        </row>
        <row r="144">
          <cell r="C144" t="str">
            <v/>
          </cell>
          <cell r="D144" t="str">
            <v/>
          </cell>
          <cell r="E144" t="str">
            <v/>
          </cell>
          <cell r="F144" t="str">
            <v/>
          </cell>
          <cell r="G144" t="str">
            <v/>
          </cell>
          <cell r="H144" t="str">
            <v/>
          </cell>
          <cell r="I144" t="str">
            <v/>
          </cell>
          <cell r="J144" t="str">
            <v/>
          </cell>
          <cell r="S144">
            <v>0</v>
          </cell>
          <cell r="T144" t="str">
            <v/>
          </cell>
          <cell r="U144" t="str">
            <v/>
          </cell>
          <cell r="V144" t="str">
            <v/>
          </cell>
        </row>
        <row r="145">
          <cell r="C145" t="str">
            <v/>
          </cell>
          <cell r="D145" t="str">
            <v/>
          </cell>
          <cell r="E145" t="str">
            <v/>
          </cell>
          <cell r="F145" t="str">
            <v/>
          </cell>
          <cell r="G145" t="str">
            <v/>
          </cell>
          <cell r="H145" t="str">
            <v/>
          </cell>
          <cell r="I145" t="str">
            <v/>
          </cell>
          <cell r="J145" t="str">
            <v/>
          </cell>
          <cell r="S145">
            <v>0</v>
          </cell>
          <cell r="T145" t="str">
            <v/>
          </cell>
          <cell r="U145" t="str">
            <v/>
          </cell>
          <cell r="V145" t="str">
            <v/>
          </cell>
        </row>
        <row r="146">
          <cell r="C146" t="str">
            <v/>
          </cell>
          <cell r="D146" t="str">
            <v/>
          </cell>
          <cell r="E146" t="str">
            <v/>
          </cell>
          <cell r="F146" t="str">
            <v/>
          </cell>
          <cell r="G146" t="str">
            <v/>
          </cell>
          <cell r="H146" t="str">
            <v/>
          </cell>
          <cell r="I146" t="str">
            <v/>
          </cell>
          <cell r="J146" t="str">
            <v/>
          </cell>
          <cell r="S146">
            <v>0</v>
          </cell>
          <cell r="T146" t="str">
            <v/>
          </cell>
          <cell r="U146" t="str">
            <v/>
          </cell>
          <cell r="V146" t="str">
            <v/>
          </cell>
        </row>
        <row r="147">
          <cell r="C147" t="str">
            <v/>
          </cell>
          <cell r="D147" t="str">
            <v/>
          </cell>
          <cell r="E147" t="str">
            <v/>
          </cell>
          <cell r="F147" t="str">
            <v/>
          </cell>
          <cell r="G147" t="str">
            <v/>
          </cell>
          <cell r="H147" t="str">
            <v/>
          </cell>
          <cell r="I147" t="str">
            <v/>
          </cell>
          <cell r="J147" t="str">
            <v/>
          </cell>
          <cell r="S147">
            <v>0</v>
          </cell>
          <cell r="T147" t="str">
            <v/>
          </cell>
          <cell r="U147" t="str">
            <v/>
          </cell>
          <cell r="V147" t="str">
            <v/>
          </cell>
        </row>
        <row r="148">
          <cell r="C148" t="str">
            <v/>
          </cell>
          <cell r="D148" t="str">
            <v/>
          </cell>
          <cell r="E148" t="str">
            <v/>
          </cell>
          <cell r="F148" t="str">
            <v/>
          </cell>
          <cell r="G148" t="str">
            <v/>
          </cell>
          <cell r="H148" t="str">
            <v/>
          </cell>
          <cell r="I148" t="str">
            <v/>
          </cell>
          <cell r="J148" t="str">
            <v/>
          </cell>
          <cell r="S148">
            <v>0</v>
          </cell>
          <cell r="T148" t="str">
            <v/>
          </cell>
          <cell r="U148" t="str">
            <v/>
          </cell>
          <cell r="V148" t="str">
            <v/>
          </cell>
        </row>
        <row r="149">
          <cell r="C149" t="str">
            <v/>
          </cell>
          <cell r="D149" t="str">
            <v/>
          </cell>
          <cell r="E149" t="str">
            <v/>
          </cell>
          <cell r="F149" t="str">
            <v/>
          </cell>
          <cell r="G149" t="str">
            <v/>
          </cell>
          <cell r="H149" t="str">
            <v/>
          </cell>
          <cell r="I149" t="str">
            <v/>
          </cell>
          <cell r="J149" t="str">
            <v/>
          </cell>
          <cell r="S149">
            <v>0</v>
          </cell>
          <cell r="T149" t="str">
            <v/>
          </cell>
          <cell r="U149" t="str">
            <v/>
          </cell>
          <cell r="V149" t="str">
            <v/>
          </cell>
        </row>
        <row r="150">
          <cell r="C150" t="str">
            <v/>
          </cell>
          <cell r="D150" t="str">
            <v/>
          </cell>
          <cell r="E150" t="str">
            <v/>
          </cell>
          <cell r="F150" t="str">
            <v/>
          </cell>
          <cell r="G150" t="str">
            <v/>
          </cell>
          <cell r="H150" t="str">
            <v/>
          </cell>
          <cell r="I150" t="str">
            <v/>
          </cell>
          <cell r="J150" t="str">
            <v/>
          </cell>
          <cell r="S150">
            <v>0</v>
          </cell>
          <cell r="T150" t="str">
            <v/>
          </cell>
          <cell r="U150" t="str">
            <v/>
          </cell>
          <cell r="V150" t="str">
            <v/>
          </cell>
        </row>
        <row r="151">
          <cell r="C151" t="str">
            <v/>
          </cell>
          <cell r="D151" t="str">
            <v/>
          </cell>
          <cell r="E151" t="str">
            <v/>
          </cell>
          <cell r="F151" t="str">
            <v/>
          </cell>
          <cell r="G151" t="str">
            <v/>
          </cell>
          <cell r="H151" t="str">
            <v/>
          </cell>
          <cell r="I151" t="str">
            <v/>
          </cell>
          <cell r="J151" t="str">
            <v/>
          </cell>
          <cell r="S151">
            <v>0</v>
          </cell>
          <cell r="T151" t="str">
            <v/>
          </cell>
          <cell r="U151" t="str">
            <v/>
          </cell>
          <cell r="V151" t="str">
            <v/>
          </cell>
        </row>
        <row r="152">
          <cell r="C152" t="str">
            <v/>
          </cell>
          <cell r="D152" t="str">
            <v/>
          </cell>
          <cell r="E152" t="str">
            <v/>
          </cell>
          <cell r="F152" t="str">
            <v/>
          </cell>
          <cell r="G152" t="str">
            <v/>
          </cell>
          <cell r="H152" t="str">
            <v/>
          </cell>
          <cell r="I152" t="str">
            <v/>
          </cell>
          <cell r="J152" t="str">
            <v/>
          </cell>
          <cell r="S152">
            <v>0</v>
          </cell>
          <cell r="T152" t="str">
            <v/>
          </cell>
          <cell r="U152" t="str">
            <v/>
          </cell>
          <cell r="V152" t="str">
            <v/>
          </cell>
        </row>
        <row r="153">
          <cell r="C153" t="str">
            <v/>
          </cell>
          <cell r="D153" t="str">
            <v/>
          </cell>
          <cell r="E153" t="str">
            <v/>
          </cell>
          <cell r="F153" t="str">
            <v/>
          </cell>
          <cell r="G153" t="str">
            <v/>
          </cell>
          <cell r="H153" t="str">
            <v/>
          </cell>
          <cell r="I153" t="str">
            <v/>
          </cell>
          <cell r="J153" t="str">
            <v/>
          </cell>
          <cell r="S153">
            <v>0</v>
          </cell>
          <cell r="T153" t="str">
            <v/>
          </cell>
          <cell r="U153" t="str">
            <v/>
          </cell>
          <cell r="V153" t="str">
            <v/>
          </cell>
        </row>
        <row r="154">
          <cell r="C154" t="str">
            <v/>
          </cell>
          <cell r="D154" t="str">
            <v/>
          </cell>
          <cell r="E154" t="str">
            <v/>
          </cell>
          <cell r="F154" t="str">
            <v/>
          </cell>
          <cell r="G154" t="str">
            <v/>
          </cell>
          <cell r="H154" t="str">
            <v/>
          </cell>
          <cell r="I154" t="str">
            <v/>
          </cell>
          <cell r="J154" t="str">
            <v/>
          </cell>
          <cell r="S154">
            <v>0</v>
          </cell>
          <cell r="T154" t="str">
            <v/>
          </cell>
          <cell r="U154" t="str">
            <v/>
          </cell>
          <cell r="V154" t="str">
            <v/>
          </cell>
        </row>
        <row r="155">
          <cell r="C155" t="str">
            <v/>
          </cell>
          <cell r="D155" t="str">
            <v/>
          </cell>
          <cell r="E155" t="str">
            <v/>
          </cell>
          <cell r="F155" t="str">
            <v/>
          </cell>
          <cell r="G155" t="str">
            <v/>
          </cell>
          <cell r="H155" t="str">
            <v/>
          </cell>
          <cell r="I155" t="str">
            <v/>
          </cell>
          <cell r="J155" t="str">
            <v/>
          </cell>
          <cell r="S155">
            <v>0</v>
          </cell>
          <cell r="T155" t="str">
            <v/>
          </cell>
          <cell r="U155" t="str">
            <v/>
          </cell>
          <cell r="V155" t="str">
            <v/>
          </cell>
        </row>
        <row r="156">
          <cell r="C156" t="str">
            <v/>
          </cell>
          <cell r="D156" t="str">
            <v/>
          </cell>
          <cell r="E156" t="str">
            <v/>
          </cell>
          <cell r="F156" t="str">
            <v/>
          </cell>
          <cell r="G156" t="str">
            <v/>
          </cell>
          <cell r="H156" t="str">
            <v/>
          </cell>
          <cell r="I156" t="str">
            <v/>
          </cell>
          <cell r="J156" t="str">
            <v/>
          </cell>
          <cell r="S156">
            <v>0</v>
          </cell>
          <cell r="T156" t="str">
            <v/>
          </cell>
          <cell r="U156" t="str">
            <v/>
          </cell>
          <cell r="V156" t="str">
            <v/>
          </cell>
        </row>
        <row r="157">
          <cell r="C157" t="str">
            <v/>
          </cell>
          <cell r="D157" t="str">
            <v/>
          </cell>
          <cell r="E157" t="str">
            <v/>
          </cell>
          <cell r="F157" t="str">
            <v/>
          </cell>
          <cell r="G157" t="str">
            <v/>
          </cell>
          <cell r="H157" t="str">
            <v/>
          </cell>
          <cell r="I157" t="str">
            <v/>
          </cell>
          <cell r="J157" t="str">
            <v/>
          </cell>
          <cell r="S157">
            <v>0</v>
          </cell>
          <cell r="T157" t="str">
            <v/>
          </cell>
          <cell r="U157" t="str">
            <v/>
          </cell>
          <cell r="V157" t="str">
            <v/>
          </cell>
        </row>
        <row r="158">
          <cell r="C158" t="str">
            <v/>
          </cell>
          <cell r="D158" t="str">
            <v/>
          </cell>
          <cell r="E158" t="str">
            <v/>
          </cell>
          <cell r="F158" t="str">
            <v/>
          </cell>
          <cell r="G158" t="str">
            <v/>
          </cell>
          <cell r="H158" t="str">
            <v/>
          </cell>
          <cell r="I158" t="str">
            <v/>
          </cell>
          <cell r="J158" t="str">
            <v/>
          </cell>
          <cell r="S158">
            <v>0</v>
          </cell>
          <cell r="T158" t="str">
            <v/>
          </cell>
          <cell r="U158" t="str">
            <v/>
          </cell>
          <cell r="V158" t="str">
            <v/>
          </cell>
        </row>
        <row r="159">
          <cell r="C159" t="str">
            <v/>
          </cell>
          <cell r="D159" t="str">
            <v/>
          </cell>
          <cell r="E159" t="str">
            <v/>
          </cell>
          <cell r="F159" t="str">
            <v/>
          </cell>
          <cell r="G159" t="str">
            <v/>
          </cell>
          <cell r="H159" t="str">
            <v/>
          </cell>
          <cell r="I159" t="str">
            <v/>
          </cell>
          <cell r="J159" t="str">
            <v/>
          </cell>
          <cell r="S159">
            <v>0</v>
          </cell>
          <cell r="T159" t="str">
            <v/>
          </cell>
          <cell r="U159" t="str">
            <v/>
          </cell>
          <cell r="V159" t="str">
            <v/>
          </cell>
        </row>
        <row r="160">
          <cell r="C160" t="str">
            <v/>
          </cell>
          <cell r="D160" t="str">
            <v/>
          </cell>
          <cell r="E160" t="str">
            <v/>
          </cell>
          <cell r="F160" t="str">
            <v/>
          </cell>
          <cell r="G160" t="str">
            <v/>
          </cell>
          <cell r="H160" t="str">
            <v/>
          </cell>
          <cell r="I160" t="str">
            <v/>
          </cell>
          <cell r="J160" t="str">
            <v/>
          </cell>
          <cell r="S160">
            <v>0</v>
          </cell>
          <cell r="T160" t="str">
            <v/>
          </cell>
          <cell r="U160" t="str">
            <v/>
          </cell>
          <cell r="V160" t="str">
            <v/>
          </cell>
        </row>
        <row r="161">
          <cell r="C161" t="str">
            <v/>
          </cell>
          <cell r="D161" t="str">
            <v/>
          </cell>
          <cell r="E161" t="str">
            <v/>
          </cell>
          <cell r="F161" t="str">
            <v/>
          </cell>
          <cell r="G161" t="str">
            <v/>
          </cell>
          <cell r="H161" t="str">
            <v/>
          </cell>
          <cell r="I161" t="str">
            <v/>
          </cell>
          <cell r="J161" t="str">
            <v/>
          </cell>
          <cell r="S161">
            <v>0</v>
          </cell>
          <cell r="T161" t="str">
            <v/>
          </cell>
          <cell r="U161" t="str">
            <v/>
          </cell>
          <cell r="V161" t="str">
            <v/>
          </cell>
        </row>
        <row r="162">
          <cell r="C162" t="str">
            <v/>
          </cell>
          <cell r="D162" t="str">
            <v/>
          </cell>
          <cell r="E162" t="str">
            <v/>
          </cell>
          <cell r="F162" t="str">
            <v/>
          </cell>
          <cell r="G162" t="str">
            <v/>
          </cell>
          <cell r="H162" t="str">
            <v/>
          </cell>
          <cell r="I162" t="str">
            <v/>
          </cell>
          <cell r="J162" t="str">
            <v/>
          </cell>
          <cell r="S162">
            <v>0</v>
          </cell>
          <cell r="T162" t="str">
            <v/>
          </cell>
          <cell r="U162" t="str">
            <v/>
          </cell>
          <cell r="V162" t="str">
            <v/>
          </cell>
        </row>
        <row r="163">
          <cell r="C163" t="str">
            <v/>
          </cell>
          <cell r="D163" t="str">
            <v/>
          </cell>
          <cell r="E163" t="str">
            <v/>
          </cell>
          <cell r="F163" t="str">
            <v/>
          </cell>
          <cell r="G163" t="str">
            <v/>
          </cell>
          <cell r="H163" t="str">
            <v/>
          </cell>
          <cell r="I163" t="str">
            <v/>
          </cell>
          <cell r="J163" t="str">
            <v/>
          </cell>
          <cell r="S163">
            <v>0</v>
          </cell>
          <cell r="T163" t="str">
            <v/>
          </cell>
          <cell r="U163" t="str">
            <v/>
          </cell>
          <cell r="V163" t="str">
            <v/>
          </cell>
        </row>
        <row r="164">
          <cell r="C164" t="str">
            <v/>
          </cell>
          <cell r="D164" t="str">
            <v/>
          </cell>
          <cell r="E164" t="str">
            <v/>
          </cell>
          <cell r="F164" t="str">
            <v/>
          </cell>
          <cell r="G164" t="str">
            <v/>
          </cell>
          <cell r="H164" t="str">
            <v/>
          </cell>
          <cell r="I164" t="str">
            <v/>
          </cell>
          <cell r="J164" t="str">
            <v/>
          </cell>
          <cell r="S164">
            <v>0</v>
          </cell>
          <cell r="T164" t="str">
            <v/>
          </cell>
          <cell r="U164" t="str">
            <v/>
          </cell>
          <cell r="V164" t="str">
            <v/>
          </cell>
        </row>
        <row r="165">
          <cell r="C165" t="str">
            <v/>
          </cell>
          <cell r="D165" t="str">
            <v/>
          </cell>
          <cell r="E165" t="str">
            <v/>
          </cell>
          <cell r="F165" t="str">
            <v/>
          </cell>
          <cell r="G165" t="str">
            <v/>
          </cell>
          <cell r="H165" t="str">
            <v/>
          </cell>
          <cell r="I165" t="str">
            <v/>
          </cell>
          <cell r="J165" t="str">
            <v/>
          </cell>
          <cell r="S165">
            <v>0</v>
          </cell>
          <cell r="T165" t="str">
            <v/>
          </cell>
          <cell r="U165" t="str">
            <v/>
          </cell>
          <cell r="V165" t="str">
            <v/>
          </cell>
        </row>
        <row r="166">
          <cell r="C166" t="str">
            <v/>
          </cell>
          <cell r="D166" t="str">
            <v/>
          </cell>
          <cell r="E166" t="str">
            <v/>
          </cell>
          <cell r="F166" t="str">
            <v/>
          </cell>
          <cell r="G166" t="str">
            <v/>
          </cell>
          <cell r="H166" t="str">
            <v/>
          </cell>
          <cell r="I166" t="str">
            <v/>
          </cell>
          <cell r="J166" t="str">
            <v/>
          </cell>
          <cell r="S166">
            <v>0</v>
          </cell>
          <cell r="T166" t="str">
            <v/>
          </cell>
          <cell r="U166" t="str">
            <v/>
          </cell>
          <cell r="V166" t="str">
            <v/>
          </cell>
        </row>
        <row r="167">
          <cell r="C167" t="str">
            <v/>
          </cell>
          <cell r="D167" t="str">
            <v/>
          </cell>
          <cell r="E167" t="str">
            <v/>
          </cell>
          <cell r="F167" t="str">
            <v/>
          </cell>
          <cell r="G167" t="str">
            <v/>
          </cell>
          <cell r="H167" t="str">
            <v/>
          </cell>
          <cell r="I167" t="str">
            <v/>
          </cell>
          <cell r="J167" t="str">
            <v/>
          </cell>
          <cell r="S167">
            <v>0</v>
          </cell>
          <cell r="T167" t="str">
            <v/>
          </cell>
          <cell r="U167" t="str">
            <v/>
          </cell>
          <cell r="V167" t="str">
            <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29.699999999999989</v>
          </cell>
          <cell r="H2">
            <v>48.800000000000004</v>
          </cell>
          <cell r="I2">
            <v>30.5</v>
          </cell>
          <cell r="J2">
            <v>13</v>
          </cell>
          <cell r="K2">
            <v>5</v>
          </cell>
          <cell r="L2">
            <v>18</v>
          </cell>
          <cell r="M2">
            <v>122</v>
          </cell>
          <cell r="N2" t="str">
            <v>90점 이상 합격
*예비 87~89점 1~2명</v>
          </cell>
          <cell r="Q2" t="str">
            <v>지역기반</v>
          </cell>
          <cell r="R2">
            <v>11</v>
          </cell>
          <cell r="S2">
            <v>13</v>
          </cell>
          <cell r="T2">
            <v>7</v>
          </cell>
          <cell r="U2">
            <v>5</v>
          </cell>
          <cell r="V2">
            <v>12</v>
          </cell>
        </row>
        <row r="3">
          <cell r="E3" t="str">
            <v>평가
현황</v>
          </cell>
          <cell r="F3">
            <v>2</v>
          </cell>
          <cell r="G3">
            <v>4</v>
          </cell>
          <cell r="H3">
            <v>54</v>
          </cell>
          <cell r="I3">
            <v>48</v>
          </cell>
          <cell r="J3">
            <v>9</v>
          </cell>
          <cell r="K3">
            <v>5</v>
          </cell>
          <cell r="L3">
            <v>14</v>
          </cell>
          <cell r="M3">
            <v>122</v>
          </cell>
          <cell r="Q3" t="str">
            <v>대학발</v>
          </cell>
          <cell r="R3">
            <v>1</v>
          </cell>
          <cell r="S3">
            <v>0</v>
          </cell>
          <cell r="T3">
            <v>1</v>
          </cell>
          <cell r="U3">
            <v>0</v>
          </cell>
          <cell r="V3">
            <v>1</v>
          </cell>
        </row>
        <row r="4">
          <cell r="E4" t="str">
            <v>청년</v>
          </cell>
          <cell r="F4" t="str">
            <v>*지역기반만 집계</v>
          </cell>
          <cell r="J4">
            <v>11</v>
          </cell>
          <cell r="K4">
            <v>5</v>
          </cell>
          <cell r="L4">
            <v>16</v>
          </cell>
          <cell r="M4">
            <v>16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20399602</v>
          </cell>
          <cell r="C8" t="str">
            <v>지역기반</v>
          </cell>
          <cell r="D8" t="str">
            <v>화공ㆍ섬유</v>
          </cell>
          <cell r="E8" t="str">
            <v>임상 기반 기능성 아로마 바디케어 제품 개발 및 브랜드 사업화</v>
          </cell>
          <cell r="F8" t="str">
            <v>0</v>
          </cell>
          <cell r="G8" t="str">
            <v>0</v>
          </cell>
          <cell r="H8" t="str">
            <v>예비</v>
          </cell>
          <cell r="I8" t="str">
            <v>중장년</v>
          </cell>
          <cell r="J8">
            <v>0</v>
          </cell>
          <cell r="K8">
            <v>8</v>
          </cell>
          <cell r="L8">
            <v>8</v>
          </cell>
          <cell r="M8">
            <v>17</v>
          </cell>
          <cell r="N8">
            <v>19</v>
          </cell>
          <cell r="O8">
            <v>9</v>
          </cell>
          <cell r="P8">
            <v>9</v>
          </cell>
          <cell r="Q8">
            <v>13</v>
          </cell>
          <cell r="R8">
            <v>4</v>
          </cell>
          <cell r="S8">
            <v>87</v>
          </cell>
          <cell r="T8">
            <v>0</v>
          </cell>
          <cell r="U8">
            <v>87</v>
          </cell>
          <cell r="V8">
            <v>17</v>
          </cell>
          <cell r="W8" t="str">
            <v>전반적으로 차별화 방향은 확인되나 독창성 판단에는 추가 검토가 필요 함</v>
          </cell>
        </row>
        <row r="9">
          <cell r="B9">
            <v>20402057</v>
          </cell>
          <cell r="C9" t="str">
            <v>지역기반</v>
          </cell>
          <cell r="D9" t="str">
            <v>화공ㆍ섬유</v>
          </cell>
          <cell r="E9" t="str">
            <v>CODEBI 러닝·퍼포먼스 기능성 의류 (쇼츠, 상의, 타이즈, 액세서리)</v>
          </cell>
          <cell r="F9" t="str">
            <v>0</v>
          </cell>
          <cell r="G9" t="str">
            <v>0</v>
          </cell>
          <cell r="H9" t="str">
            <v>예비</v>
          </cell>
          <cell r="I9" t="str">
            <v>중장년</v>
          </cell>
          <cell r="J9">
            <v>0</v>
          </cell>
          <cell r="K9">
            <v>8</v>
          </cell>
          <cell r="L9">
            <v>8</v>
          </cell>
          <cell r="M9">
            <v>15</v>
          </cell>
          <cell r="N9">
            <v>14</v>
          </cell>
          <cell r="O9">
            <v>8</v>
          </cell>
          <cell r="P9">
            <v>8</v>
          </cell>
          <cell r="Q9">
            <v>13</v>
          </cell>
          <cell r="R9">
            <v>4</v>
          </cell>
          <cell r="S9">
            <v>78</v>
          </cell>
          <cell r="T9">
            <v>0</v>
          </cell>
          <cell r="U9">
            <v>78</v>
          </cell>
          <cell r="V9">
            <v>66</v>
          </cell>
          <cell r="W9" t="str">
            <v>전반적으로 차별화 방향은 확인되나 독창서 판단에는 추가 검토가 필요 하며, 팀 역량 구성계획이 우수 함.</v>
          </cell>
        </row>
        <row r="10">
          <cell r="B10">
            <v>20406606</v>
          </cell>
          <cell r="C10" t="str">
            <v>지역기반</v>
          </cell>
          <cell r="D10" t="str">
            <v>화공ㆍ섬유</v>
          </cell>
          <cell r="E10" t="str">
            <v>즉석 맥반석 구이김 단지 순회공급 시스템 구축</v>
          </cell>
          <cell r="F10" t="str">
            <v>0</v>
          </cell>
          <cell r="G10" t="str">
            <v>0</v>
          </cell>
          <cell r="H10" t="str">
            <v>예비</v>
          </cell>
          <cell r="I10" t="str">
            <v>중장년</v>
          </cell>
          <cell r="J10">
            <v>0</v>
          </cell>
          <cell r="K10">
            <v>7</v>
          </cell>
          <cell r="L10">
            <v>7</v>
          </cell>
          <cell r="M10">
            <v>13</v>
          </cell>
          <cell r="N10">
            <v>13</v>
          </cell>
          <cell r="O10">
            <v>6</v>
          </cell>
          <cell r="P10">
            <v>7</v>
          </cell>
          <cell r="Q10">
            <v>12</v>
          </cell>
          <cell r="R10">
            <v>3</v>
          </cell>
          <cell r="S10">
            <v>68</v>
          </cell>
          <cell r="T10">
            <v>0</v>
          </cell>
          <cell r="U10">
            <v>68</v>
          </cell>
          <cell r="V10">
            <v>112</v>
          </cell>
          <cell r="W10" t="str">
            <v>창업동기와 문제인식은 비교적 명확하게 제시되었으나, 시장규모와 고객 검증자료는 다소 미흡한 것으로 판단 됨.</v>
          </cell>
        </row>
        <row r="11">
          <cell r="B11">
            <v>20408072</v>
          </cell>
          <cell r="C11" t="str">
            <v>지역기반</v>
          </cell>
          <cell r="D11" t="str">
            <v>화공ㆍ섬유</v>
          </cell>
          <cell r="E11" t="str">
            <v>수면·휴식 케어를 위한 수출형 맞춤 웰니스 K-뷰티 아로마 롤온&amp;룸·필로우 스프레이</v>
          </cell>
          <cell r="F11" t="str">
            <v>0</v>
          </cell>
          <cell r="G11" t="str">
            <v>0</v>
          </cell>
          <cell r="H11" t="str">
            <v>예비</v>
          </cell>
          <cell r="I11" t="str">
            <v>청년</v>
          </cell>
          <cell r="J11">
            <v>0</v>
          </cell>
          <cell r="K11">
            <v>8</v>
          </cell>
          <cell r="L11">
            <v>7</v>
          </cell>
          <cell r="M11">
            <v>15</v>
          </cell>
          <cell r="N11">
            <v>15</v>
          </cell>
          <cell r="O11">
            <v>7</v>
          </cell>
          <cell r="P11">
            <v>8</v>
          </cell>
          <cell r="Q11">
            <v>13</v>
          </cell>
          <cell r="R11">
            <v>4</v>
          </cell>
          <cell r="S11">
            <v>77</v>
          </cell>
          <cell r="T11">
            <v>2</v>
          </cell>
          <cell r="U11">
            <v>79</v>
          </cell>
          <cell r="V11">
            <v>58</v>
          </cell>
          <cell r="W11" t="str">
            <v>창업아이템의 개발 배경과 목적이 비교적 명확하게 제시되었으나, 목표 시장과 고객에 대한 이해 수준이 다소 부족 함.</v>
          </cell>
        </row>
        <row r="12">
          <cell r="B12">
            <v>20409574</v>
          </cell>
          <cell r="C12" t="str">
            <v>지역기반</v>
          </cell>
          <cell r="D12" t="str">
            <v>화공ㆍ섬유</v>
          </cell>
          <cell r="E12" t="str">
            <v>고온 공정 RTD의 원물 풍미 손실을 개선하는 저온 블렌딩 기반 국산 원물 클린라벨 RTD 과일티 개발</v>
          </cell>
          <cell r="F12" t="str">
            <v>0</v>
          </cell>
          <cell r="G12" t="str">
            <v>0</v>
          </cell>
          <cell r="H12" t="str">
            <v>예비</v>
          </cell>
          <cell r="I12" t="str">
            <v>청년</v>
          </cell>
          <cell r="J12">
            <v>0</v>
          </cell>
          <cell r="K12">
            <v>8</v>
          </cell>
          <cell r="L12">
            <v>8</v>
          </cell>
          <cell r="M12">
            <v>14</v>
          </cell>
          <cell r="N12">
            <v>14</v>
          </cell>
          <cell r="O12">
            <v>8</v>
          </cell>
          <cell r="P12">
            <v>8</v>
          </cell>
          <cell r="Q12">
            <v>13</v>
          </cell>
          <cell r="R12">
            <v>4</v>
          </cell>
          <cell r="S12">
            <v>77</v>
          </cell>
          <cell r="T12">
            <v>2</v>
          </cell>
          <cell r="U12">
            <v>79</v>
          </cell>
          <cell r="V12">
            <v>58</v>
          </cell>
          <cell r="W12" t="str">
            <v>창업아이템의 개발 배경과 목적이 비교적 명확하게 제시되었으나, 목표시장과 고객에 대한 이해 수준이 다소 부족 함.</v>
          </cell>
        </row>
        <row r="13">
          <cell r="B13">
            <v>20410575</v>
          </cell>
          <cell r="C13" t="str">
            <v>지역기반</v>
          </cell>
          <cell r="D13" t="str">
            <v>화공ㆍ섬유</v>
          </cell>
          <cell r="E13" t="str">
            <v>로컬 상생형 프리미엄 수제 쌀 디저트, 'K-설기(K-Seolgi) 하이엔드 솔루션'</v>
          </cell>
          <cell r="F13" t="str">
            <v>0</v>
          </cell>
          <cell r="G13" t="str">
            <v>0</v>
          </cell>
          <cell r="H13" t="str">
            <v>예비</v>
          </cell>
          <cell r="I13" t="str">
            <v>청년</v>
          </cell>
          <cell r="J13">
            <v>0</v>
          </cell>
          <cell r="K13">
            <v>7</v>
          </cell>
          <cell r="L13">
            <v>7</v>
          </cell>
          <cell r="M13">
            <v>15</v>
          </cell>
          <cell r="N13">
            <v>13</v>
          </cell>
          <cell r="O13">
            <v>6</v>
          </cell>
          <cell r="P13">
            <v>7</v>
          </cell>
          <cell r="Q13">
            <v>12</v>
          </cell>
          <cell r="R13">
            <v>3</v>
          </cell>
          <cell r="S13">
            <v>70</v>
          </cell>
          <cell r="T13">
            <v>0</v>
          </cell>
          <cell r="U13">
            <v>70</v>
          </cell>
          <cell r="V13">
            <v>100</v>
          </cell>
          <cell r="W13" t="str">
            <v>창업아이템의 개발 배경과 목적이 비교적 명확하게 제시되었으나, 목표시장과 고객에 대한 이해 수준이 다소 부족 함.</v>
          </cell>
        </row>
        <row r="14">
          <cell r="B14">
            <v>20412478</v>
          </cell>
          <cell r="C14" t="str">
            <v>지역기반</v>
          </cell>
          <cell r="D14" t="str">
            <v>화공ㆍ섬유</v>
          </cell>
          <cell r="E14" t="str">
            <v>업사이클링 원료 기반, 1030 트러블 케어 ‘1회분 스틱 파우더 팩’ · ‘10초 바디 진정 미스트’ 세트 개발 및 국내 버티컬 플랫폼 상용화</v>
          </cell>
          <cell r="F14" t="str">
            <v>0</v>
          </cell>
          <cell r="G14" t="str">
            <v>0</v>
          </cell>
          <cell r="H14" t="str">
            <v>예비</v>
          </cell>
          <cell r="I14" t="str">
            <v>청년</v>
          </cell>
          <cell r="J14">
            <v>0</v>
          </cell>
          <cell r="K14">
            <v>7</v>
          </cell>
          <cell r="L14">
            <v>8</v>
          </cell>
          <cell r="M14">
            <v>15</v>
          </cell>
          <cell r="N14">
            <v>14</v>
          </cell>
          <cell r="O14">
            <v>7</v>
          </cell>
          <cell r="P14">
            <v>7</v>
          </cell>
          <cell r="Q14">
            <v>13</v>
          </cell>
          <cell r="R14">
            <v>3</v>
          </cell>
          <cell r="S14">
            <v>74</v>
          </cell>
          <cell r="T14">
            <v>0</v>
          </cell>
          <cell r="U14">
            <v>74</v>
          </cell>
          <cell r="V14">
            <v>85</v>
          </cell>
          <cell r="W14" t="str">
            <v>전반적으로 차별화 방향은 확인되나 독창성 판단에는 추가 검토가 필요 함.</v>
          </cell>
        </row>
        <row r="15">
          <cell r="B15">
            <v>20413600</v>
          </cell>
          <cell r="C15" t="str">
            <v>지역기반</v>
          </cell>
          <cell r="D15" t="str">
            <v>화공ㆍ섬유</v>
          </cell>
          <cell r="E15" t="str">
            <v>생리통 완화용 하복부 밀착형 온열·전기자극(TENS) 스마트 이너웨어 개발</v>
          </cell>
          <cell r="F15" t="str">
            <v>0</v>
          </cell>
          <cell r="G15" t="str">
            <v>0</v>
          </cell>
          <cell r="H15" t="str">
            <v>예비</v>
          </cell>
          <cell r="I15" t="str">
            <v>중장년</v>
          </cell>
          <cell r="J15">
            <v>0</v>
          </cell>
          <cell r="K15">
            <v>8</v>
          </cell>
          <cell r="L15">
            <v>8</v>
          </cell>
          <cell r="M15">
            <v>15</v>
          </cell>
          <cell r="N15">
            <v>17</v>
          </cell>
          <cell r="O15">
            <v>7</v>
          </cell>
          <cell r="P15">
            <v>7</v>
          </cell>
          <cell r="Q15">
            <v>11</v>
          </cell>
          <cell r="R15">
            <v>3</v>
          </cell>
          <cell r="S15">
            <v>76</v>
          </cell>
          <cell r="T15">
            <v>0</v>
          </cell>
          <cell r="U15">
            <v>76</v>
          </cell>
          <cell r="V15">
            <v>74</v>
          </cell>
          <cell r="W15" t="str">
            <v>창업동기와 문제인식은 비교적 명확하게 제시되었으나, 시장규모와 고객 검증자료는 다소 미흡한 것으로 판단 됨.</v>
          </cell>
        </row>
        <row r="16">
          <cell r="B16">
            <v>20414625</v>
          </cell>
          <cell r="C16" t="str">
            <v>지역기반</v>
          </cell>
          <cell r="D16" t="str">
            <v>화공ㆍ섬유</v>
          </cell>
          <cell r="E16" t="str">
            <v>초음파 향미 추출 기반 조주·조리용 향미 주류 (비터스·기주) 개발</v>
          </cell>
          <cell r="F16" t="str">
            <v>0</v>
          </cell>
          <cell r="G16" t="str">
            <v>0</v>
          </cell>
          <cell r="H16" t="str">
            <v>예비</v>
          </cell>
          <cell r="I16" t="str">
            <v>중장년</v>
          </cell>
          <cell r="J16">
            <v>0</v>
          </cell>
          <cell r="K16">
            <v>9</v>
          </cell>
          <cell r="L16">
            <v>9</v>
          </cell>
          <cell r="M16">
            <v>18</v>
          </cell>
          <cell r="N16">
            <v>19</v>
          </cell>
          <cell r="O16">
            <v>9</v>
          </cell>
          <cell r="P16">
            <v>9</v>
          </cell>
          <cell r="Q16">
            <v>14</v>
          </cell>
          <cell r="R16">
            <v>4</v>
          </cell>
          <cell r="S16">
            <v>91</v>
          </cell>
          <cell r="T16">
            <v>0</v>
          </cell>
          <cell r="U16">
            <v>91</v>
          </cell>
          <cell r="V16">
            <v>2</v>
          </cell>
          <cell r="W16" t="str">
            <v>전반적으로 차별화 방향이 확인되며, 팀 역량 구성계획도 우수 함.</v>
          </cell>
        </row>
        <row r="17">
          <cell r="B17">
            <v>20415838</v>
          </cell>
          <cell r="C17" t="str">
            <v>지역기반</v>
          </cell>
          <cell r="D17" t="str">
            <v>화공ㆍ섬유</v>
          </cell>
          <cell r="E17" t="str">
            <v>사춘기 호르몬성 과지피 해결을 위한 징크PCA 기반 미스트 및 블록체인 이력관리 시스템</v>
          </cell>
          <cell r="F17" t="str">
            <v>0</v>
          </cell>
          <cell r="G17" t="str">
            <v>0</v>
          </cell>
          <cell r="H17" t="str">
            <v>예비</v>
          </cell>
          <cell r="I17" t="str">
            <v>중장년</v>
          </cell>
          <cell r="J17">
            <v>0</v>
          </cell>
          <cell r="K17">
            <v>7</v>
          </cell>
          <cell r="L17">
            <v>7</v>
          </cell>
          <cell r="M17">
            <v>10</v>
          </cell>
          <cell r="N17">
            <v>15</v>
          </cell>
          <cell r="O17">
            <v>6</v>
          </cell>
          <cell r="P17">
            <v>6</v>
          </cell>
          <cell r="Q17">
            <v>9</v>
          </cell>
          <cell r="R17">
            <v>2</v>
          </cell>
          <cell r="S17">
            <v>62</v>
          </cell>
          <cell r="T17">
            <v>0</v>
          </cell>
          <cell r="U17">
            <v>62</v>
          </cell>
          <cell r="V17">
            <v>115</v>
          </cell>
          <cell r="W17" t="str">
            <v>창업동기와 문제인식은 비교적 명확하게 제시되었으나, 시장규모와 고객 검증자료 및 본 사업에 대한 전문성이 다소 미흡한 것으로 판단 됨.</v>
          </cell>
        </row>
        <row r="18">
          <cell r="B18">
            <v>20418712</v>
          </cell>
          <cell r="C18" t="str">
            <v>지역기반</v>
          </cell>
          <cell r="D18" t="str">
            <v>화공ㆍ섬유</v>
          </cell>
          <cell r="E18" t="str">
            <v>고강도 퍼포먼스 환경에서의 안면 홍조 진정 및 피부 장벽 보호를 위한 '마이크로바이옴 스킨-본딩 쿠션 선크림 HAERI</v>
          </cell>
          <cell r="F18" t="str">
            <v>0</v>
          </cell>
          <cell r="G18" t="str">
            <v>0</v>
          </cell>
          <cell r="H18" t="str">
            <v>예비</v>
          </cell>
          <cell r="I18" t="str">
            <v>청년</v>
          </cell>
          <cell r="J18">
            <v>0</v>
          </cell>
          <cell r="K18">
            <v>7</v>
          </cell>
          <cell r="L18">
            <v>7</v>
          </cell>
          <cell r="M18">
            <v>14</v>
          </cell>
          <cell r="N18">
            <v>13</v>
          </cell>
          <cell r="O18">
            <v>6</v>
          </cell>
          <cell r="P18">
            <v>6</v>
          </cell>
          <cell r="Q18">
            <v>9</v>
          </cell>
          <cell r="R18">
            <v>2</v>
          </cell>
          <cell r="S18">
            <v>64</v>
          </cell>
          <cell r="T18">
            <v>0</v>
          </cell>
          <cell r="U18">
            <v>64</v>
          </cell>
          <cell r="V18">
            <v>114</v>
          </cell>
          <cell r="W18" t="str">
            <v>창업동기와 문제인식은 비교적 명확하게 제시되었으나, 시장규모와 고객 검증자료 및 본 사업에 대한 전문성이 다소 미흡한 것으로 판단 됨.</v>
          </cell>
        </row>
        <row r="19">
          <cell r="B19">
            <v>20419831</v>
          </cell>
          <cell r="C19" t="str">
            <v>지역기반</v>
          </cell>
          <cell r="D19" t="str">
            <v>화공ㆍ섬유</v>
          </cell>
          <cell r="E19" t="str">
            <v>시니어 생활체육 파크골프에 특화된 파크골프 전문 기능성 의류 제작</v>
          </cell>
          <cell r="F19" t="str">
            <v>0</v>
          </cell>
          <cell r="G19" t="str">
            <v>0</v>
          </cell>
          <cell r="H19" t="str">
            <v>예비</v>
          </cell>
          <cell r="I19" t="str">
            <v>중장년</v>
          </cell>
          <cell r="J19">
            <v>0</v>
          </cell>
          <cell r="K19">
            <v>8</v>
          </cell>
          <cell r="L19">
            <v>8</v>
          </cell>
          <cell r="M19">
            <v>18</v>
          </cell>
          <cell r="N19">
            <v>17</v>
          </cell>
          <cell r="O19">
            <v>9</v>
          </cell>
          <cell r="P19">
            <v>9</v>
          </cell>
          <cell r="Q19">
            <v>14</v>
          </cell>
          <cell r="R19">
            <v>5</v>
          </cell>
          <cell r="S19">
            <v>88</v>
          </cell>
          <cell r="T19">
            <v>0</v>
          </cell>
          <cell r="U19">
            <v>88</v>
          </cell>
          <cell r="V19">
            <v>13</v>
          </cell>
          <cell r="W19" t="str">
            <v>전반적으로 차별화 방향이 확인되며, 대표의 전문성과 팀 역량 구성계획도 비교적 우수 함.</v>
          </cell>
        </row>
        <row r="20">
          <cell r="B20">
            <v>20420092</v>
          </cell>
          <cell r="C20" t="str">
            <v>지역기반</v>
          </cell>
          <cell r="D20" t="str">
            <v>화공ㆍ섬유</v>
          </cell>
          <cell r="E20" t="str">
            <v>90분 건조 브라</v>
          </cell>
          <cell r="F20" t="str">
            <v>0</v>
          </cell>
          <cell r="G20" t="str">
            <v>0</v>
          </cell>
          <cell r="H20" t="str">
            <v>예비</v>
          </cell>
          <cell r="I20" t="str">
            <v>청년</v>
          </cell>
          <cell r="J20">
            <v>0</v>
          </cell>
          <cell r="K20">
            <v>9</v>
          </cell>
          <cell r="L20">
            <v>8</v>
          </cell>
          <cell r="M20">
            <v>15</v>
          </cell>
          <cell r="N20">
            <v>18</v>
          </cell>
          <cell r="O20">
            <v>8</v>
          </cell>
          <cell r="P20">
            <v>8</v>
          </cell>
          <cell r="Q20">
            <v>12</v>
          </cell>
          <cell r="R20">
            <v>4</v>
          </cell>
          <cell r="S20">
            <v>82</v>
          </cell>
          <cell r="T20">
            <v>0</v>
          </cell>
          <cell r="U20">
            <v>82</v>
          </cell>
          <cell r="V20">
            <v>41</v>
          </cell>
          <cell r="W20" t="str">
            <v>전반적으로 차별화 방향은 확인되나 대표자의 전문성 판단에는 추가 검토가 필요 함.</v>
          </cell>
        </row>
        <row r="21">
          <cell r="B21">
            <v>20420487</v>
          </cell>
          <cell r="C21" t="str">
            <v>지역기반</v>
          </cell>
          <cell r="D21" t="str">
            <v>화공ㆍ섬유</v>
          </cell>
          <cell r="E21" t="str">
            <v>업사이클링 천연 원료 기반 복합 기능 조성물 기술을 적용한 문제성 발톱 관리 제품</v>
          </cell>
          <cell r="F21" t="str">
            <v>0</v>
          </cell>
          <cell r="G21" t="str">
            <v>0</v>
          </cell>
          <cell r="H21" t="str">
            <v>예비</v>
          </cell>
          <cell r="I21" t="str">
            <v>청년</v>
          </cell>
          <cell r="J21">
            <v>0</v>
          </cell>
          <cell r="K21">
            <v>7</v>
          </cell>
          <cell r="L21">
            <v>7</v>
          </cell>
          <cell r="M21">
            <v>15</v>
          </cell>
          <cell r="N21">
            <v>16</v>
          </cell>
          <cell r="O21">
            <v>7</v>
          </cell>
          <cell r="P21">
            <v>7</v>
          </cell>
          <cell r="Q21">
            <v>13</v>
          </cell>
          <cell r="R21">
            <v>3</v>
          </cell>
          <cell r="S21">
            <v>75</v>
          </cell>
          <cell r="T21">
            <v>0</v>
          </cell>
          <cell r="U21">
            <v>75</v>
          </cell>
          <cell r="V21">
            <v>80</v>
          </cell>
          <cell r="W21" t="str">
            <v>창업동기와 문제인식은 비교적 명확하게 제시되었으나, 시장규모와 고객 검증자료는 다소 미흡한 것으로 판단 됨.</v>
          </cell>
        </row>
        <row r="22">
          <cell r="B22">
            <v>20420834</v>
          </cell>
          <cell r="C22" t="str">
            <v>지역기반</v>
          </cell>
          <cell r="D22" t="str">
            <v>화공ㆍ섬유</v>
          </cell>
          <cell r="E22" t="str">
            <v>키토산 소재기반, 피부노폐물을 안전하고 효과적으로 제거할 수 있는 화장품용 미립자 소재회</v>
          </cell>
          <cell r="F22" t="str">
            <v>0</v>
          </cell>
          <cell r="G22" t="str">
            <v>0</v>
          </cell>
          <cell r="H22" t="str">
            <v>예비</v>
          </cell>
          <cell r="I22" t="str">
            <v>청년</v>
          </cell>
          <cell r="J22">
            <v>0</v>
          </cell>
          <cell r="K22">
            <v>7</v>
          </cell>
          <cell r="L22">
            <v>7</v>
          </cell>
          <cell r="M22">
            <v>17</v>
          </cell>
          <cell r="N22">
            <v>17</v>
          </cell>
          <cell r="O22">
            <v>7</v>
          </cell>
          <cell r="P22">
            <v>7</v>
          </cell>
          <cell r="Q22">
            <v>13</v>
          </cell>
          <cell r="R22">
            <v>3</v>
          </cell>
          <cell r="S22">
            <v>78</v>
          </cell>
          <cell r="T22">
            <v>2</v>
          </cell>
          <cell r="U22">
            <v>80</v>
          </cell>
          <cell r="V22">
            <v>50</v>
          </cell>
          <cell r="W22" t="str">
            <v>창업아이템의 개발 배경과 목적이 비교적 명확하게 제시되었으나, 목표시장과 고객에 대한 이해 수준이 다소 부족 함.</v>
          </cell>
        </row>
        <row r="23">
          <cell r="B23">
            <v>20421385</v>
          </cell>
          <cell r="C23" t="str">
            <v>지역기반</v>
          </cell>
          <cell r="D23" t="str">
            <v>화공ㆍ섬유</v>
          </cell>
          <cell r="E23" t="str">
            <v>분자증류를 이용한 전자재료용 고순도 Special Chemicals 제조 (Total 8종)</v>
          </cell>
          <cell r="F23" t="str">
            <v>0</v>
          </cell>
          <cell r="G23" t="str">
            <v>0</v>
          </cell>
          <cell r="H23" t="str">
            <v>예비</v>
          </cell>
          <cell r="I23" t="str">
            <v>중장년</v>
          </cell>
          <cell r="J23">
            <v>0</v>
          </cell>
          <cell r="K23">
            <v>8</v>
          </cell>
          <cell r="L23">
            <v>8</v>
          </cell>
          <cell r="M23">
            <v>15</v>
          </cell>
          <cell r="N23">
            <v>16</v>
          </cell>
          <cell r="O23">
            <v>7</v>
          </cell>
          <cell r="P23">
            <v>7</v>
          </cell>
          <cell r="Q23">
            <v>14</v>
          </cell>
          <cell r="R23">
            <v>5</v>
          </cell>
          <cell r="S23">
            <v>80</v>
          </cell>
          <cell r="T23">
            <v>0</v>
          </cell>
          <cell r="U23">
            <v>80</v>
          </cell>
          <cell r="V23">
            <v>50</v>
          </cell>
          <cell r="W23" t="str">
            <v>아이템의 기술수요와 개발방향은 이해하기 쉽게 작성되었으나, 현재 개발 단계와 목표 수준의 구분은 다소 미흡 함.</v>
          </cell>
        </row>
        <row r="24">
          <cell r="B24">
            <v>20421895</v>
          </cell>
          <cell r="C24" t="str">
            <v>지역기반</v>
          </cell>
          <cell r="D24" t="str">
            <v>화공ㆍ섬유</v>
          </cell>
          <cell r="E24" t="str">
            <v>손쉽게 눌러쓰는 압출식 2 in 1 버블 토너</v>
          </cell>
          <cell r="F24" t="str">
            <v>0</v>
          </cell>
          <cell r="G24" t="str">
            <v>0</v>
          </cell>
          <cell r="H24" t="str">
            <v>예비</v>
          </cell>
          <cell r="I24" t="str">
            <v>청년</v>
          </cell>
          <cell r="J24">
            <v>0</v>
          </cell>
          <cell r="K24">
            <v>8</v>
          </cell>
          <cell r="L24">
            <v>8</v>
          </cell>
          <cell r="M24">
            <v>17</v>
          </cell>
          <cell r="N24">
            <v>17</v>
          </cell>
          <cell r="O24">
            <v>9</v>
          </cell>
          <cell r="P24">
            <v>9</v>
          </cell>
          <cell r="Q24">
            <v>14</v>
          </cell>
          <cell r="R24">
            <v>4</v>
          </cell>
          <cell r="S24">
            <v>86</v>
          </cell>
          <cell r="T24">
            <v>0</v>
          </cell>
          <cell r="U24">
            <v>86</v>
          </cell>
          <cell r="V24">
            <v>23</v>
          </cell>
          <cell r="W24" t="str">
            <v>창업아이템의 개발 배경과 목적이 비교적 명확하게 제시 됨.</v>
          </cell>
        </row>
        <row r="25">
          <cell r="B25">
            <v>20422874</v>
          </cell>
          <cell r="C25" t="str">
            <v>지역기반</v>
          </cell>
          <cell r="D25" t="str">
            <v>화공ㆍ섬유</v>
          </cell>
          <cell r="E25" t="str">
            <v>굴패각과 리싸이클 패트병을 활용한 친환경 원단 개발 및 지속가능한 의류 제작</v>
          </cell>
          <cell r="F25" t="str">
            <v>0</v>
          </cell>
          <cell r="G25" t="str">
            <v>0</v>
          </cell>
          <cell r="H25" t="str">
            <v>예비</v>
          </cell>
          <cell r="I25" t="str">
            <v>중장년</v>
          </cell>
          <cell r="J25">
            <v>0</v>
          </cell>
          <cell r="K25">
            <v>7</v>
          </cell>
          <cell r="L25">
            <v>7</v>
          </cell>
          <cell r="M25">
            <v>16</v>
          </cell>
          <cell r="N25">
            <v>16</v>
          </cell>
          <cell r="O25">
            <v>6</v>
          </cell>
          <cell r="P25">
            <v>6</v>
          </cell>
          <cell r="Q25">
            <v>13</v>
          </cell>
          <cell r="R25">
            <v>3</v>
          </cell>
          <cell r="S25">
            <v>74</v>
          </cell>
          <cell r="T25">
            <v>0</v>
          </cell>
          <cell r="U25">
            <v>74</v>
          </cell>
          <cell r="V25">
            <v>85</v>
          </cell>
          <cell r="W25" t="str">
            <v>창업동기와 문제인식은 비교적 명확하게 제시되었으나, 시장규모와 고객 검증자료는 다소 미흡한 것으로 판단 됨.</v>
          </cell>
        </row>
        <row r="26">
          <cell r="B26">
            <v>20424187</v>
          </cell>
          <cell r="C26" t="str">
            <v>지역기반</v>
          </cell>
          <cell r="D26" t="str">
            <v>화공ㆍ섬유</v>
          </cell>
          <cell r="E26" t="str">
            <v>지게미 업사이클링 기반 지역농산물 활용 K-디저트 개발</v>
          </cell>
          <cell r="F26" t="str">
            <v>0</v>
          </cell>
          <cell r="G26" t="str">
            <v>0</v>
          </cell>
          <cell r="H26" t="str">
            <v>예비</v>
          </cell>
          <cell r="I26" t="str">
            <v>청년</v>
          </cell>
          <cell r="J26">
            <v>0</v>
          </cell>
          <cell r="K26">
            <v>7</v>
          </cell>
          <cell r="L26">
            <v>7</v>
          </cell>
          <cell r="M26">
            <v>15</v>
          </cell>
          <cell r="N26">
            <v>15</v>
          </cell>
          <cell r="O26">
            <v>7</v>
          </cell>
          <cell r="P26">
            <v>6</v>
          </cell>
          <cell r="Q26">
            <v>13</v>
          </cell>
          <cell r="R26">
            <v>2</v>
          </cell>
          <cell r="S26">
            <v>72</v>
          </cell>
          <cell r="T26">
            <v>0</v>
          </cell>
          <cell r="U26">
            <v>72</v>
          </cell>
          <cell r="V26">
            <v>95</v>
          </cell>
          <cell r="W26" t="str">
            <v>창업동기와 문제인식은 비교적 명확하게 제시되었으나, 고객 검증자료는 다소 미흡한 것으로 판단 됨.</v>
          </cell>
        </row>
        <row r="27">
          <cell r="B27">
            <v>20424264</v>
          </cell>
          <cell r="C27" t="str">
            <v>지역기반</v>
          </cell>
          <cell r="D27" t="str">
            <v>화공ㆍ섬유</v>
          </cell>
          <cell r="E27" t="str">
            <v>Changpo-Cica Relief 기반, 꽉 묶는 헤어스타일로 인한 두피 통증 완화 및 견인성 탈모 예방 쿨링 스칼프 앰플</v>
          </cell>
          <cell r="F27" t="str">
            <v>0</v>
          </cell>
          <cell r="G27" t="str">
            <v>0</v>
          </cell>
          <cell r="H27" t="str">
            <v>예비</v>
          </cell>
          <cell r="I27" t="str">
            <v>청년</v>
          </cell>
          <cell r="J27">
            <v>0</v>
          </cell>
          <cell r="K27">
            <v>5</v>
          </cell>
          <cell r="L27">
            <v>5</v>
          </cell>
          <cell r="M27">
            <v>17</v>
          </cell>
          <cell r="N27">
            <v>15</v>
          </cell>
          <cell r="O27">
            <v>6</v>
          </cell>
          <cell r="P27">
            <v>5</v>
          </cell>
          <cell r="Q27">
            <v>12</v>
          </cell>
          <cell r="R27">
            <v>3</v>
          </cell>
          <cell r="S27">
            <v>68</v>
          </cell>
          <cell r="T27">
            <v>2</v>
          </cell>
          <cell r="U27">
            <v>70</v>
          </cell>
          <cell r="V27">
            <v>100</v>
          </cell>
          <cell r="W27" t="str">
            <v>창업동기와 문제인식은 비교적 명확하게 제시되었으나, 시장규모와 고객 검증자료는 다소 미흡한 것으로 판단 됨.</v>
          </cell>
        </row>
        <row r="28">
          <cell r="B28">
            <v>20424266</v>
          </cell>
          <cell r="C28" t="str">
            <v>지역기반</v>
          </cell>
          <cell r="D28" t="str">
            <v>화공ㆍ섬유</v>
          </cell>
          <cell r="E28" t="str">
            <v>AI 자가 피부진단 기반 맞춤형 화장품 제품화 및 글로벌 K-뷰티 진출</v>
          </cell>
          <cell r="F28" t="str">
            <v>0</v>
          </cell>
          <cell r="G28" t="str">
            <v>0</v>
          </cell>
          <cell r="H28" t="str">
            <v>예비</v>
          </cell>
          <cell r="I28" t="str">
            <v>중장년</v>
          </cell>
          <cell r="J28">
            <v>0</v>
          </cell>
          <cell r="K28">
            <v>7</v>
          </cell>
          <cell r="L28">
            <v>6</v>
          </cell>
          <cell r="M28">
            <v>15</v>
          </cell>
          <cell r="N28">
            <v>13</v>
          </cell>
          <cell r="O28">
            <v>6</v>
          </cell>
          <cell r="P28">
            <v>5</v>
          </cell>
          <cell r="Q28">
            <v>13</v>
          </cell>
          <cell r="R28">
            <v>3</v>
          </cell>
          <cell r="S28">
            <v>68</v>
          </cell>
          <cell r="T28">
            <v>0</v>
          </cell>
          <cell r="U28">
            <v>68</v>
          </cell>
          <cell r="V28">
            <v>112</v>
          </cell>
          <cell r="W28" t="str">
            <v>전반적으로 차별화 방향은 확인되나 독창서 판단에는 추가 검토가 필요 함</v>
          </cell>
        </row>
        <row r="29">
          <cell r="B29">
            <v>20426667</v>
          </cell>
          <cell r="C29" t="str">
            <v>지역기반</v>
          </cell>
          <cell r="D29" t="str">
            <v>화공ㆍ섬유</v>
          </cell>
          <cell r="E29" t="str">
            <v>민감성 피부를 위한 단계 조절형 분리형 스피큘 볼 스킨케어 세트</v>
          </cell>
          <cell r="F29" t="str">
            <v>0</v>
          </cell>
          <cell r="G29" t="str">
            <v>0</v>
          </cell>
          <cell r="H29" t="str">
            <v>예비</v>
          </cell>
          <cell r="I29" t="str">
            <v>청년</v>
          </cell>
          <cell r="J29">
            <v>0</v>
          </cell>
          <cell r="K29">
            <v>7</v>
          </cell>
          <cell r="L29">
            <v>7</v>
          </cell>
          <cell r="M29">
            <v>16</v>
          </cell>
          <cell r="N29">
            <v>18</v>
          </cell>
          <cell r="O29">
            <v>7</v>
          </cell>
          <cell r="P29">
            <v>6</v>
          </cell>
          <cell r="Q29">
            <v>13</v>
          </cell>
          <cell r="R29">
            <v>3</v>
          </cell>
          <cell r="S29">
            <v>77</v>
          </cell>
          <cell r="T29">
            <v>2</v>
          </cell>
          <cell r="U29">
            <v>79</v>
          </cell>
          <cell r="V29">
            <v>58</v>
          </cell>
          <cell r="W29" t="str">
            <v>아이템의 기술수요와 개발방향은 이해하기 쉽게 작성되었으나, 현재 개발 단계와 목표 수준의 구분은 다소 미흡 함.</v>
          </cell>
        </row>
        <row r="30">
          <cell r="B30">
            <v>20426750</v>
          </cell>
          <cell r="C30" t="str">
            <v>지역기반</v>
          </cell>
          <cell r="D30" t="str">
            <v>화공ㆍ섬유</v>
          </cell>
          <cell r="E30" t="str">
            <v>AI 제형 최적화 기술 기반 스마트 올인원 젤과 네일숍을 위한 AI 제고 운영 관리 SaaS 솔루션, ARO NAIL</v>
          </cell>
          <cell r="F30" t="str">
            <v>0</v>
          </cell>
          <cell r="G30" t="str">
            <v>0</v>
          </cell>
          <cell r="H30" t="str">
            <v>예비</v>
          </cell>
          <cell r="I30" t="str">
            <v>청년</v>
          </cell>
          <cell r="J30">
            <v>0</v>
          </cell>
          <cell r="K30">
            <v>8</v>
          </cell>
          <cell r="L30">
            <v>8</v>
          </cell>
          <cell r="M30">
            <v>18</v>
          </cell>
          <cell r="N30">
            <v>18</v>
          </cell>
          <cell r="O30">
            <v>10</v>
          </cell>
          <cell r="P30">
            <v>9</v>
          </cell>
          <cell r="Q30">
            <v>14</v>
          </cell>
          <cell r="R30">
            <v>4</v>
          </cell>
          <cell r="S30">
            <v>89</v>
          </cell>
          <cell r="T30">
            <v>0</v>
          </cell>
          <cell r="U30">
            <v>89</v>
          </cell>
          <cell r="V30">
            <v>10</v>
          </cell>
          <cell r="W30" t="str">
            <v>목표시장과 수익모델은 비교적 명확하게 제시 됨.</v>
          </cell>
        </row>
        <row r="31">
          <cell r="B31">
            <v>20426973</v>
          </cell>
          <cell r="C31" t="str">
            <v>지역기반</v>
          </cell>
          <cell r="D31" t="str">
            <v>화공ㆍ섬유</v>
          </cell>
          <cell r="E31" t="str">
            <v>혁신신소재 에어로젤을 활용한 응용소비재</v>
          </cell>
          <cell r="F31" t="str">
            <v>0</v>
          </cell>
          <cell r="G31" t="str">
            <v>0</v>
          </cell>
          <cell r="H31" t="str">
            <v>예비</v>
          </cell>
          <cell r="I31" t="str">
            <v>청년</v>
          </cell>
          <cell r="J31">
            <v>0</v>
          </cell>
          <cell r="K31">
            <v>8</v>
          </cell>
          <cell r="L31">
            <v>7</v>
          </cell>
          <cell r="M31">
            <v>14</v>
          </cell>
          <cell r="N31">
            <v>17</v>
          </cell>
          <cell r="O31">
            <v>7</v>
          </cell>
          <cell r="P31">
            <v>7</v>
          </cell>
          <cell r="Q31">
            <v>13</v>
          </cell>
          <cell r="R31">
            <v>4</v>
          </cell>
          <cell r="S31">
            <v>77</v>
          </cell>
          <cell r="T31">
            <v>2</v>
          </cell>
          <cell r="U31">
            <v>79</v>
          </cell>
          <cell r="V31">
            <v>58</v>
          </cell>
          <cell r="W31" t="str">
            <v>창업동기와 문제인식은 비교적 명확하게 제시되었으나, 시장규모와 고객 검증자료는 다소 미흡한 것으로 판단 됨.</v>
          </cell>
        </row>
        <row r="32">
          <cell r="B32">
            <v>20427911</v>
          </cell>
          <cell r="C32" t="str">
            <v>지역기반</v>
          </cell>
          <cell r="D32" t="str">
            <v>화공ㆍ섬유</v>
          </cell>
          <cell r="E32" t="str">
            <v>탄닌계 바이오 매염제 기반 저온 편물 가먼트 염색 기술이 적용된 냉·온감 기능 유지 및 색상 확장 기능의 홀가먼트 침구</v>
          </cell>
          <cell r="F32" t="str">
            <v>0</v>
          </cell>
          <cell r="G32" t="str">
            <v>0</v>
          </cell>
          <cell r="H32" t="str">
            <v>예비</v>
          </cell>
          <cell r="I32" t="str">
            <v>청년</v>
          </cell>
          <cell r="J32">
            <v>0</v>
          </cell>
          <cell r="K32">
            <v>7</v>
          </cell>
          <cell r="L32">
            <v>8</v>
          </cell>
          <cell r="M32">
            <v>17</v>
          </cell>
          <cell r="N32">
            <v>16</v>
          </cell>
          <cell r="O32">
            <v>7</v>
          </cell>
          <cell r="P32">
            <v>6</v>
          </cell>
          <cell r="Q32">
            <v>13</v>
          </cell>
          <cell r="R32">
            <v>3</v>
          </cell>
          <cell r="S32">
            <v>77</v>
          </cell>
          <cell r="T32">
            <v>0</v>
          </cell>
          <cell r="U32">
            <v>77</v>
          </cell>
          <cell r="V32">
            <v>72</v>
          </cell>
          <cell r="W32" t="str">
            <v>아이템의 기술수요와 개발방향은 이해하기 쉽게 작성되었으나, 현재 개발 단계와 목표 수준의 구분은 다소 미흡 함.</v>
          </cell>
        </row>
        <row r="33">
          <cell r="B33">
            <v>20428898</v>
          </cell>
          <cell r="C33" t="str">
            <v>지역기반</v>
          </cell>
          <cell r="D33" t="str">
            <v>화공ㆍ섬유</v>
          </cell>
          <cell r="E33" t="str">
            <v>천연소재 복합배합 기반 친환경 반려동물 위생용품 개발</v>
          </cell>
          <cell r="F33" t="str">
            <v>0</v>
          </cell>
          <cell r="G33" t="str">
            <v>0</v>
          </cell>
          <cell r="H33" t="str">
            <v>예비</v>
          </cell>
          <cell r="I33" t="str">
            <v>청년</v>
          </cell>
          <cell r="J33">
            <v>0</v>
          </cell>
          <cell r="K33">
            <v>7</v>
          </cell>
          <cell r="L33">
            <v>7</v>
          </cell>
          <cell r="M33">
            <v>14</v>
          </cell>
          <cell r="N33">
            <v>15</v>
          </cell>
          <cell r="O33">
            <v>6</v>
          </cell>
          <cell r="P33">
            <v>6</v>
          </cell>
          <cell r="Q33">
            <v>12</v>
          </cell>
          <cell r="R33">
            <v>3</v>
          </cell>
          <cell r="S33">
            <v>70</v>
          </cell>
          <cell r="T33">
            <v>0</v>
          </cell>
          <cell r="U33">
            <v>70</v>
          </cell>
          <cell r="V33">
            <v>100</v>
          </cell>
          <cell r="W33" t="str">
            <v>전반적으로 차별화 방향은 확인되나 독창성 판단에는 추가 검토가 필요 함</v>
          </cell>
        </row>
        <row r="34">
          <cell r="B34">
            <v>20430515</v>
          </cell>
          <cell r="C34" t="str">
            <v>지역기반</v>
          </cell>
          <cell r="D34" t="str">
            <v>화공ㆍ섬유</v>
          </cell>
          <cell r="E34" t="str">
            <v>소재의 한지의 느낌을 살려 수묵화 등 한국 전통의 디자인을 적용한  글로벌 진출용 친환경(타이벡) 양산</v>
          </cell>
          <cell r="F34" t="str">
            <v>0</v>
          </cell>
          <cell r="G34" t="str">
            <v>0</v>
          </cell>
          <cell r="H34" t="str">
            <v>예비</v>
          </cell>
          <cell r="I34" t="str">
            <v>중장년</v>
          </cell>
          <cell r="J34">
            <v>0</v>
          </cell>
          <cell r="K34">
            <v>8</v>
          </cell>
          <cell r="L34">
            <v>8</v>
          </cell>
          <cell r="M34">
            <v>17</v>
          </cell>
          <cell r="N34">
            <v>17</v>
          </cell>
          <cell r="O34">
            <v>8</v>
          </cell>
          <cell r="P34">
            <v>9</v>
          </cell>
          <cell r="Q34">
            <v>14</v>
          </cell>
          <cell r="R34">
            <v>4</v>
          </cell>
          <cell r="S34">
            <v>85</v>
          </cell>
          <cell r="T34">
            <v>0</v>
          </cell>
          <cell r="U34">
            <v>85</v>
          </cell>
          <cell r="V34">
            <v>31</v>
          </cell>
          <cell r="W34" t="str">
            <v>창업동기와 문제인식은 비교적 명확하게 제시되었으나, 고객 검증자료는 다소 미흡한 것으로 판단 됨.</v>
          </cell>
        </row>
        <row r="35">
          <cell r="B35">
            <v>20430698</v>
          </cell>
          <cell r="C35" t="str">
            <v>지역기반</v>
          </cell>
          <cell r="D35" t="str">
            <v>화공ㆍ섬유</v>
          </cell>
          <cell r="E35" t="str">
            <v>그래핀 복합 원사 기술이 적용된 항균·소취 기능의 쾌적한 수면 환경을 제공하는 기능성 침구 제품</v>
          </cell>
          <cell r="F35" t="str">
            <v>0</v>
          </cell>
          <cell r="G35" t="str">
            <v>0</v>
          </cell>
          <cell r="H35" t="str">
            <v>예비</v>
          </cell>
          <cell r="I35" t="str">
            <v>청년</v>
          </cell>
          <cell r="J35">
            <v>0</v>
          </cell>
          <cell r="K35">
            <v>6</v>
          </cell>
          <cell r="L35">
            <v>6</v>
          </cell>
          <cell r="M35">
            <v>15</v>
          </cell>
          <cell r="N35">
            <v>15</v>
          </cell>
          <cell r="O35">
            <v>6</v>
          </cell>
          <cell r="P35">
            <v>6</v>
          </cell>
          <cell r="Q35">
            <v>15</v>
          </cell>
          <cell r="R35">
            <v>4</v>
          </cell>
          <cell r="S35">
            <v>73</v>
          </cell>
          <cell r="T35">
            <v>0</v>
          </cell>
          <cell r="U35">
            <v>73</v>
          </cell>
          <cell r="V35">
            <v>90</v>
          </cell>
          <cell r="W35" t="str">
            <v>전반적으로 차별화 방향은 확인되나 독창성 판단에는 추가 검토가 필요 함</v>
          </cell>
        </row>
        <row r="36">
          <cell r="B36">
            <v>20430941</v>
          </cell>
          <cell r="C36" t="str">
            <v>지역기반</v>
          </cell>
          <cell r="D36" t="str">
            <v>화공ㆍ섬유</v>
          </cell>
          <cell r="E36" t="str">
            <v>버려지는 농업 부산물을 고기능 원료로 전환하고 에어리스 구조로 위생적이고 깔끔한 사용감을 구현한 클렌징 밤</v>
          </cell>
          <cell r="F36" t="str">
            <v>0</v>
          </cell>
          <cell r="G36" t="str">
            <v>0</v>
          </cell>
          <cell r="H36" t="str">
            <v>예비</v>
          </cell>
          <cell r="I36" t="str">
            <v>청년</v>
          </cell>
          <cell r="J36">
            <v>0</v>
          </cell>
          <cell r="K36">
            <v>7</v>
          </cell>
          <cell r="L36">
            <v>7</v>
          </cell>
          <cell r="M36">
            <v>16</v>
          </cell>
          <cell r="N36">
            <v>16</v>
          </cell>
          <cell r="O36">
            <v>7</v>
          </cell>
          <cell r="P36">
            <v>6</v>
          </cell>
          <cell r="Q36">
            <v>15</v>
          </cell>
          <cell r="R36">
            <v>4</v>
          </cell>
          <cell r="S36">
            <v>78</v>
          </cell>
          <cell r="T36">
            <v>0</v>
          </cell>
          <cell r="U36">
            <v>78</v>
          </cell>
          <cell r="V36">
            <v>66</v>
          </cell>
          <cell r="W36" t="str">
            <v>전반적으로 차별화 방향은 확인되나 독창성 판단에는 추가 검토가 필요 함</v>
          </cell>
        </row>
        <row r="37">
          <cell r="B37">
            <v>20432239</v>
          </cell>
          <cell r="C37" t="str">
            <v>지역기반</v>
          </cell>
          <cell r="D37" t="str">
            <v>화공ㆍ섬유</v>
          </cell>
          <cell r="E37" t="str">
            <v>플라스틱 업사이클링 기술이 적용된 셀프케어 기능의 홈 퍼머넌트 키트</v>
          </cell>
          <cell r="F37" t="str">
            <v>0</v>
          </cell>
          <cell r="G37" t="str">
            <v>0</v>
          </cell>
          <cell r="H37" t="str">
            <v>예비</v>
          </cell>
          <cell r="I37" t="str">
            <v>청년</v>
          </cell>
          <cell r="J37">
            <v>0</v>
          </cell>
          <cell r="K37">
            <v>7</v>
          </cell>
          <cell r="L37">
            <v>6</v>
          </cell>
          <cell r="M37">
            <v>16</v>
          </cell>
          <cell r="N37">
            <v>17</v>
          </cell>
          <cell r="O37">
            <v>7</v>
          </cell>
          <cell r="P37">
            <v>7</v>
          </cell>
          <cell r="Q37">
            <v>13</v>
          </cell>
          <cell r="R37">
            <v>3</v>
          </cell>
          <cell r="S37">
            <v>76</v>
          </cell>
          <cell r="T37">
            <v>0</v>
          </cell>
          <cell r="U37">
            <v>76</v>
          </cell>
          <cell r="V37">
            <v>74</v>
          </cell>
          <cell r="W37" t="str">
            <v>창업동기와 문제인식은 비교적 명확하게 제시되었으나, 고객 검증자료는 다소 미흡한 것으로 판단 됨.</v>
          </cell>
        </row>
        <row r="38">
          <cell r="B38">
            <v>20432665</v>
          </cell>
          <cell r="C38" t="str">
            <v>지역기반</v>
          </cell>
          <cell r="D38" t="str">
            <v>화공ㆍ섬유</v>
          </cell>
          <cell r="E38" t="str">
            <v>워크웨어의 진화에 맞춘 툴벨트의 세대교체, 모듈러 테크기어 ‘T.C.R.P.’</v>
          </cell>
          <cell r="F38" t="str">
            <v>0</v>
          </cell>
          <cell r="G38" t="str">
            <v>0</v>
          </cell>
          <cell r="H38" t="str">
            <v>예비</v>
          </cell>
          <cell r="I38" t="str">
            <v>청년</v>
          </cell>
          <cell r="J38">
            <v>0</v>
          </cell>
          <cell r="K38">
            <v>8</v>
          </cell>
          <cell r="L38">
            <v>8</v>
          </cell>
          <cell r="M38">
            <v>15</v>
          </cell>
          <cell r="N38">
            <v>16</v>
          </cell>
          <cell r="O38">
            <v>6</v>
          </cell>
          <cell r="P38">
            <v>6</v>
          </cell>
          <cell r="Q38">
            <v>10</v>
          </cell>
          <cell r="R38">
            <v>2</v>
          </cell>
          <cell r="S38">
            <v>71</v>
          </cell>
          <cell r="T38">
            <v>0</v>
          </cell>
          <cell r="U38">
            <v>71</v>
          </cell>
          <cell r="V38">
            <v>98</v>
          </cell>
          <cell r="W38" t="str">
            <v>창업동기와 문제인식은 비교적 명확하게 제시되었으나, 시장규모와 고객 검증자료는 다소 미흡한 것으로 판단 됨.</v>
          </cell>
        </row>
        <row r="39">
          <cell r="B39">
            <v>20439838</v>
          </cell>
          <cell r="C39" t="str">
            <v>지역기반</v>
          </cell>
          <cell r="D39" t="str">
            <v>화공ㆍ섬유</v>
          </cell>
          <cell r="E39" t="str">
            <v>핏 중심 기능성 러닝웨어 브랜드 개발 및 사업화</v>
          </cell>
          <cell r="F39" t="str">
            <v>0</v>
          </cell>
          <cell r="G39" t="str">
            <v>1</v>
          </cell>
          <cell r="H39" t="str">
            <v>예비</v>
          </cell>
          <cell r="I39" t="str">
            <v>청년</v>
          </cell>
          <cell r="J39">
            <v>0</v>
          </cell>
          <cell r="K39">
            <v>7</v>
          </cell>
          <cell r="L39">
            <v>7</v>
          </cell>
          <cell r="M39">
            <v>15</v>
          </cell>
          <cell r="N39">
            <v>15</v>
          </cell>
          <cell r="O39">
            <v>6</v>
          </cell>
          <cell r="P39">
            <v>6</v>
          </cell>
          <cell r="Q39">
            <v>12</v>
          </cell>
          <cell r="R39">
            <v>2</v>
          </cell>
          <cell r="S39">
            <v>70</v>
          </cell>
          <cell r="T39">
            <v>0</v>
          </cell>
          <cell r="U39">
            <v>70</v>
          </cell>
          <cell r="V39">
            <v>100</v>
          </cell>
          <cell r="W39" t="str">
            <v>창업동기와 문제인식은 비교적 명확하게 제시되었으나, 고객 검증자료는 다소 미흡한 것으로 판단 됨.</v>
          </cell>
        </row>
        <row r="40">
          <cell r="B40">
            <v>20440097</v>
          </cell>
          <cell r="C40" t="str">
            <v>지역기반</v>
          </cell>
          <cell r="D40" t="str">
            <v>화공ㆍ섬유</v>
          </cell>
          <cell r="E40" t="str">
            <v>더마리프(DermaLeaf)</v>
          </cell>
          <cell r="F40" t="str">
            <v>0</v>
          </cell>
          <cell r="G40" t="str">
            <v>0</v>
          </cell>
          <cell r="H40" t="str">
            <v>예비</v>
          </cell>
          <cell r="I40" t="str">
            <v>청년</v>
          </cell>
          <cell r="J40">
            <v>0</v>
          </cell>
          <cell r="K40">
            <v>7</v>
          </cell>
          <cell r="L40">
            <v>7</v>
          </cell>
          <cell r="M40">
            <v>15</v>
          </cell>
          <cell r="N40">
            <v>16</v>
          </cell>
          <cell r="O40">
            <v>6</v>
          </cell>
          <cell r="P40">
            <v>6</v>
          </cell>
          <cell r="Q40">
            <v>12</v>
          </cell>
          <cell r="R40">
            <v>4</v>
          </cell>
          <cell r="S40">
            <v>73</v>
          </cell>
          <cell r="T40">
            <v>0</v>
          </cell>
          <cell r="U40">
            <v>73</v>
          </cell>
          <cell r="V40">
            <v>90</v>
          </cell>
          <cell r="W40" t="str">
            <v>경쟁사 대비 차별화 요소를 제시한 점은 긍정적으로 평가되나 차별성이 실제 기술 우위로 연결되는 근거는 다소 미흡 함.</v>
          </cell>
        </row>
        <row r="41">
          <cell r="B41">
            <v>20440240</v>
          </cell>
          <cell r="C41" t="str">
            <v>지역기반</v>
          </cell>
          <cell r="D41" t="str">
            <v>화공ㆍ섬유</v>
          </cell>
          <cell r="E41" t="str">
            <v>살균·세정 기능이 결합된 듀얼 챔버 2in1 플러셔블 위생 티슈 '털썩&amp;뽀득'</v>
          </cell>
          <cell r="F41" t="str">
            <v>0</v>
          </cell>
          <cell r="G41" t="str">
            <v>0</v>
          </cell>
          <cell r="H41" t="str">
            <v>예비</v>
          </cell>
          <cell r="I41" t="str">
            <v>청년</v>
          </cell>
          <cell r="J41">
            <v>0</v>
          </cell>
          <cell r="K41">
            <v>8</v>
          </cell>
          <cell r="L41">
            <v>8</v>
          </cell>
          <cell r="M41">
            <v>17</v>
          </cell>
          <cell r="N41">
            <v>18</v>
          </cell>
          <cell r="O41">
            <v>7</v>
          </cell>
          <cell r="P41">
            <v>7</v>
          </cell>
          <cell r="Q41">
            <v>14</v>
          </cell>
          <cell r="R41">
            <v>4</v>
          </cell>
          <cell r="S41">
            <v>83</v>
          </cell>
          <cell r="T41">
            <v>0</v>
          </cell>
          <cell r="U41">
            <v>83</v>
          </cell>
          <cell r="V41">
            <v>39</v>
          </cell>
          <cell r="W41" t="str">
            <v>경쟁사 대비 차별화 요소를 제시한 점은 긍정적으로 평가되나, 차별성이 실제 일상 생활에서의 활용성으로 연결될 수 있는 지에 대한 근거는 다소 미흡 함.</v>
          </cell>
        </row>
        <row r="42">
          <cell r="B42">
            <v>20421393</v>
          </cell>
          <cell r="C42" t="str">
            <v>대학발</v>
          </cell>
          <cell r="D42" t="str">
            <v>화공ㆍ섬유</v>
          </cell>
          <cell r="E42" t="str">
            <v>AI, IOT 다중시설 환경 위생관리 솔루션</v>
          </cell>
          <cell r="F42" t="str">
            <v>0</v>
          </cell>
          <cell r="G42" t="str">
            <v>0</v>
          </cell>
          <cell r="H42" t="str">
            <v>예비</v>
          </cell>
          <cell r="I42" t="str">
            <v>청년</v>
          </cell>
          <cell r="J42" t="str">
            <v>요건탈락</v>
          </cell>
          <cell r="S42" t="str">
            <v/>
          </cell>
          <cell r="T42">
            <v>0</v>
          </cell>
          <cell r="U42" t="str">
            <v/>
          </cell>
          <cell r="V42" t="str">
            <v/>
          </cell>
        </row>
        <row r="43">
          <cell r="B43">
            <v>20400362</v>
          </cell>
          <cell r="C43" t="str">
            <v>지역기반</v>
          </cell>
          <cell r="D43" t="str">
            <v>화공ㆍ섬유</v>
          </cell>
          <cell r="E43" t="str">
            <v>고기능성 반려견 퀵-레이스 하네스</v>
          </cell>
          <cell r="F43" t="str">
            <v>1,600</v>
          </cell>
          <cell r="G43" t="str">
            <v>1</v>
          </cell>
          <cell r="H43" t="str">
            <v>초기</v>
          </cell>
          <cell r="I43" t="str">
            <v>청년</v>
          </cell>
          <cell r="J43">
            <v>0</v>
          </cell>
          <cell r="K43">
            <v>7</v>
          </cell>
          <cell r="L43">
            <v>6</v>
          </cell>
          <cell r="M43">
            <v>15</v>
          </cell>
          <cell r="N43">
            <v>15</v>
          </cell>
          <cell r="O43">
            <v>6</v>
          </cell>
          <cell r="P43">
            <v>6</v>
          </cell>
          <cell r="Q43">
            <v>14</v>
          </cell>
          <cell r="R43">
            <v>4</v>
          </cell>
          <cell r="S43">
            <v>73</v>
          </cell>
          <cell r="T43">
            <v>0</v>
          </cell>
          <cell r="U43">
            <v>73</v>
          </cell>
          <cell r="V43">
            <v>90</v>
          </cell>
          <cell r="W43" t="str">
            <v>창업동기와 문제인식은 비교적 명확하게 제시되었으나, 고객 검증자료는 다소 미흡한 것으로 판단 됨.</v>
          </cell>
        </row>
        <row r="44">
          <cell r="B44">
            <v>20401269</v>
          </cell>
          <cell r="C44" t="str">
            <v>지역기반</v>
          </cell>
          <cell r="D44" t="str">
            <v>화공ㆍ섬유</v>
          </cell>
          <cell r="E44" t="str">
            <v>수상 스포츠 이후 아로마테라피를 활용한 ‘After-Water Ritual’ 스킨케어 브랜드</v>
          </cell>
          <cell r="F44" t="str">
            <v>41,352,356</v>
          </cell>
          <cell r="G44" t="str">
            <v>0</v>
          </cell>
          <cell r="H44" t="str">
            <v>초기</v>
          </cell>
          <cell r="I44" t="str">
            <v>청년</v>
          </cell>
          <cell r="J44" t="str">
            <v>면제</v>
          </cell>
          <cell r="S44" t="str">
            <v/>
          </cell>
          <cell r="T44">
            <v>0</v>
          </cell>
          <cell r="U44">
            <v>100</v>
          </cell>
          <cell r="V44" t="str">
            <v/>
          </cell>
        </row>
        <row r="45">
          <cell r="B45">
            <v>20401779</v>
          </cell>
          <cell r="C45" t="str">
            <v>지역기반</v>
          </cell>
          <cell r="D45" t="str">
            <v>화공ㆍ섬유</v>
          </cell>
          <cell r="E45" t="str">
            <v>안자극이 없는 수경 안티포그액</v>
          </cell>
          <cell r="F45" t="str">
            <v>208,378,702</v>
          </cell>
          <cell r="G45" t="str">
            <v>0</v>
          </cell>
          <cell r="H45" t="str">
            <v>초기</v>
          </cell>
          <cell r="I45" t="str">
            <v>중장년</v>
          </cell>
          <cell r="J45">
            <v>0</v>
          </cell>
          <cell r="K45">
            <v>7</v>
          </cell>
          <cell r="L45">
            <v>6</v>
          </cell>
          <cell r="M45">
            <v>15</v>
          </cell>
          <cell r="N45">
            <v>13</v>
          </cell>
          <cell r="O45">
            <v>7</v>
          </cell>
          <cell r="P45">
            <v>6</v>
          </cell>
          <cell r="Q45">
            <v>15</v>
          </cell>
          <cell r="R45">
            <v>3</v>
          </cell>
          <cell r="S45">
            <v>72</v>
          </cell>
          <cell r="T45">
            <v>0</v>
          </cell>
          <cell r="U45">
            <v>72</v>
          </cell>
          <cell r="V45">
            <v>95</v>
          </cell>
          <cell r="W45" t="str">
            <v>창업동기와 문제인식은 비교적 명확하게 제시되었으나, 실제 현장에서의 적용성에 대한 검증이 다소 미흡한 것으로 판단 됨.</v>
          </cell>
        </row>
        <row r="46">
          <cell r="B46">
            <v>20402078</v>
          </cell>
          <cell r="C46" t="str">
            <v>지역기반</v>
          </cell>
          <cell r="D46" t="str">
            <v>화공ㆍ섬유</v>
          </cell>
          <cell r="E46" t="str">
            <v>[글로벌 타겟] AI 톤적응 마이크로캡슐 기반 스킨케어형 컬러체인지 커버선크림 개발 및 사업화</v>
          </cell>
          <cell r="F46" t="str">
            <v>128,835,710</v>
          </cell>
          <cell r="G46" t="str">
            <v>2</v>
          </cell>
          <cell r="H46" t="str">
            <v>초기</v>
          </cell>
          <cell r="I46" t="str">
            <v>청년</v>
          </cell>
          <cell r="J46">
            <v>0</v>
          </cell>
          <cell r="K46">
            <v>8</v>
          </cell>
          <cell r="L46">
            <v>8</v>
          </cell>
          <cell r="M46">
            <v>18</v>
          </cell>
          <cell r="N46">
            <v>18</v>
          </cell>
          <cell r="O46">
            <v>9</v>
          </cell>
          <cell r="P46">
            <v>8</v>
          </cell>
          <cell r="Q46">
            <v>15</v>
          </cell>
          <cell r="R46">
            <v>5</v>
          </cell>
          <cell r="S46">
            <v>89</v>
          </cell>
          <cell r="T46">
            <v>2</v>
          </cell>
          <cell r="U46">
            <v>91</v>
          </cell>
          <cell r="V46">
            <v>2</v>
          </cell>
          <cell r="W46" t="str">
            <v>전반적으로 차별화 방향이 확인 됨.</v>
          </cell>
        </row>
        <row r="47">
          <cell r="B47">
            <v>20403598</v>
          </cell>
          <cell r="C47" t="str">
            <v>지역기반</v>
          </cell>
          <cell r="D47" t="str">
            <v>화공ㆍ섬유</v>
          </cell>
          <cell r="E47" t="str">
            <v>리텐션 고도화형 B2B 글로벌 수출 K-뷰티 속눈썹·글루 제품</v>
          </cell>
          <cell r="F47" t="str">
            <v>0</v>
          </cell>
          <cell r="G47" t="str">
            <v>0</v>
          </cell>
          <cell r="H47" t="str">
            <v>초기</v>
          </cell>
          <cell r="I47" t="str">
            <v>중장년</v>
          </cell>
          <cell r="J47">
            <v>0</v>
          </cell>
          <cell r="K47">
            <v>8</v>
          </cell>
          <cell r="L47">
            <v>8</v>
          </cell>
          <cell r="M47">
            <v>16</v>
          </cell>
          <cell r="N47">
            <v>15</v>
          </cell>
          <cell r="O47">
            <v>8</v>
          </cell>
          <cell r="P47">
            <v>7</v>
          </cell>
          <cell r="Q47">
            <v>14</v>
          </cell>
          <cell r="R47">
            <v>4</v>
          </cell>
          <cell r="S47">
            <v>80</v>
          </cell>
          <cell r="T47">
            <v>0</v>
          </cell>
          <cell r="U47">
            <v>80</v>
          </cell>
          <cell r="V47">
            <v>50</v>
          </cell>
          <cell r="W47" t="str">
            <v>창업동기와 문제인식은 비교적 명확하게 제시되었으나, 고객 검증자료는 다소 미흡한 것으로 판단 됨.</v>
          </cell>
        </row>
        <row r="48">
          <cell r="B48">
            <v>20404733</v>
          </cell>
          <cell r="C48" t="str">
            <v>지역기반</v>
          </cell>
          <cell r="D48" t="str">
            <v>화공ㆍ섬유</v>
          </cell>
          <cell r="E48" t="str">
            <v xml:space="preserve">기능성 재활용 필름 기술이 적용된 방취, 고강도 기능의 친환경 반려동물 위생 소재 </v>
          </cell>
          <cell r="F48" t="str">
            <v>35,000,000</v>
          </cell>
          <cell r="G48" t="str">
            <v>3</v>
          </cell>
          <cell r="H48" t="str">
            <v>초기</v>
          </cell>
          <cell r="I48" t="str">
            <v>중장년</v>
          </cell>
          <cell r="J48">
            <v>0</v>
          </cell>
          <cell r="K48">
            <v>7</v>
          </cell>
          <cell r="L48">
            <v>8</v>
          </cell>
          <cell r="M48">
            <v>18</v>
          </cell>
          <cell r="N48">
            <v>18</v>
          </cell>
          <cell r="O48">
            <v>9</v>
          </cell>
          <cell r="P48">
            <v>9</v>
          </cell>
          <cell r="Q48">
            <v>14</v>
          </cell>
          <cell r="R48">
            <v>4</v>
          </cell>
          <cell r="S48">
            <v>87</v>
          </cell>
          <cell r="T48">
            <v>0</v>
          </cell>
          <cell r="U48">
            <v>87</v>
          </cell>
          <cell r="V48">
            <v>17</v>
          </cell>
          <cell r="W48" t="str">
            <v>아이템의 핵심 기능과 활용 방안이 구체적으로 정리가 되어 있으며, 추진 계획의 완성도도 비교적 양호한 것으로 판단 됨.</v>
          </cell>
        </row>
        <row r="49">
          <cell r="B49">
            <v>20406503</v>
          </cell>
          <cell r="C49" t="str">
            <v>지역기반</v>
          </cell>
          <cell r="D49" t="str">
            <v>화공ㆍ섬유</v>
          </cell>
          <cell r="E49" t="str">
            <v>친환경 생분해 소재 기반 HDPE(High-Density Polyethylene) 대체용  탄소절감, 빗물 재활용, 수목 성장촉진을 위한 수목통 기관 설계 개발</v>
          </cell>
          <cell r="F49" t="str">
            <v>210,000,000</v>
          </cell>
          <cell r="G49" t="str">
            <v>2</v>
          </cell>
          <cell r="H49" t="str">
            <v>초기</v>
          </cell>
          <cell r="I49" t="str">
            <v>중장년</v>
          </cell>
          <cell r="J49">
            <v>0</v>
          </cell>
          <cell r="K49">
            <v>8</v>
          </cell>
          <cell r="L49">
            <v>6</v>
          </cell>
          <cell r="M49">
            <v>15</v>
          </cell>
          <cell r="N49">
            <v>15</v>
          </cell>
          <cell r="O49">
            <v>6</v>
          </cell>
          <cell r="P49">
            <v>5</v>
          </cell>
          <cell r="Q49">
            <v>12</v>
          </cell>
          <cell r="R49">
            <v>3</v>
          </cell>
          <cell r="S49">
            <v>70</v>
          </cell>
          <cell r="T49">
            <v>0</v>
          </cell>
          <cell r="U49">
            <v>70</v>
          </cell>
          <cell r="V49">
            <v>100</v>
          </cell>
          <cell r="W49" t="str">
            <v>아이템의 핵심 기능과 활용 방안의 실효성에 대한 검증과 실제 적용시 사업성에 대한 검토가 미흡한 것으로 판단 됨.</v>
          </cell>
        </row>
        <row r="50">
          <cell r="B50">
            <v>20407388</v>
          </cell>
          <cell r="C50" t="str">
            <v>지역기반</v>
          </cell>
          <cell r="D50" t="str">
            <v>화공ㆍ섬유</v>
          </cell>
          <cell r="E50" t="str">
            <v>F.BRX - 동대문 소상공인 원단업체을 위한 섬유 특화 3D/AI 기반 디지털 콘텐츠 제작 서비스</v>
          </cell>
          <cell r="F50" t="str">
            <v>60,000,000</v>
          </cell>
          <cell r="G50" t="str">
            <v>0</v>
          </cell>
          <cell r="H50" t="str">
            <v>초기</v>
          </cell>
          <cell r="I50" t="str">
            <v>중장년</v>
          </cell>
          <cell r="J50">
            <v>0</v>
          </cell>
          <cell r="K50">
            <v>8</v>
          </cell>
          <cell r="L50">
            <v>8</v>
          </cell>
          <cell r="M50">
            <v>17</v>
          </cell>
          <cell r="N50">
            <v>17</v>
          </cell>
          <cell r="O50">
            <v>7</v>
          </cell>
          <cell r="P50">
            <v>8</v>
          </cell>
          <cell r="Q50">
            <v>14</v>
          </cell>
          <cell r="R50">
            <v>3</v>
          </cell>
          <cell r="S50">
            <v>82</v>
          </cell>
          <cell r="T50">
            <v>0</v>
          </cell>
          <cell r="U50">
            <v>82</v>
          </cell>
          <cell r="V50">
            <v>41</v>
          </cell>
          <cell r="W50" t="str">
            <v>창업동기와 문제 인식은 비교적 명확하게 제시되었으나, 외부자원 활용계획에 대한 자료 제시는 미흡한 것으로 판단 됨.</v>
          </cell>
        </row>
        <row r="51">
          <cell r="B51">
            <v>20407919</v>
          </cell>
          <cell r="C51" t="str">
            <v>지역기반</v>
          </cell>
          <cell r="D51" t="str">
            <v>화공ㆍ섬유</v>
          </cell>
          <cell r="E51" t="str">
            <v>세제를 함유하고 간편한 일회용 건식 수세미</v>
          </cell>
          <cell r="F51" t="str">
            <v>195,000,000</v>
          </cell>
          <cell r="G51" t="str">
            <v>0</v>
          </cell>
          <cell r="H51" t="str">
            <v>초기</v>
          </cell>
          <cell r="I51" t="str">
            <v>중장년</v>
          </cell>
          <cell r="J51">
            <v>0</v>
          </cell>
          <cell r="K51">
            <v>8</v>
          </cell>
          <cell r="L51">
            <v>7</v>
          </cell>
          <cell r="M51">
            <v>15</v>
          </cell>
          <cell r="N51">
            <v>15</v>
          </cell>
          <cell r="O51">
            <v>7</v>
          </cell>
          <cell r="P51">
            <v>5</v>
          </cell>
          <cell r="Q51">
            <v>13</v>
          </cell>
          <cell r="R51">
            <v>4</v>
          </cell>
          <cell r="S51">
            <v>74</v>
          </cell>
          <cell r="T51">
            <v>0</v>
          </cell>
          <cell r="U51">
            <v>74</v>
          </cell>
          <cell r="V51">
            <v>85</v>
          </cell>
          <cell r="W51" t="str">
            <v>창업동기와 문제 인식은 비교적 명확하게 제시되었으나, 실제 적용시 사업성에 대한 검토가 미흡한 것으로 판단 됨.</v>
          </cell>
        </row>
        <row r="52">
          <cell r="B52">
            <v>20408878</v>
          </cell>
          <cell r="C52" t="str">
            <v>지역기반</v>
          </cell>
          <cell r="D52" t="str">
            <v>화공ㆍ섬유</v>
          </cell>
          <cell r="E52" t="str">
            <v>HERMEN – Preserve Line [스킨 케어 브랜드 (화장품)]</v>
          </cell>
          <cell r="F52" t="str">
            <v>0</v>
          </cell>
          <cell r="G52" t="str">
            <v>1</v>
          </cell>
          <cell r="H52" t="str">
            <v>초기</v>
          </cell>
          <cell r="I52" t="str">
            <v>중장년</v>
          </cell>
          <cell r="J52">
            <v>0</v>
          </cell>
          <cell r="K52">
            <v>6</v>
          </cell>
          <cell r="L52">
            <v>6</v>
          </cell>
          <cell r="M52">
            <v>14</v>
          </cell>
          <cell r="N52">
            <v>15</v>
          </cell>
          <cell r="O52">
            <v>7</v>
          </cell>
          <cell r="P52">
            <v>5</v>
          </cell>
          <cell r="Q52">
            <v>13</v>
          </cell>
          <cell r="R52">
            <v>4</v>
          </cell>
          <cell r="S52">
            <v>70</v>
          </cell>
          <cell r="T52">
            <v>0</v>
          </cell>
          <cell r="U52">
            <v>70</v>
          </cell>
          <cell r="V52">
            <v>100</v>
          </cell>
          <cell r="W52" t="str">
            <v>창업아이템의 개발 배경과 목적은 비교적 명확히 제시가 되었으나, 아이템(제품)애 대한 구체적인 설명과 차별성에 대한 내용 제시가 미흡한 것으로 판단 됨.</v>
          </cell>
        </row>
        <row r="53">
          <cell r="B53">
            <v>20409143</v>
          </cell>
          <cell r="C53" t="str">
            <v>지역기반</v>
          </cell>
          <cell r="D53" t="str">
            <v>화공ㆍ섬유</v>
          </cell>
          <cell r="E53" t="str">
            <v>N52 등급 자성 결합 기술과 하이브리드 소재 공정을 적용한 맥세이프 부착형 프리미엄 립 케어 모듈 개발</v>
          </cell>
          <cell r="F53" t="str">
            <v>0</v>
          </cell>
          <cell r="G53" t="str">
            <v>3</v>
          </cell>
          <cell r="H53" t="str">
            <v>초기</v>
          </cell>
          <cell r="I53" t="str">
            <v>중장년</v>
          </cell>
          <cell r="J53">
            <v>0</v>
          </cell>
          <cell r="K53">
            <v>8</v>
          </cell>
          <cell r="L53">
            <v>8</v>
          </cell>
          <cell r="M53">
            <v>18</v>
          </cell>
          <cell r="N53">
            <v>18</v>
          </cell>
          <cell r="O53">
            <v>8</v>
          </cell>
          <cell r="P53">
            <v>8</v>
          </cell>
          <cell r="Q53">
            <v>15</v>
          </cell>
          <cell r="R53">
            <v>5</v>
          </cell>
          <cell r="S53">
            <v>88</v>
          </cell>
          <cell r="T53">
            <v>0</v>
          </cell>
          <cell r="U53">
            <v>88</v>
          </cell>
          <cell r="V53">
            <v>13</v>
          </cell>
          <cell r="W53" t="str">
            <v>아이템의 핵심 기능과 활용 방안이 구체적으로 정리가 되어 있으며, 추진 계획의 완성도 및 사업화 가능성도 비교적 양호한 것으로 판단 됨.</v>
          </cell>
        </row>
        <row r="54">
          <cell r="B54">
            <v>20410189</v>
          </cell>
          <cell r="C54" t="str">
            <v>지역기반</v>
          </cell>
          <cell r="D54" t="str">
            <v>화공ㆍ섬유</v>
          </cell>
          <cell r="E54" t="str">
            <v>모듈형 교체식 관절 연동 체결 기술을 적용한 소프트 스윔베이트 (Soft Swim Bait Incorporating Modular Interchangeable Articulated Joint Coupling Technology)</v>
          </cell>
          <cell r="F54" t="str">
            <v>156,016,299</v>
          </cell>
          <cell r="G54" t="str">
            <v>1</v>
          </cell>
          <cell r="H54" t="str">
            <v>초기</v>
          </cell>
          <cell r="I54" t="str">
            <v>중장년</v>
          </cell>
          <cell r="J54">
            <v>0</v>
          </cell>
          <cell r="K54">
            <v>8</v>
          </cell>
          <cell r="L54">
            <v>8</v>
          </cell>
          <cell r="M54">
            <v>18</v>
          </cell>
          <cell r="N54">
            <v>18</v>
          </cell>
          <cell r="O54">
            <v>9</v>
          </cell>
          <cell r="P54">
            <v>9</v>
          </cell>
          <cell r="Q54">
            <v>15</v>
          </cell>
          <cell r="R54">
            <v>4</v>
          </cell>
          <cell r="S54">
            <v>89</v>
          </cell>
          <cell r="T54">
            <v>0</v>
          </cell>
          <cell r="U54">
            <v>89</v>
          </cell>
          <cell r="V54">
            <v>10</v>
          </cell>
          <cell r="W54" t="str">
            <v>창업아이템의 개발 배경과 목적이 명확하게 제시가 되어 있고, 사업계획의 방향성과 구체성도 비교적 적절한 것으로 판단 됨.</v>
          </cell>
        </row>
        <row r="55">
          <cell r="B55">
            <v>20411654</v>
          </cell>
          <cell r="C55" t="str">
            <v>지역기반</v>
          </cell>
          <cell r="D55" t="str">
            <v>화공ㆍ섬유</v>
          </cell>
          <cell r="E55" t="str">
            <v>여성 착용 편안성을 개선한 기능성 심리스 브라 및 언더웨어 제품 개발 사업</v>
          </cell>
          <cell r="F55" t="str">
            <v>230,000,000</v>
          </cell>
          <cell r="G55" t="str">
            <v>3</v>
          </cell>
          <cell r="H55" t="str">
            <v>초기</v>
          </cell>
          <cell r="I55" t="str">
            <v>중장년</v>
          </cell>
          <cell r="J55">
            <v>0</v>
          </cell>
          <cell r="K55">
            <v>7</v>
          </cell>
          <cell r="L55">
            <v>7</v>
          </cell>
          <cell r="M55">
            <v>14</v>
          </cell>
          <cell r="N55">
            <v>14</v>
          </cell>
          <cell r="O55">
            <v>6</v>
          </cell>
          <cell r="P55">
            <v>6</v>
          </cell>
          <cell r="Q55">
            <v>13</v>
          </cell>
          <cell r="R55">
            <v>3</v>
          </cell>
          <cell r="S55">
            <v>70</v>
          </cell>
          <cell r="T55">
            <v>0</v>
          </cell>
          <cell r="U55">
            <v>70</v>
          </cell>
          <cell r="V55">
            <v>100</v>
          </cell>
          <cell r="W55" t="str">
            <v>아이템의 기술수요와 개발방향은 이해하기 쉽게 작성되었으나, 현재 개발 단계와 목표 수준의 구분은 다소 미흡 함.</v>
          </cell>
        </row>
        <row r="56">
          <cell r="B56">
            <v>20411886</v>
          </cell>
          <cell r="C56" t="str">
            <v>지역기반</v>
          </cell>
          <cell r="D56" t="str">
            <v>화공ㆍ섬유</v>
          </cell>
          <cell r="E56" t="str">
            <v>마이크로에센셜 포물러 기술이 적용된 패밀리 더마 웰니스 바디케어 키트 개발</v>
          </cell>
          <cell r="F56" t="str">
            <v>40,000,000</v>
          </cell>
          <cell r="G56" t="str">
            <v>0</v>
          </cell>
          <cell r="H56" t="str">
            <v>초기</v>
          </cell>
          <cell r="I56" t="str">
            <v>중장년</v>
          </cell>
          <cell r="J56">
            <v>0</v>
          </cell>
          <cell r="K56">
            <v>7</v>
          </cell>
          <cell r="L56">
            <v>7</v>
          </cell>
          <cell r="M56">
            <v>14</v>
          </cell>
          <cell r="N56">
            <v>15</v>
          </cell>
          <cell r="O56">
            <v>6</v>
          </cell>
          <cell r="P56">
            <v>6</v>
          </cell>
          <cell r="Q56">
            <v>13</v>
          </cell>
          <cell r="R56">
            <v>4</v>
          </cell>
          <cell r="S56">
            <v>72</v>
          </cell>
          <cell r="T56">
            <v>0</v>
          </cell>
          <cell r="U56">
            <v>72</v>
          </cell>
          <cell r="V56">
            <v>95</v>
          </cell>
          <cell r="W56" t="str">
            <v>아이템의 기술수요와 개발방향은 이해하기 쉽게 작성되었으나, 아이템(제품)애 대한 구체적인 설명과 차별성에 대한 내용 제시가 미흡한 것으로 판단 됨</v>
          </cell>
        </row>
        <row r="57">
          <cell r="B57">
            <v>20412771</v>
          </cell>
          <cell r="C57" t="str">
            <v>지역기반</v>
          </cell>
          <cell r="D57" t="str">
            <v>화공ㆍ섬유</v>
          </cell>
          <cell r="E57" t="str">
            <v>고온 향 유지 기반 1인 가구 맞춤형 원스톱 조미료 제조 사업</v>
          </cell>
          <cell r="F57" t="str">
            <v>148,994,539</v>
          </cell>
          <cell r="G57" t="str">
            <v>1</v>
          </cell>
          <cell r="H57" t="str">
            <v>초기</v>
          </cell>
          <cell r="I57" t="str">
            <v>청년</v>
          </cell>
          <cell r="J57">
            <v>0</v>
          </cell>
          <cell r="K57">
            <v>7</v>
          </cell>
          <cell r="L57">
            <v>7</v>
          </cell>
          <cell r="M57">
            <v>15</v>
          </cell>
          <cell r="N57">
            <v>15</v>
          </cell>
          <cell r="O57">
            <v>6</v>
          </cell>
          <cell r="P57">
            <v>7</v>
          </cell>
          <cell r="Q57">
            <v>13</v>
          </cell>
          <cell r="R57">
            <v>4</v>
          </cell>
          <cell r="S57">
            <v>74</v>
          </cell>
          <cell r="T57">
            <v>2</v>
          </cell>
          <cell r="U57">
            <v>76</v>
          </cell>
          <cell r="V57">
            <v>74</v>
          </cell>
          <cell r="W57" t="str">
            <v>창업아이템의 개발 배경과 목적은 명확하게 제시가 되어 있으나, 개발된 제품의 차별성과 아이템의 시장 적용 가능성에 대한 구체성은 미흡한 것으로 판단 됨.</v>
          </cell>
        </row>
        <row r="58">
          <cell r="B58">
            <v>20413602</v>
          </cell>
          <cell r="C58" t="str">
            <v>지역기반</v>
          </cell>
          <cell r="D58" t="str">
            <v>화공ㆍ섬유</v>
          </cell>
          <cell r="E58" t="str">
            <v>인플루언서 팬덤을 매출로 전환하는 제조 기반 커머스 플랫폼</v>
          </cell>
          <cell r="F58" t="str">
            <v>300,000,000</v>
          </cell>
          <cell r="G58" t="str">
            <v>3</v>
          </cell>
          <cell r="H58" t="str">
            <v>초기</v>
          </cell>
          <cell r="I58" t="str">
            <v>청년</v>
          </cell>
          <cell r="J58">
            <v>0</v>
          </cell>
          <cell r="K58">
            <v>7</v>
          </cell>
          <cell r="L58">
            <v>6</v>
          </cell>
          <cell r="M58">
            <v>16</v>
          </cell>
          <cell r="N58">
            <v>15</v>
          </cell>
          <cell r="O58">
            <v>6</v>
          </cell>
          <cell r="P58">
            <v>7</v>
          </cell>
          <cell r="Q58">
            <v>13</v>
          </cell>
          <cell r="R58">
            <v>3</v>
          </cell>
          <cell r="S58">
            <v>73</v>
          </cell>
          <cell r="T58">
            <v>0</v>
          </cell>
          <cell r="U58">
            <v>73</v>
          </cell>
          <cell r="V58">
            <v>90</v>
          </cell>
          <cell r="W58" t="str">
            <v>아이템의 기술수요와 개발방향은 이해하기 쉽게 작성 되어 있으나, 전반적으로 사업화 가능성을 검토한 수준은 다소 미흡 함.</v>
          </cell>
        </row>
        <row r="59">
          <cell r="B59">
            <v>20413912</v>
          </cell>
          <cell r="C59" t="str">
            <v>지역기반</v>
          </cell>
          <cell r="D59" t="str">
            <v>화공ㆍ섬유</v>
          </cell>
          <cell r="E59" t="str">
            <v>20만건 퍼스널컬러 진단 데이터를 기반으로 메이크업·패션 제품을 개인 맞춤 추천하는 AI 연계형 K-뷰티 글로벌 플랫폼</v>
          </cell>
          <cell r="F59" t="str">
            <v>1,563,403,436</v>
          </cell>
          <cell r="G59" t="str">
            <v>11</v>
          </cell>
          <cell r="H59" t="str">
            <v>초기</v>
          </cell>
          <cell r="I59" t="str">
            <v>중장년</v>
          </cell>
          <cell r="J59">
            <v>0</v>
          </cell>
          <cell r="K59">
            <v>7</v>
          </cell>
          <cell r="L59">
            <v>7</v>
          </cell>
          <cell r="M59">
            <v>14</v>
          </cell>
          <cell r="N59">
            <v>15</v>
          </cell>
          <cell r="O59">
            <v>6</v>
          </cell>
          <cell r="P59">
            <v>5</v>
          </cell>
          <cell r="Q59">
            <v>13</v>
          </cell>
          <cell r="R59">
            <v>3</v>
          </cell>
          <cell r="S59">
            <v>70</v>
          </cell>
          <cell r="T59">
            <v>0</v>
          </cell>
          <cell r="U59">
            <v>70</v>
          </cell>
          <cell r="V59">
            <v>100</v>
          </cell>
          <cell r="W59" t="str">
            <v>아이템의 기술수요와 개발방향은 이해하기 쉽게 작성되었으나, 전반적으로 추진 계획의 완성도는 미흡한 것으로 판단 됨.</v>
          </cell>
        </row>
        <row r="60">
          <cell r="B60">
            <v>20414538</v>
          </cell>
          <cell r="C60" t="str">
            <v>지역기반</v>
          </cell>
          <cell r="D60" t="str">
            <v>화공ㆍ섬유</v>
          </cell>
          <cell r="E60" t="str">
            <v>콘텐츠 반응 데이터 기반 소비자 니즈 분석을 통한 PB 제품 개발 및 운영 프로세스 기술 개발</v>
          </cell>
          <cell r="F60" t="str">
            <v>2,714,536,481</v>
          </cell>
          <cell r="G60" t="str">
            <v>11</v>
          </cell>
          <cell r="H60" t="str">
            <v>초기</v>
          </cell>
          <cell r="I60" t="str">
            <v>청년</v>
          </cell>
          <cell r="J60">
            <v>0</v>
          </cell>
          <cell r="K60">
            <v>7</v>
          </cell>
          <cell r="L60">
            <v>7</v>
          </cell>
          <cell r="M60">
            <v>14</v>
          </cell>
          <cell r="N60">
            <v>14</v>
          </cell>
          <cell r="O60">
            <v>6</v>
          </cell>
          <cell r="P60">
            <v>5</v>
          </cell>
          <cell r="Q60">
            <v>13</v>
          </cell>
          <cell r="R60">
            <v>4</v>
          </cell>
          <cell r="S60">
            <v>70</v>
          </cell>
          <cell r="T60">
            <v>0</v>
          </cell>
          <cell r="U60">
            <v>70</v>
          </cell>
          <cell r="V60">
            <v>100</v>
          </cell>
          <cell r="W60" t="str">
            <v>창업동기와 문제 인식은 비교적 명확하게 제시가 되었으나, 실제 적용 및 사업성에 대한 검토가 미흡한 것으로 판단 됨.</v>
          </cell>
        </row>
        <row r="61">
          <cell r="B61">
            <v>20414836</v>
          </cell>
          <cell r="C61" t="str">
            <v>지역기반</v>
          </cell>
          <cell r="D61" t="str">
            <v>화공ㆍ섬유</v>
          </cell>
          <cell r="E61" t="str">
            <v>백리향 기반 pH 중화 기술을 적용한 친환경 섬유유연제</v>
          </cell>
          <cell r="F61" t="str">
            <v>90,000,000</v>
          </cell>
          <cell r="G61" t="str">
            <v>0</v>
          </cell>
          <cell r="H61" t="str">
            <v>초기</v>
          </cell>
          <cell r="I61" t="str">
            <v>중장년</v>
          </cell>
          <cell r="J61">
            <v>0</v>
          </cell>
          <cell r="K61">
            <v>8</v>
          </cell>
          <cell r="L61">
            <v>8</v>
          </cell>
          <cell r="M61">
            <v>18</v>
          </cell>
          <cell r="N61">
            <v>17</v>
          </cell>
          <cell r="O61">
            <v>7</v>
          </cell>
          <cell r="P61">
            <v>8</v>
          </cell>
          <cell r="Q61">
            <v>14</v>
          </cell>
          <cell r="R61">
            <v>4</v>
          </cell>
          <cell r="S61">
            <v>84</v>
          </cell>
          <cell r="T61">
            <v>0</v>
          </cell>
          <cell r="U61">
            <v>84</v>
          </cell>
          <cell r="V61">
            <v>35</v>
          </cell>
          <cell r="W61" t="str">
            <v>창업동기와 문제 인식은 비교적 명확하게 제시가 되어 있으나, 실제 차별성이 기술 우위로 연결되는 설명이 다소 미흠 함.</v>
          </cell>
        </row>
        <row r="62">
          <cell r="B62">
            <v>20415499</v>
          </cell>
          <cell r="C62" t="str">
            <v>지역기반</v>
          </cell>
          <cell r="D62" t="str">
            <v>화공ㆍ섬유</v>
          </cell>
          <cell r="E62" t="str">
            <v>초고속 냉연/도금 강판 생산 라인을 위한 반응형 초계면(Super-Interface) 탈지제</v>
          </cell>
          <cell r="F62" t="str">
            <v>504,000,000</v>
          </cell>
          <cell r="G62" t="str">
            <v>1</v>
          </cell>
          <cell r="H62" t="str">
            <v>초기</v>
          </cell>
          <cell r="I62" t="str">
            <v>청년</v>
          </cell>
          <cell r="J62">
            <v>0</v>
          </cell>
          <cell r="K62">
            <v>9</v>
          </cell>
          <cell r="L62">
            <v>9</v>
          </cell>
          <cell r="M62">
            <v>18</v>
          </cell>
          <cell r="N62">
            <v>18</v>
          </cell>
          <cell r="O62">
            <v>9</v>
          </cell>
          <cell r="P62">
            <v>8</v>
          </cell>
          <cell r="Q62">
            <v>14</v>
          </cell>
          <cell r="R62">
            <v>5</v>
          </cell>
          <cell r="S62">
            <v>90</v>
          </cell>
          <cell r="T62">
            <v>0</v>
          </cell>
          <cell r="U62">
            <v>90</v>
          </cell>
          <cell r="V62">
            <v>6</v>
          </cell>
          <cell r="W62" t="str">
            <v>창업동기와 문제 인식이 명확하게 제시가 되었으며, 활용성에 대한 설명도 비교적 양호한 것으로 판단 됨.</v>
          </cell>
        </row>
        <row r="63">
          <cell r="B63">
            <v>20416443</v>
          </cell>
          <cell r="C63" t="str">
            <v>지역기반</v>
          </cell>
          <cell r="D63" t="str">
            <v>화공ㆍ섬유</v>
          </cell>
          <cell r="E63" t="str">
            <v>고해상도 DFSR(Dry Film Solder Resist) 제조기술 개발</v>
          </cell>
          <cell r="F63" t="str">
            <v>250,000,000</v>
          </cell>
          <cell r="G63" t="str">
            <v>2</v>
          </cell>
          <cell r="H63" t="str">
            <v>초기</v>
          </cell>
          <cell r="I63" t="str">
            <v>중장년</v>
          </cell>
          <cell r="J63">
            <v>0</v>
          </cell>
          <cell r="K63">
            <v>9</v>
          </cell>
          <cell r="L63">
            <v>9</v>
          </cell>
          <cell r="M63">
            <v>19</v>
          </cell>
          <cell r="N63">
            <v>19</v>
          </cell>
          <cell r="O63">
            <v>9</v>
          </cell>
          <cell r="P63">
            <v>8</v>
          </cell>
          <cell r="Q63">
            <v>14</v>
          </cell>
          <cell r="R63">
            <v>5</v>
          </cell>
          <cell r="S63">
            <v>92</v>
          </cell>
          <cell r="T63">
            <v>0</v>
          </cell>
          <cell r="U63">
            <v>92</v>
          </cell>
          <cell r="V63">
            <v>1</v>
          </cell>
          <cell r="W63" t="str">
            <v>창업 동기와 문제 인식이 비교적 명확하게 제시가 되어 있으며, 사업화 가능성을 검토한 수준이 양호한 것으로 판단 됨.</v>
          </cell>
        </row>
        <row r="64">
          <cell r="B64">
            <v>20416549</v>
          </cell>
          <cell r="C64" t="str">
            <v>지역기반</v>
          </cell>
          <cell r="D64" t="str">
            <v>화공ㆍ섬유</v>
          </cell>
          <cell r="E64" t="str">
            <v>특허 기반 3중 레이어 기술 적용 보습 패드팩 개발 및 글로벌 진출</v>
          </cell>
          <cell r="F64" t="str">
            <v>203,000,000</v>
          </cell>
          <cell r="G64" t="str">
            <v>3</v>
          </cell>
          <cell r="H64" t="str">
            <v>초기</v>
          </cell>
          <cell r="I64" t="str">
            <v>청년</v>
          </cell>
          <cell r="J64">
            <v>0</v>
          </cell>
          <cell r="K64">
            <v>7</v>
          </cell>
          <cell r="L64">
            <v>8</v>
          </cell>
          <cell r="M64">
            <v>16</v>
          </cell>
          <cell r="N64">
            <v>16</v>
          </cell>
          <cell r="O64">
            <v>8</v>
          </cell>
          <cell r="P64">
            <v>7</v>
          </cell>
          <cell r="Q64">
            <v>13</v>
          </cell>
          <cell r="R64">
            <v>3</v>
          </cell>
          <cell r="S64">
            <v>78</v>
          </cell>
          <cell r="T64">
            <v>2</v>
          </cell>
          <cell r="U64">
            <v>80</v>
          </cell>
          <cell r="V64">
            <v>50</v>
          </cell>
          <cell r="W64" t="str">
            <v>창업 동기와 문제 인식이 비교적 명확하게 제시가 되어 있으나, 목표 시장과 고객에 대한 이해 수준이 다소 부족 함.</v>
          </cell>
        </row>
        <row r="65">
          <cell r="B65">
            <v>20417276</v>
          </cell>
          <cell r="C65" t="str">
            <v>지역기반</v>
          </cell>
          <cell r="D65" t="str">
            <v>화공ㆍ섬유</v>
          </cell>
          <cell r="E65" t="str">
            <v>AI기술이 적용된 수면 피부 맞춤 침구 솔루션 제품 서비스</v>
          </cell>
          <cell r="F65" t="str">
            <v>20,000,000</v>
          </cell>
          <cell r="G65" t="str">
            <v>2</v>
          </cell>
          <cell r="H65" t="str">
            <v>초기</v>
          </cell>
          <cell r="I65" t="str">
            <v>중장년</v>
          </cell>
          <cell r="J65">
            <v>0</v>
          </cell>
          <cell r="K65">
            <v>7</v>
          </cell>
          <cell r="L65">
            <v>8</v>
          </cell>
          <cell r="M65">
            <v>17</v>
          </cell>
          <cell r="N65">
            <v>17</v>
          </cell>
          <cell r="O65">
            <v>8</v>
          </cell>
          <cell r="P65">
            <v>9</v>
          </cell>
          <cell r="Q65">
            <v>15</v>
          </cell>
          <cell r="R65">
            <v>5</v>
          </cell>
          <cell r="S65">
            <v>86</v>
          </cell>
          <cell r="T65">
            <v>0</v>
          </cell>
          <cell r="U65">
            <v>86</v>
          </cell>
          <cell r="V65">
            <v>23</v>
          </cell>
          <cell r="W65" t="str">
            <v>창업 동기와 문제 인식은 비교적 명확하게 제시가 되어 있으나, 실제 차별성이 기술 우위로 연결되는 설명이 다소 미흠 함.</v>
          </cell>
        </row>
        <row r="66">
          <cell r="B66">
            <v>20417321</v>
          </cell>
          <cell r="C66" t="str">
            <v>지역기반</v>
          </cell>
          <cell r="D66" t="str">
            <v>화공ㆍ섬유</v>
          </cell>
          <cell r="E66" t="str">
            <v>롤러형먼지크리너겸용방충포집기</v>
          </cell>
          <cell r="F66" t="str">
            <v>10,880,000</v>
          </cell>
          <cell r="G66" t="str">
            <v>0</v>
          </cell>
          <cell r="H66" t="str">
            <v>초기</v>
          </cell>
          <cell r="I66" t="str">
            <v>중장년</v>
          </cell>
          <cell r="J66">
            <v>0</v>
          </cell>
          <cell r="K66">
            <v>8</v>
          </cell>
          <cell r="L66">
            <v>9</v>
          </cell>
          <cell r="M66">
            <v>17</v>
          </cell>
          <cell r="N66">
            <v>18</v>
          </cell>
          <cell r="O66">
            <v>9</v>
          </cell>
          <cell r="P66">
            <v>8</v>
          </cell>
          <cell r="Q66">
            <v>14</v>
          </cell>
          <cell r="R66">
            <v>5</v>
          </cell>
          <cell r="S66">
            <v>88</v>
          </cell>
          <cell r="T66">
            <v>0</v>
          </cell>
          <cell r="U66">
            <v>88</v>
          </cell>
          <cell r="V66">
            <v>13</v>
          </cell>
          <cell r="W66" t="str">
            <v>창업 동기와 문제 인식은 비교적 명확하게 제시가 되어 있으나, 실제 차별성이 기술 우위로 연결되는 설명이 다소 미흠 함.</v>
          </cell>
        </row>
        <row r="67">
          <cell r="B67">
            <v>20417527</v>
          </cell>
          <cell r="C67" t="str">
            <v>지역기반</v>
          </cell>
          <cell r="D67" t="str">
            <v>화공ㆍ섬유</v>
          </cell>
          <cell r="E67" t="str">
            <v>초보자도 손쉽게 제모 가능한 고기능성 슈가페이스트 및 자동 충진 제조 시스템의 사업화</v>
          </cell>
          <cell r="F67" t="str">
            <v>100,000,000</v>
          </cell>
          <cell r="G67" t="str">
            <v>1</v>
          </cell>
          <cell r="H67" t="str">
            <v>초기</v>
          </cell>
          <cell r="I67" t="str">
            <v>중장년</v>
          </cell>
          <cell r="J67">
            <v>0</v>
          </cell>
          <cell r="K67">
            <v>8</v>
          </cell>
          <cell r="L67">
            <v>8</v>
          </cell>
          <cell r="M67">
            <v>16</v>
          </cell>
          <cell r="N67">
            <v>16</v>
          </cell>
          <cell r="O67">
            <v>7</v>
          </cell>
          <cell r="P67">
            <v>7</v>
          </cell>
          <cell r="Q67">
            <v>15</v>
          </cell>
          <cell r="R67">
            <v>3</v>
          </cell>
          <cell r="S67">
            <v>80</v>
          </cell>
          <cell r="T67">
            <v>0</v>
          </cell>
          <cell r="U67">
            <v>80</v>
          </cell>
          <cell r="V67">
            <v>50</v>
          </cell>
          <cell r="W67" t="str">
            <v>창업동기와 문제 인식은 비교적 명확하게 제시가 되어 있으나, 실제 차별성이 기술 우위로 연결되는 설명이 다소 미흠 함.</v>
          </cell>
        </row>
        <row r="68">
          <cell r="B68">
            <v>20417598</v>
          </cell>
          <cell r="C68" t="str">
            <v>지역기반</v>
          </cell>
          <cell r="D68" t="str">
            <v>화공ㆍ섬유</v>
          </cell>
          <cell r="E68" t="str">
            <v>편리한 위생관리를 위한 건조형 음식물처리기 전용세제</v>
          </cell>
          <cell r="F68" t="str">
            <v>0</v>
          </cell>
          <cell r="G68" t="str">
            <v>0</v>
          </cell>
          <cell r="H68" t="str">
            <v>초기</v>
          </cell>
          <cell r="I68" t="str">
            <v>청년</v>
          </cell>
          <cell r="J68">
            <v>0</v>
          </cell>
          <cell r="K68">
            <v>8</v>
          </cell>
          <cell r="L68">
            <v>8</v>
          </cell>
          <cell r="M68">
            <v>18</v>
          </cell>
          <cell r="N68">
            <v>18</v>
          </cell>
          <cell r="O68">
            <v>8</v>
          </cell>
          <cell r="P68">
            <v>7</v>
          </cell>
          <cell r="Q68">
            <v>14</v>
          </cell>
          <cell r="R68">
            <v>5</v>
          </cell>
          <cell r="S68">
            <v>86</v>
          </cell>
          <cell r="T68">
            <v>0</v>
          </cell>
          <cell r="U68">
            <v>86</v>
          </cell>
          <cell r="V68">
            <v>23</v>
          </cell>
          <cell r="W68" t="str">
            <v>창업 동기와 문제 인식은 비교적 명확하게 제시가 되어 있으나, 실제 차별성이 기술 우위로 연결되는 설명이 다소 미흠 함.</v>
          </cell>
        </row>
        <row r="69">
          <cell r="B69">
            <v>20417853</v>
          </cell>
          <cell r="C69" t="str">
            <v>지역기반</v>
          </cell>
          <cell r="D69" t="str">
            <v>화공ㆍ섬유</v>
          </cell>
          <cell r="E69" t="str">
            <v>AI 가상피팅 기반의 데이터 검증 및 고객 반응형 생산 D2C 패션 브랜드</v>
          </cell>
          <cell r="F69" t="str">
            <v>2,800,000</v>
          </cell>
          <cell r="G69" t="str">
            <v>0</v>
          </cell>
          <cell r="H69" t="str">
            <v>초기</v>
          </cell>
          <cell r="I69" t="str">
            <v>중장년</v>
          </cell>
          <cell r="J69">
            <v>0</v>
          </cell>
          <cell r="K69">
            <v>6</v>
          </cell>
          <cell r="L69">
            <v>7</v>
          </cell>
          <cell r="M69">
            <v>15</v>
          </cell>
          <cell r="N69">
            <v>15</v>
          </cell>
          <cell r="O69">
            <v>6</v>
          </cell>
          <cell r="P69">
            <v>6</v>
          </cell>
          <cell r="Q69">
            <v>14</v>
          </cell>
          <cell r="R69">
            <v>2</v>
          </cell>
          <cell r="S69">
            <v>71</v>
          </cell>
          <cell r="T69">
            <v>0</v>
          </cell>
          <cell r="U69">
            <v>71</v>
          </cell>
          <cell r="V69">
            <v>98</v>
          </cell>
          <cell r="W69" t="str">
            <v>기술 추진 의지는 확인되나 실질적인 실현 가능성 및 차별성에 대한 설명이 다소 미흠 함.</v>
          </cell>
        </row>
        <row r="70">
          <cell r="B70">
            <v>20417978</v>
          </cell>
          <cell r="C70" t="str">
            <v>지역기반</v>
          </cell>
          <cell r="D70" t="str">
            <v>화공ㆍ섬유</v>
          </cell>
          <cell r="E70" t="str">
            <v>캡 자동닫힘 물티슈 수분건조 방지, 위생, 편의, 실용성, 혜택 서비스를 제공</v>
          </cell>
          <cell r="F70" t="str">
            <v>22,000,000</v>
          </cell>
          <cell r="G70" t="str">
            <v>3</v>
          </cell>
          <cell r="H70" t="str">
            <v>초기</v>
          </cell>
          <cell r="I70" t="str">
            <v>중장년</v>
          </cell>
          <cell r="J70">
            <v>0</v>
          </cell>
          <cell r="K70">
            <v>8</v>
          </cell>
          <cell r="L70">
            <v>8</v>
          </cell>
          <cell r="M70">
            <v>18</v>
          </cell>
          <cell r="N70">
            <v>18</v>
          </cell>
          <cell r="O70">
            <v>9</v>
          </cell>
          <cell r="P70">
            <v>9</v>
          </cell>
          <cell r="Q70">
            <v>15</v>
          </cell>
          <cell r="R70">
            <v>4</v>
          </cell>
          <cell r="S70">
            <v>89</v>
          </cell>
          <cell r="T70">
            <v>0</v>
          </cell>
          <cell r="U70">
            <v>89</v>
          </cell>
          <cell r="V70">
            <v>10</v>
          </cell>
          <cell r="W70" t="str">
            <v>창업 동기와 문제 인식이 명확하게 제시가 되어 있으며, 추진 계획의 완성도도 비교적 양호한 것으로 판단 됨.</v>
          </cell>
        </row>
        <row r="71">
          <cell r="B71">
            <v>20419492</v>
          </cell>
          <cell r="C71" t="str">
            <v>지역기반</v>
          </cell>
          <cell r="D71" t="str">
            <v>화공ㆍ섬유</v>
          </cell>
          <cell r="E71" t="str">
            <v>스마트 소재와 인체공학적 보정 패턴 기술이 융합된  5060 시니어 여성 특화 데일리 캐주얼 &amp;lt;헤이린드&amp;gt;</v>
          </cell>
          <cell r="F71" t="str">
            <v>10,000,000</v>
          </cell>
          <cell r="G71" t="str">
            <v>0</v>
          </cell>
          <cell r="H71" t="str">
            <v>초기</v>
          </cell>
          <cell r="I71" t="str">
            <v>중장년</v>
          </cell>
          <cell r="J71">
            <v>0</v>
          </cell>
          <cell r="K71">
            <v>7</v>
          </cell>
          <cell r="L71">
            <v>7</v>
          </cell>
          <cell r="M71">
            <v>18</v>
          </cell>
          <cell r="N71">
            <v>18</v>
          </cell>
          <cell r="O71">
            <v>8</v>
          </cell>
          <cell r="P71">
            <v>8</v>
          </cell>
          <cell r="Q71">
            <v>15</v>
          </cell>
          <cell r="R71">
            <v>5</v>
          </cell>
          <cell r="S71">
            <v>86</v>
          </cell>
          <cell r="T71">
            <v>0</v>
          </cell>
          <cell r="U71">
            <v>86</v>
          </cell>
          <cell r="V71">
            <v>23</v>
          </cell>
          <cell r="W71" t="str">
            <v>창업 동기와 문제 인식은 비교적 명확하게 제시가 되어 있으나, 실제 차별성이 기술 우위로 연결되는 설명이 다소 미흠 함.</v>
          </cell>
        </row>
        <row r="72">
          <cell r="B72">
            <v>20419677</v>
          </cell>
          <cell r="C72" t="str">
            <v>지역기반</v>
          </cell>
          <cell r="D72" t="str">
            <v>화공ㆍ섬유</v>
          </cell>
          <cell r="E72" t="str">
            <v>오토와인더 기술이 적용된  폴리프로필렌(PP) 원사 제조 및 인공지능 공정 제어를 위한 DX</v>
          </cell>
          <cell r="F72" t="str">
            <v>237,000,000</v>
          </cell>
          <cell r="G72" t="str">
            <v>3</v>
          </cell>
          <cell r="H72" t="str">
            <v>초기</v>
          </cell>
          <cell r="I72" t="str">
            <v>청년</v>
          </cell>
          <cell r="J72">
            <v>0</v>
          </cell>
          <cell r="K72">
            <v>7</v>
          </cell>
          <cell r="L72">
            <v>6</v>
          </cell>
          <cell r="M72">
            <v>14</v>
          </cell>
          <cell r="N72">
            <v>14</v>
          </cell>
          <cell r="O72">
            <v>6</v>
          </cell>
          <cell r="P72">
            <v>8</v>
          </cell>
          <cell r="Q72">
            <v>12</v>
          </cell>
          <cell r="R72">
            <v>3</v>
          </cell>
          <cell r="S72">
            <v>70</v>
          </cell>
          <cell r="T72">
            <v>0</v>
          </cell>
          <cell r="U72">
            <v>70</v>
          </cell>
          <cell r="V72">
            <v>100</v>
          </cell>
          <cell r="W72" t="str">
            <v>창업 동기와 문제 인식은 비교적 명확하게 제시가 되어 있으나, 실제 차별성 및 기술 우위로 연결되는 설명이 다소 미흠 함.</v>
          </cell>
        </row>
        <row r="73">
          <cell r="B73">
            <v>20420130</v>
          </cell>
          <cell r="C73" t="str">
            <v>지역기반</v>
          </cell>
          <cell r="D73" t="str">
            <v>화공ㆍ섬유</v>
          </cell>
          <cell r="E73" t="str">
            <v>AI 지능형 위생 진단 기반의 고기능성 스마트 세정 솔루션</v>
          </cell>
          <cell r="F73" t="str">
            <v>74,945,377</v>
          </cell>
          <cell r="G73" t="str">
            <v>1</v>
          </cell>
          <cell r="H73" t="str">
            <v>초기</v>
          </cell>
          <cell r="I73" t="str">
            <v>청년</v>
          </cell>
          <cell r="J73">
            <v>0</v>
          </cell>
          <cell r="K73">
            <v>8</v>
          </cell>
          <cell r="L73">
            <v>7</v>
          </cell>
          <cell r="M73">
            <v>16</v>
          </cell>
          <cell r="N73">
            <v>16</v>
          </cell>
          <cell r="O73">
            <v>7</v>
          </cell>
          <cell r="P73">
            <v>6</v>
          </cell>
          <cell r="Q73">
            <v>13</v>
          </cell>
          <cell r="R73">
            <v>5</v>
          </cell>
          <cell r="S73">
            <v>78</v>
          </cell>
          <cell r="T73">
            <v>2</v>
          </cell>
          <cell r="U73">
            <v>80</v>
          </cell>
          <cell r="V73">
            <v>50</v>
          </cell>
          <cell r="W73" t="str">
            <v>창업 동기와 문제 인식은 비교적 명확하게 제시가 되어 있으나, 전반적으로 사업화 가능성에 대한 설명이 다소 미흠 함.</v>
          </cell>
        </row>
        <row r="74">
          <cell r="B74">
            <v>20420533</v>
          </cell>
          <cell r="C74" t="str">
            <v>지역기반</v>
          </cell>
          <cell r="D74" t="str">
            <v>화공ㆍ섬유</v>
          </cell>
          <cell r="E74" t="str">
            <v>소가죽 용접복의 문제점 해결 가능한 &amp;quot;재생가죽 용접복&amp;quot;</v>
          </cell>
          <cell r="F74" t="str">
            <v>35,000,000</v>
          </cell>
          <cell r="G74" t="str">
            <v>0</v>
          </cell>
          <cell r="H74" t="str">
            <v>초기</v>
          </cell>
          <cell r="I74" t="str">
            <v>중장년</v>
          </cell>
          <cell r="J74">
            <v>0</v>
          </cell>
          <cell r="K74">
            <v>7</v>
          </cell>
          <cell r="L74">
            <v>6</v>
          </cell>
          <cell r="M74">
            <v>14</v>
          </cell>
          <cell r="N74">
            <v>14</v>
          </cell>
          <cell r="O74">
            <v>7</v>
          </cell>
          <cell r="P74">
            <v>6</v>
          </cell>
          <cell r="Q74">
            <v>13</v>
          </cell>
          <cell r="R74">
            <v>3</v>
          </cell>
          <cell r="S74">
            <v>70</v>
          </cell>
          <cell r="T74">
            <v>0</v>
          </cell>
          <cell r="U74">
            <v>70</v>
          </cell>
          <cell r="V74">
            <v>100</v>
          </cell>
          <cell r="W74" t="str">
            <v>창업 동기와 문제 인식은 비교적 명확하게 제시가 되어 있으나, 전반적으로 사업화 가능성 및 사업화 논리는 일부 미흡한 것으로 보임.</v>
          </cell>
        </row>
        <row r="75">
          <cell r="B75">
            <v>20420970</v>
          </cell>
          <cell r="C75" t="str">
            <v>지역기반</v>
          </cell>
          <cell r="D75" t="str">
            <v>화공ㆍ섬유</v>
          </cell>
          <cell r="E75" t="str">
            <v>Zero-Sticky 왁싱 리페어 에센스</v>
          </cell>
          <cell r="F75" t="str">
            <v>0</v>
          </cell>
          <cell r="G75" t="str">
            <v>1</v>
          </cell>
          <cell r="H75" t="str">
            <v>초기</v>
          </cell>
          <cell r="I75" t="str">
            <v>청년</v>
          </cell>
          <cell r="J75">
            <v>0</v>
          </cell>
          <cell r="K75">
            <v>7</v>
          </cell>
          <cell r="L75">
            <v>7</v>
          </cell>
          <cell r="M75">
            <v>15</v>
          </cell>
          <cell r="N75">
            <v>15</v>
          </cell>
          <cell r="O75">
            <v>6</v>
          </cell>
          <cell r="P75">
            <v>6</v>
          </cell>
          <cell r="Q75">
            <v>12</v>
          </cell>
          <cell r="R75">
            <v>3</v>
          </cell>
          <cell r="S75">
            <v>71</v>
          </cell>
          <cell r="T75">
            <v>2</v>
          </cell>
          <cell r="U75">
            <v>73</v>
          </cell>
          <cell r="V75">
            <v>90</v>
          </cell>
          <cell r="W75" t="str">
            <v>아이템의 기술수요와 개발 방향은 이해하기 쉽게 작성되었으나, 전반적으로 추진 계획의 완성도는 미흡한 것으로 판단 됨.</v>
          </cell>
        </row>
        <row r="76">
          <cell r="B76">
            <v>20421819</v>
          </cell>
          <cell r="C76" t="str">
            <v>지역기반</v>
          </cell>
          <cell r="D76" t="str">
            <v>화공ㆍ섬유</v>
          </cell>
          <cell r="E76" t="str">
            <v>노령견 피부장벽 예방 기능성 케어 크림 개발</v>
          </cell>
          <cell r="F76" t="str">
            <v>385,902</v>
          </cell>
          <cell r="G76" t="str">
            <v>0</v>
          </cell>
          <cell r="H76" t="str">
            <v>초기</v>
          </cell>
          <cell r="I76" t="str">
            <v>청년</v>
          </cell>
          <cell r="J76">
            <v>0</v>
          </cell>
          <cell r="K76">
            <v>7</v>
          </cell>
          <cell r="L76">
            <v>7</v>
          </cell>
          <cell r="M76">
            <v>16</v>
          </cell>
          <cell r="N76">
            <v>16</v>
          </cell>
          <cell r="O76">
            <v>6</v>
          </cell>
          <cell r="P76">
            <v>6</v>
          </cell>
          <cell r="Q76">
            <v>14</v>
          </cell>
          <cell r="R76">
            <v>3</v>
          </cell>
          <cell r="S76">
            <v>75</v>
          </cell>
          <cell r="T76">
            <v>0</v>
          </cell>
          <cell r="U76">
            <v>75</v>
          </cell>
          <cell r="V76">
            <v>80</v>
          </cell>
          <cell r="W76" t="str">
            <v>창업 동기와 문제 인식은 비교적 명확하게 제시가 되어 있으나, 실제 차별성이 기술 우위로 연결되는 설명이 다소 미흠 함.</v>
          </cell>
        </row>
        <row r="77">
          <cell r="B77">
            <v>20422094</v>
          </cell>
          <cell r="C77" t="str">
            <v>지역기반</v>
          </cell>
          <cell r="D77" t="str">
            <v>화공ㆍ섬유</v>
          </cell>
          <cell r="E77" t="str">
            <v>피부를 숨기지 않아도 되는 안심 베이스</v>
          </cell>
          <cell r="F77" t="str">
            <v>150,000,000</v>
          </cell>
          <cell r="G77" t="str">
            <v>1</v>
          </cell>
          <cell r="H77" t="str">
            <v>초기</v>
          </cell>
          <cell r="I77" t="str">
            <v>청년</v>
          </cell>
          <cell r="J77">
            <v>0</v>
          </cell>
          <cell r="K77">
            <v>7</v>
          </cell>
          <cell r="L77">
            <v>7</v>
          </cell>
          <cell r="M77">
            <v>16</v>
          </cell>
          <cell r="N77">
            <v>16</v>
          </cell>
          <cell r="O77">
            <v>7</v>
          </cell>
          <cell r="P77">
            <v>6</v>
          </cell>
          <cell r="Q77">
            <v>13</v>
          </cell>
          <cell r="R77">
            <v>3</v>
          </cell>
          <cell r="S77">
            <v>75</v>
          </cell>
          <cell r="T77">
            <v>0</v>
          </cell>
          <cell r="U77">
            <v>75</v>
          </cell>
          <cell r="V77">
            <v>80</v>
          </cell>
          <cell r="W77" t="str">
            <v>창업 동기와 문제 인식은 비교적 명확하게 제시가 되어 있으나, 실제 차별성이 기술 우위로 연결되는 설명이 다소 미흠 함.</v>
          </cell>
        </row>
        <row r="78">
          <cell r="B78">
            <v>20422688</v>
          </cell>
          <cell r="C78" t="str">
            <v>지역기반</v>
          </cell>
          <cell r="D78" t="str">
            <v>화공ㆍ섬유</v>
          </cell>
          <cell r="E78" t="str">
            <v>산업현장 지속가능성 강화를 위한 업사이클 섬유, 모듈형 설계 기술을 활용한 다기능 워크웨어 서비스</v>
          </cell>
          <cell r="F78" t="str">
            <v>130,000,000</v>
          </cell>
          <cell r="G78" t="str">
            <v>0</v>
          </cell>
          <cell r="H78" t="str">
            <v>초기</v>
          </cell>
          <cell r="I78" t="str">
            <v>중장년</v>
          </cell>
          <cell r="J78">
            <v>0</v>
          </cell>
          <cell r="K78">
            <v>7</v>
          </cell>
          <cell r="L78">
            <v>6</v>
          </cell>
          <cell r="M78">
            <v>17</v>
          </cell>
          <cell r="N78">
            <v>16</v>
          </cell>
          <cell r="O78">
            <v>6</v>
          </cell>
          <cell r="P78">
            <v>6</v>
          </cell>
          <cell r="Q78">
            <v>13</v>
          </cell>
          <cell r="R78">
            <v>4</v>
          </cell>
          <cell r="S78">
            <v>75</v>
          </cell>
          <cell r="T78">
            <v>0</v>
          </cell>
          <cell r="U78">
            <v>75</v>
          </cell>
          <cell r="V78">
            <v>80</v>
          </cell>
          <cell r="W78" t="str">
            <v>아이템의 기술수요와 개발 방향은 이해하기 쉽게 작성되었으나, 전반적으로 팀 구성의 적정성은 다소 미흡한 것으로 판단 됨.</v>
          </cell>
        </row>
        <row r="79">
          <cell r="B79">
            <v>20423688</v>
          </cell>
          <cell r="C79" t="str">
            <v>지역기반</v>
          </cell>
          <cell r="D79" t="str">
            <v>화공ㆍ섬유</v>
          </cell>
          <cell r="E79" t="str">
            <v>즉각적 피부 심미성 개선 효과를 부여하는 스킨케어 브랜드</v>
          </cell>
          <cell r="F79" t="str">
            <v>0</v>
          </cell>
          <cell r="G79" t="str">
            <v>1</v>
          </cell>
          <cell r="H79" t="str">
            <v>초기</v>
          </cell>
          <cell r="I79" t="str">
            <v>중장년</v>
          </cell>
          <cell r="J79">
            <v>0</v>
          </cell>
          <cell r="K79">
            <v>8</v>
          </cell>
          <cell r="L79">
            <v>8</v>
          </cell>
          <cell r="M79">
            <v>17</v>
          </cell>
          <cell r="N79">
            <v>17</v>
          </cell>
          <cell r="O79">
            <v>8</v>
          </cell>
          <cell r="P79">
            <v>8</v>
          </cell>
          <cell r="Q79">
            <v>13</v>
          </cell>
          <cell r="R79">
            <v>3</v>
          </cell>
          <cell r="S79">
            <v>82</v>
          </cell>
          <cell r="T79">
            <v>0</v>
          </cell>
          <cell r="U79">
            <v>82</v>
          </cell>
          <cell r="V79">
            <v>41</v>
          </cell>
          <cell r="W79" t="str">
            <v>창업 동기와 문제 인식은 비교적 명확하게 제시가 되어 있으나, 매출 발생 경로와 시장 진입 전략의 구체성은 다소 미흠 함.</v>
          </cell>
        </row>
        <row r="80">
          <cell r="B80">
            <v>20424839</v>
          </cell>
          <cell r="C80" t="str">
            <v>지역기반</v>
          </cell>
          <cell r="D80" t="str">
            <v>화공ㆍ섬유</v>
          </cell>
          <cell r="E80" t="str">
            <v>옷장 속 미술관 : 입는 예술, 글로벌 아트웨어 브랜드 사업화</v>
          </cell>
          <cell r="F80" t="str">
            <v>71,776,812</v>
          </cell>
          <cell r="G80" t="str">
            <v>3</v>
          </cell>
          <cell r="H80" t="str">
            <v>초기</v>
          </cell>
          <cell r="I80" t="str">
            <v>청년</v>
          </cell>
          <cell r="J80" t="str">
            <v>면제</v>
          </cell>
          <cell r="S80" t="str">
            <v/>
          </cell>
          <cell r="T80">
            <v>0</v>
          </cell>
          <cell r="U80">
            <v>100</v>
          </cell>
          <cell r="V80" t="str">
            <v/>
          </cell>
        </row>
        <row r="81">
          <cell r="B81">
            <v>20424847</v>
          </cell>
          <cell r="C81" t="str">
            <v>지역기반</v>
          </cell>
          <cell r="D81" t="str">
            <v>화공ㆍ섬유</v>
          </cell>
          <cell r="E81" t="str">
            <v>Ag⁺/Zn²⁺ 항균 기술이 적용된IAD 억제 기능의4층 무봉제 요실금팬티</v>
          </cell>
          <cell r="F81" t="str">
            <v>2,500,000</v>
          </cell>
          <cell r="G81" t="str">
            <v>1</v>
          </cell>
          <cell r="H81" t="str">
            <v>초기</v>
          </cell>
          <cell r="I81" t="str">
            <v>중장년</v>
          </cell>
          <cell r="J81">
            <v>0</v>
          </cell>
          <cell r="K81">
            <v>9</v>
          </cell>
          <cell r="L81">
            <v>8</v>
          </cell>
          <cell r="M81">
            <v>18</v>
          </cell>
          <cell r="N81">
            <v>18</v>
          </cell>
          <cell r="O81">
            <v>8</v>
          </cell>
          <cell r="P81">
            <v>8</v>
          </cell>
          <cell r="Q81">
            <v>14</v>
          </cell>
          <cell r="R81">
            <v>4</v>
          </cell>
          <cell r="S81">
            <v>87</v>
          </cell>
          <cell r="T81">
            <v>0</v>
          </cell>
          <cell r="U81">
            <v>87</v>
          </cell>
          <cell r="V81">
            <v>17</v>
          </cell>
          <cell r="W81" t="str">
            <v>아이템의 기술수요와 개발 방향이 이해하기 쉽게 작성되었으며,  사업화 가능성을 검토한 수준도 양호하다고 판단 됨.</v>
          </cell>
        </row>
        <row r="82">
          <cell r="B82">
            <v>20424877</v>
          </cell>
          <cell r="C82" t="str">
            <v>지역기반</v>
          </cell>
          <cell r="D82" t="str">
            <v>화공ㆍ섬유</v>
          </cell>
          <cell r="E82" t="str">
            <v>2,000만 반려인의 동물병원 방문 1순위 ‘피부질환’ 문제를 해결하기 위해3D 유해성분 제로, 강아지 피부세포 실험으로 검증 특허 성분 함유 저자극 기능성 펫 스킨케어 ‘너티포비'</v>
          </cell>
          <cell r="F82" t="str">
            <v>3,585,411</v>
          </cell>
          <cell r="G82" t="str">
            <v>0</v>
          </cell>
          <cell r="H82" t="str">
            <v>초기</v>
          </cell>
          <cell r="I82" t="str">
            <v>청년</v>
          </cell>
          <cell r="J82">
            <v>0</v>
          </cell>
          <cell r="K82">
            <v>7</v>
          </cell>
          <cell r="L82">
            <v>8</v>
          </cell>
          <cell r="M82">
            <v>18</v>
          </cell>
          <cell r="N82">
            <v>17</v>
          </cell>
          <cell r="O82">
            <v>8</v>
          </cell>
          <cell r="P82">
            <v>8</v>
          </cell>
          <cell r="Q82">
            <v>15</v>
          </cell>
          <cell r="R82">
            <v>5</v>
          </cell>
          <cell r="S82">
            <v>86</v>
          </cell>
          <cell r="T82">
            <v>0</v>
          </cell>
          <cell r="U82">
            <v>86</v>
          </cell>
          <cell r="V82">
            <v>23</v>
          </cell>
          <cell r="W82" t="str">
            <v>아이템의 기술수요와 개발 방향이 이해 하기 쉽게 작성되었으며, 팀 구성의 적정성도 양호한 것으로 판단 됨.</v>
          </cell>
        </row>
        <row r="83">
          <cell r="B83">
            <v>20425984</v>
          </cell>
          <cell r="C83" t="str">
            <v>지역기반</v>
          </cell>
          <cell r="D83" t="str">
            <v>화공ㆍ섬유</v>
          </cell>
          <cell r="E83" t="str">
            <v>수요는 있고 브랜드는 없는 율무 화장품의 글로벌 직진출 사업화</v>
          </cell>
          <cell r="F83" t="str">
            <v>1,759,756</v>
          </cell>
          <cell r="G83" t="str">
            <v>0</v>
          </cell>
          <cell r="H83" t="str">
            <v>초기</v>
          </cell>
          <cell r="I83" t="str">
            <v>청년</v>
          </cell>
          <cell r="J83">
            <v>0</v>
          </cell>
          <cell r="K83">
            <v>7</v>
          </cell>
          <cell r="L83">
            <v>7</v>
          </cell>
          <cell r="M83">
            <v>17</v>
          </cell>
          <cell r="N83">
            <v>16</v>
          </cell>
          <cell r="O83">
            <v>6</v>
          </cell>
          <cell r="P83">
            <v>6</v>
          </cell>
          <cell r="Q83">
            <v>12</v>
          </cell>
          <cell r="R83">
            <v>3</v>
          </cell>
          <cell r="S83">
            <v>74</v>
          </cell>
          <cell r="T83">
            <v>0</v>
          </cell>
          <cell r="U83">
            <v>74</v>
          </cell>
          <cell r="V83">
            <v>85</v>
          </cell>
          <cell r="W83" t="str">
            <v>창업 동기와 문제 인식은 비교적 명확하게 제시가 되어 있으나, 실제 차별성이 기술 우위로 연결되는 설명이 다소 미흠 함.</v>
          </cell>
        </row>
        <row r="84">
          <cell r="B84">
            <v>20426074</v>
          </cell>
          <cell r="C84" t="str">
            <v>지역기반</v>
          </cell>
          <cell r="D84" t="str">
            <v>화공ㆍ섬유</v>
          </cell>
          <cell r="E84" t="str">
            <v>피부 트러블 및 소재 손상 방지를 위한 중성 포뮬러 기반  아이웨어 전용 폼 워시</v>
          </cell>
          <cell r="F84" t="str">
            <v>0</v>
          </cell>
          <cell r="G84" t="str">
            <v>0</v>
          </cell>
          <cell r="H84" t="str">
            <v>초기</v>
          </cell>
          <cell r="I84" t="str">
            <v>청년</v>
          </cell>
          <cell r="J84">
            <v>0</v>
          </cell>
          <cell r="K84">
            <v>8</v>
          </cell>
          <cell r="L84">
            <v>8</v>
          </cell>
          <cell r="M84">
            <v>18</v>
          </cell>
          <cell r="N84">
            <v>18</v>
          </cell>
          <cell r="O84">
            <v>7</v>
          </cell>
          <cell r="P84">
            <v>8</v>
          </cell>
          <cell r="Q84">
            <v>14</v>
          </cell>
          <cell r="R84">
            <v>4</v>
          </cell>
          <cell r="S84">
            <v>85</v>
          </cell>
          <cell r="T84">
            <v>2</v>
          </cell>
          <cell r="U84">
            <v>87</v>
          </cell>
          <cell r="V84">
            <v>17</v>
          </cell>
          <cell r="W84" t="str">
            <v>창업 동기와 문제 인식은 비교적 명확하게 제시가 되어 있으나, 전반적으로 추진 계획의 완성도가 양호한 것으로 판단 됨.</v>
          </cell>
        </row>
        <row r="85">
          <cell r="B85">
            <v>20426252</v>
          </cell>
          <cell r="C85" t="str">
            <v>지역기반</v>
          </cell>
          <cell r="D85" t="str">
            <v>화공ㆍ섬유</v>
          </cell>
          <cell r="E85" t="str">
            <v>지속적인 음용이 가능하도록 기획된 라이프스타일형 소용량 블렌드 과·채즙</v>
          </cell>
          <cell r="F85" t="str">
            <v>48,000,000</v>
          </cell>
          <cell r="G85" t="str">
            <v>0</v>
          </cell>
          <cell r="H85" t="str">
            <v>초기</v>
          </cell>
          <cell r="I85" t="str">
            <v>중장년</v>
          </cell>
          <cell r="J85">
            <v>0</v>
          </cell>
          <cell r="K85">
            <v>7</v>
          </cell>
          <cell r="L85">
            <v>7</v>
          </cell>
          <cell r="M85">
            <v>16</v>
          </cell>
          <cell r="N85">
            <v>16</v>
          </cell>
          <cell r="O85">
            <v>7</v>
          </cell>
          <cell r="P85">
            <v>6</v>
          </cell>
          <cell r="Q85">
            <v>13</v>
          </cell>
          <cell r="R85">
            <v>3</v>
          </cell>
          <cell r="S85">
            <v>75</v>
          </cell>
          <cell r="T85">
            <v>0</v>
          </cell>
          <cell r="U85">
            <v>75</v>
          </cell>
          <cell r="V85">
            <v>80</v>
          </cell>
          <cell r="W85" t="str">
            <v>창업 동기와 문제 인식은 비교적 명확하게 제시가 되어 있으나, 전반적으로 추진 계획의 완성도가 미흡한 것으로 판단 됨.</v>
          </cell>
        </row>
        <row r="86">
          <cell r="B86">
            <v>20426411</v>
          </cell>
          <cell r="C86" t="str">
            <v>지역기반</v>
          </cell>
          <cell r="D86" t="str">
            <v>화공ㆍ섬유</v>
          </cell>
          <cell r="E86" t="str">
            <v>해조류 청각 기반 메탄저감 사료첨가제</v>
          </cell>
          <cell r="F86" t="str">
            <v>37,915,000</v>
          </cell>
          <cell r="G86" t="str">
            <v>2</v>
          </cell>
          <cell r="H86" t="str">
            <v>초기</v>
          </cell>
          <cell r="I86" t="str">
            <v>청년</v>
          </cell>
          <cell r="J86">
            <v>0</v>
          </cell>
          <cell r="K86">
            <v>9</v>
          </cell>
          <cell r="L86">
            <v>9</v>
          </cell>
          <cell r="M86">
            <v>18</v>
          </cell>
          <cell r="N86">
            <v>19</v>
          </cell>
          <cell r="O86">
            <v>9</v>
          </cell>
          <cell r="P86">
            <v>9</v>
          </cell>
          <cell r="Q86">
            <v>14</v>
          </cell>
          <cell r="R86">
            <v>4</v>
          </cell>
          <cell r="S86">
            <v>91</v>
          </cell>
          <cell r="T86">
            <v>0</v>
          </cell>
          <cell r="U86">
            <v>91</v>
          </cell>
          <cell r="V86">
            <v>2</v>
          </cell>
          <cell r="W86" t="str">
            <v>창업 동기와 문제 인식이 비교적 명확하게 제시가 되어 있으며, 사업화 가능성을 검토한 수준도 양호하다고 판단 됨</v>
          </cell>
        </row>
        <row r="87">
          <cell r="B87">
            <v>20426725</v>
          </cell>
          <cell r="C87" t="str">
            <v>지역기반</v>
          </cell>
          <cell r="D87" t="str">
            <v>화공ㆍ섬유</v>
          </cell>
          <cell r="E87" t="str">
            <v>농산 폐기물(유자 폐껍질·잣송이 외피) 업사이클링 원료 기반의 멘톨·유칼립투스 완전 배제 영유아·민감성 체질 안심 비염 완화 밤 '숲결'</v>
          </cell>
          <cell r="F87" t="str">
            <v>0</v>
          </cell>
          <cell r="G87" t="str">
            <v>1</v>
          </cell>
          <cell r="H87" t="str">
            <v>초기</v>
          </cell>
          <cell r="I87" t="str">
            <v>청년</v>
          </cell>
          <cell r="J87">
            <v>0</v>
          </cell>
          <cell r="K87">
            <v>8</v>
          </cell>
          <cell r="L87">
            <v>9</v>
          </cell>
          <cell r="M87">
            <v>17</v>
          </cell>
          <cell r="N87">
            <v>18</v>
          </cell>
          <cell r="O87">
            <v>9</v>
          </cell>
          <cell r="P87">
            <v>8</v>
          </cell>
          <cell r="Q87">
            <v>13</v>
          </cell>
          <cell r="R87">
            <v>4</v>
          </cell>
          <cell r="S87">
            <v>86</v>
          </cell>
          <cell r="T87">
            <v>0</v>
          </cell>
          <cell r="U87">
            <v>86</v>
          </cell>
          <cell r="V87">
            <v>23</v>
          </cell>
          <cell r="W87" t="str">
            <v>아이템의 기술 수요와 개발 방향이 이해 하기 쉽게 작성되었으며,  사업화 가능성을 검토한 수준도 양호하다고 판단 됨.</v>
          </cell>
        </row>
        <row r="88">
          <cell r="B88">
            <v>20426887</v>
          </cell>
          <cell r="C88" t="str">
            <v>지역기반</v>
          </cell>
          <cell r="D88" t="str">
            <v>화공ㆍ섬유</v>
          </cell>
          <cell r="E88" t="str">
            <v>NIDT 변형 리포좀 기술을 적용하여 피부 열감과 속건조를 동시 해결하는 ‘기후 대응형(Zero-Heat) 고기능성 스킨케어’</v>
          </cell>
          <cell r="F88" t="str">
            <v>77,000,000</v>
          </cell>
          <cell r="G88" t="str">
            <v>4</v>
          </cell>
          <cell r="H88" t="str">
            <v>초기</v>
          </cell>
          <cell r="I88" t="str">
            <v>청년</v>
          </cell>
          <cell r="J88">
            <v>0</v>
          </cell>
          <cell r="K88">
            <v>9</v>
          </cell>
          <cell r="L88">
            <v>8</v>
          </cell>
          <cell r="M88">
            <v>19</v>
          </cell>
          <cell r="N88">
            <v>18</v>
          </cell>
          <cell r="O88">
            <v>9</v>
          </cell>
          <cell r="P88">
            <v>9</v>
          </cell>
          <cell r="Q88">
            <v>14</v>
          </cell>
          <cell r="R88">
            <v>4</v>
          </cell>
          <cell r="S88">
            <v>90</v>
          </cell>
          <cell r="T88">
            <v>0</v>
          </cell>
          <cell r="U88">
            <v>90</v>
          </cell>
          <cell r="V88">
            <v>6</v>
          </cell>
          <cell r="W88" t="str">
            <v xml:space="preserve">창업 동기와 문제 인식이 비교적 명확하게 제시가 되어 있으며, 사업화 가능성을 검토한 수준도 양호하다고 판단 됨. </v>
          </cell>
        </row>
        <row r="89">
          <cell r="B89">
            <v>20427195</v>
          </cell>
          <cell r="C89" t="str">
            <v>지역기반</v>
          </cell>
          <cell r="D89" t="str">
            <v>화공ㆍ섬유</v>
          </cell>
          <cell r="E89" t="str">
            <v>제올라이트를 활용한 어싱길 포장재 개발</v>
          </cell>
          <cell r="F89" t="str">
            <v>86,000,000</v>
          </cell>
          <cell r="G89" t="str">
            <v>4</v>
          </cell>
          <cell r="H89" t="str">
            <v>초기</v>
          </cell>
          <cell r="I89" t="str">
            <v>청년</v>
          </cell>
          <cell r="J89">
            <v>0</v>
          </cell>
          <cell r="K89">
            <v>8</v>
          </cell>
          <cell r="L89">
            <v>7</v>
          </cell>
          <cell r="M89">
            <v>16</v>
          </cell>
          <cell r="N89">
            <v>16</v>
          </cell>
          <cell r="O89">
            <v>8</v>
          </cell>
          <cell r="P89">
            <v>7</v>
          </cell>
          <cell r="Q89">
            <v>13</v>
          </cell>
          <cell r="R89">
            <v>3</v>
          </cell>
          <cell r="S89">
            <v>78</v>
          </cell>
          <cell r="T89">
            <v>0</v>
          </cell>
          <cell r="U89">
            <v>78</v>
          </cell>
          <cell r="V89">
            <v>66</v>
          </cell>
          <cell r="W89" t="str">
            <v>창업 동기와 문제 인식이 비교적 명확하게 제시가 되어 있으나 사업화 가능성을 검토한 수준은 다소 미흡한 것으로 판단 됨.</v>
          </cell>
        </row>
        <row r="90">
          <cell r="B90">
            <v>20427388</v>
          </cell>
          <cell r="C90" t="str">
            <v>지역기반</v>
          </cell>
          <cell r="D90" t="str">
            <v>화공ㆍ섬유</v>
          </cell>
          <cell r="E90" t="str">
            <v>pH5.5 이중 배합 기술 기반 두피세정·모발코팅 듀얼 케어 샴푸</v>
          </cell>
          <cell r="F90" t="str">
            <v>0</v>
          </cell>
          <cell r="G90" t="str">
            <v>0</v>
          </cell>
          <cell r="H90" t="str">
            <v>초기</v>
          </cell>
          <cell r="I90" t="str">
            <v>청년</v>
          </cell>
          <cell r="J90">
            <v>0</v>
          </cell>
          <cell r="K90">
            <v>8</v>
          </cell>
          <cell r="L90">
            <v>8</v>
          </cell>
          <cell r="M90">
            <v>17</v>
          </cell>
          <cell r="N90">
            <v>18</v>
          </cell>
          <cell r="O90">
            <v>8</v>
          </cell>
          <cell r="P90">
            <v>8</v>
          </cell>
          <cell r="Q90">
            <v>14</v>
          </cell>
          <cell r="R90">
            <v>3</v>
          </cell>
          <cell r="S90">
            <v>84</v>
          </cell>
          <cell r="T90">
            <v>0</v>
          </cell>
          <cell r="U90">
            <v>84</v>
          </cell>
          <cell r="V90">
            <v>35</v>
          </cell>
          <cell r="W90" t="str">
            <v xml:space="preserve">창업 동기와 문제 인식이 비교적 명확하게 제시가 되어 있으며, 사업화 가능성을 검토한 수준도 양호하다고 판단 됨. </v>
          </cell>
        </row>
        <row r="91">
          <cell r="B91">
            <v>20427576</v>
          </cell>
          <cell r="C91" t="str">
            <v>지역기반</v>
          </cell>
          <cell r="D91" t="str">
            <v>화공ㆍ섬유</v>
          </cell>
          <cell r="E91" t="str">
            <v>락토피치 바이옴 독자 성분과 기능성 복합 포뮬러를 적용하여 팩 한 통의 효과를 간편하게 구현하는 고효능 모공 케어 앰플</v>
          </cell>
          <cell r="F91" t="str">
            <v>35,381,900</v>
          </cell>
          <cell r="G91" t="str">
            <v>0</v>
          </cell>
          <cell r="H91" t="str">
            <v>초기</v>
          </cell>
          <cell r="I91" t="str">
            <v>청년</v>
          </cell>
          <cell r="J91">
            <v>0</v>
          </cell>
          <cell r="K91">
            <v>7</v>
          </cell>
          <cell r="L91">
            <v>7</v>
          </cell>
          <cell r="M91">
            <v>17</v>
          </cell>
          <cell r="N91">
            <v>17</v>
          </cell>
          <cell r="O91">
            <v>7</v>
          </cell>
          <cell r="P91">
            <v>7</v>
          </cell>
          <cell r="Q91">
            <v>14</v>
          </cell>
          <cell r="R91">
            <v>4</v>
          </cell>
          <cell r="S91">
            <v>80</v>
          </cell>
          <cell r="T91">
            <v>0</v>
          </cell>
          <cell r="U91">
            <v>80</v>
          </cell>
          <cell r="V91">
            <v>50</v>
          </cell>
          <cell r="W91" t="str">
            <v>아이템의 기술수요와 개발 방향이 이해하기 쉽게 작성되었으며,  사업화 가능성을 검토한 수준도 양호하다고 판단 됨.</v>
          </cell>
        </row>
        <row r="92">
          <cell r="B92">
            <v>20427594</v>
          </cell>
          <cell r="C92" t="str">
            <v>지역기반</v>
          </cell>
          <cell r="D92" t="str">
            <v>화공ㆍ섬유</v>
          </cell>
          <cell r="E92" t="str">
            <v>“나노 하이브리드 코팅 기술이 적용된 선크림 차단막 보존 기능의  SWEIN 테크니컬 스킨 타월”</v>
          </cell>
          <cell r="F92" t="str">
            <v>27,898,000</v>
          </cell>
          <cell r="G92" t="str">
            <v>1</v>
          </cell>
          <cell r="H92" t="str">
            <v>초기</v>
          </cell>
          <cell r="I92" t="str">
            <v>청년</v>
          </cell>
          <cell r="J92">
            <v>0</v>
          </cell>
          <cell r="K92">
            <v>8</v>
          </cell>
          <cell r="L92">
            <v>9</v>
          </cell>
          <cell r="M92">
            <v>15</v>
          </cell>
          <cell r="N92">
            <v>14</v>
          </cell>
          <cell r="O92">
            <v>8</v>
          </cell>
          <cell r="P92">
            <v>8</v>
          </cell>
          <cell r="Q92">
            <v>14</v>
          </cell>
          <cell r="R92">
            <v>3</v>
          </cell>
          <cell r="S92">
            <v>79</v>
          </cell>
          <cell r="T92">
            <v>0</v>
          </cell>
          <cell r="U92">
            <v>79</v>
          </cell>
          <cell r="V92">
            <v>58</v>
          </cell>
          <cell r="W92" t="str">
            <v>창업 동기와 문제 인식이 비교적 명확하게 제시가 되어 있으나,  추진 의지 대비 실현 가능성에 대한 검토는 다소 마흡 함..</v>
          </cell>
        </row>
        <row r="93">
          <cell r="B93">
            <v>20427695</v>
          </cell>
          <cell r="C93" t="str">
            <v>지역기반</v>
          </cell>
          <cell r="D93" t="str">
            <v>화공ㆍ섬유</v>
          </cell>
          <cell r="E93" t="str">
            <v>국내외 중소 브랜드를 위한 MOQ 100 기반 K-Denim End-to-End OEM 플랫폼</v>
          </cell>
          <cell r="F93" t="str">
            <v>3,192,172,185</v>
          </cell>
          <cell r="G93" t="str">
            <v>11</v>
          </cell>
          <cell r="H93" t="str">
            <v>초기</v>
          </cell>
          <cell r="I93" t="str">
            <v>중장년</v>
          </cell>
          <cell r="J93">
            <v>0</v>
          </cell>
          <cell r="K93">
            <v>7</v>
          </cell>
          <cell r="L93">
            <v>7</v>
          </cell>
          <cell r="M93">
            <v>17</v>
          </cell>
          <cell r="N93">
            <v>16</v>
          </cell>
          <cell r="O93">
            <v>7</v>
          </cell>
          <cell r="P93">
            <v>7</v>
          </cell>
          <cell r="Q93">
            <v>14</v>
          </cell>
          <cell r="R93">
            <v>5</v>
          </cell>
          <cell r="S93">
            <v>80</v>
          </cell>
          <cell r="T93">
            <v>0</v>
          </cell>
          <cell r="U93">
            <v>80</v>
          </cell>
          <cell r="V93">
            <v>50</v>
          </cell>
          <cell r="W93" t="str">
            <v>창업 동기와 문제 인식은 비교적 명확하게 제시가 되어 있으나, 실제 차별성이 기술 우위로 연결되는 설명이 다소 미흠 함.</v>
          </cell>
        </row>
        <row r="94">
          <cell r="B94">
            <v>20427962</v>
          </cell>
          <cell r="C94" t="str">
            <v>지역기반</v>
          </cell>
          <cell r="D94" t="str">
            <v>화공ㆍ섬유</v>
          </cell>
          <cell r="E94" t="str">
            <v>천연 염색 기술이 적용된 영유아 프리미엄 친환경 아동복</v>
          </cell>
          <cell r="F94" t="str">
            <v>151,982,715</v>
          </cell>
          <cell r="G94" t="str">
            <v>0</v>
          </cell>
          <cell r="H94" t="str">
            <v>초기</v>
          </cell>
          <cell r="I94" t="str">
            <v>청년</v>
          </cell>
          <cell r="J94">
            <v>0</v>
          </cell>
          <cell r="K94">
            <v>8</v>
          </cell>
          <cell r="L94">
            <v>8</v>
          </cell>
          <cell r="M94">
            <v>16</v>
          </cell>
          <cell r="N94">
            <v>17</v>
          </cell>
          <cell r="O94">
            <v>8</v>
          </cell>
          <cell r="P94">
            <v>6</v>
          </cell>
          <cell r="Q94">
            <v>14</v>
          </cell>
          <cell r="R94">
            <v>4</v>
          </cell>
          <cell r="S94">
            <v>81</v>
          </cell>
          <cell r="T94">
            <v>0</v>
          </cell>
          <cell r="U94">
            <v>81</v>
          </cell>
          <cell r="V94">
            <v>46</v>
          </cell>
          <cell r="W94" t="str">
            <v>창업 동기와 문제 인식이 비교적 명확하게 제시가 되어 있으나,  실제 차별성이 기술 우위로 연결되는 설명이 다소 미흠 함</v>
          </cell>
        </row>
        <row r="95">
          <cell r="B95">
            <v>20428180</v>
          </cell>
          <cell r="C95" t="str">
            <v>지역기반</v>
          </cell>
          <cell r="D95" t="str">
            <v>화공ㆍ섬유</v>
          </cell>
          <cell r="E95" t="str">
            <v>소각되는 우유팩을 고부가가치 ‘비건 레더’로 재탄생시켜, 공공기관의녹색제품 구매 딜레마를 해결하는 ‘실속형 ESG 오피스 키트’ 제품</v>
          </cell>
          <cell r="F95" t="str">
            <v>50,000,000</v>
          </cell>
          <cell r="G95" t="str">
            <v>1</v>
          </cell>
          <cell r="H95" t="str">
            <v>초기</v>
          </cell>
          <cell r="I95" t="str">
            <v>청년</v>
          </cell>
          <cell r="J95">
            <v>0</v>
          </cell>
          <cell r="K95">
            <v>8</v>
          </cell>
          <cell r="L95">
            <v>8</v>
          </cell>
          <cell r="M95">
            <v>18</v>
          </cell>
          <cell r="N95">
            <v>18</v>
          </cell>
          <cell r="O95">
            <v>8</v>
          </cell>
          <cell r="P95">
            <v>7</v>
          </cell>
          <cell r="Q95">
            <v>14</v>
          </cell>
          <cell r="R95">
            <v>4</v>
          </cell>
          <cell r="S95">
            <v>85</v>
          </cell>
          <cell r="T95">
            <v>0</v>
          </cell>
          <cell r="U95">
            <v>85</v>
          </cell>
          <cell r="V95">
            <v>31</v>
          </cell>
          <cell r="W95" t="str">
            <v>아이템의 기술수요와 개발 방향이 이해하기 쉽게 작성되었으며,  사업화 가능성을 검토한 수준도 양호하다고 판단 됨.</v>
          </cell>
        </row>
        <row r="96">
          <cell r="B96">
            <v>20428258</v>
          </cell>
          <cell r="C96" t="str">
            <v>지역기반</v>
          </cell>
          <cell r="D96" t="str">
            <v>화공ㆍ섬유</v>
          </cell>
          <cell r="E96" t="str">
            <v>친환경 원천 소재 기술 기반의 제로 웨이스트 브랜드 고도화 솔루션</v>
          </cell>
          <cell r="F96" t="str">
            <v>27,818,182</v>
          </cell>
          <cell r="G96" t="str">
            <v>1</v>
          </cell>
          <cell r="H96" t="str">
            <v>초기</v>
          </cell>
          <cell r="I96" t="str">
            <v>청년</v>
          </cell>
          <cell r="J96" t="str">
            <v>면제</v>
          </cell>
          <cell r="S96" t="str">
            <v/>
          </cell>
          <cell r="T96">
            <v>0</v>
          </cell>
          <cell r="U96">
            <v>100</v>
          </cell>
          <cell r="V96" t="str">
            <v/>
          </cell>
        </row>
        <row r="97">
          <cell r="B97">
            <v>20428424</v>
          </cell>
          <cell r="C97" t="str">
            <v>지역기반</v>
          </cell>
          <cell r="D97" t="str">
            <v>화공ㆍ섬유</v>
          </cell>
          <cell r="E97" t="str">
            <v>다층 압축 기술이 적용된 일상의 샤워를 특별하게 만드는 샤워 향기 태블릿, '딘트 샤워팝'</v>
          </cell>
          <cell r="F97" t="str">
            <v>28,000,000</v>
          </cell>
          <cell r="G97" t="str">
            <v>0</v>
          </cell>
          <cell r="H97" t="str">
            <v>초기</v>
          </cell>
          <cell r="I97" t="str">
            <v>청년</v>
          </cell>
          <cell r="J97">
            <v>0</v>
          </cell>
          <cell r="K97">
            <v>6</v>
          </cell>
          <cell r="L97">
            <v>6</v>
          </cell>
          <cell r="M97">
            <v>17</v>
          </cell>
          <cell r="N97">
            <v>18</v>
          </cell>
          <cell r="O97">
            <v>7</v>
          </cell>
          <cell r="P97">
            <v>7</v>
          </cell>
          <cell r="Q97">
            <v>14</v>
          </cell>
          <cell r="R97">
            <v>4</v>
          </cell>
          <cell r="S97">
            <v>79</v>
          </cell>
          <cell r="T97">
            <v>0</v>
          </cell>
          <cell r="U97">
            <v>79</v>
          </cell>
          <cell r="V97">
            <v>58</v>
          </cell>
          <cell r="W97" t="str">
            <v>창업 동기와 문제 인식은 비교적 명확하게 제시가 되어 있으나, 실제 아이템의 시장 적용 가능성과 사업성에 대한 근거 자료 제시가 다소 미흠 함.</v>
          </cell>
        </row>
        <row r="98">
          <cell r="B98">
            <v>20429392</v>
          </cell>
          <cell r="C98" t="str">
            <v>지역기반</v>
          </cell>
          <cell r="D98" t="str">
            <v>화공ㆍ섬유</v>
          </cell>
          <cell r="E98" t="str">
            <v>초저온 실링 및 수분차단성을 갖춘 친환경 단일소재 폴리에틸렌 연포장 필름</v>
          </cell>
          <cell r="F98" t="str">
            <v>35,000,000</v>
          </cell>
          <cell r="G98" t="str">
            <v>0</v>
          </cell>
          <cell r="H98" t="str">
            <v>초기</v>
          </cell>
          <cell r="I98" t="str">
            <v>중장년</v>
          </cell>
          <cell r="J98">
            <v>0</v>
          </cell>
          <cell r="K98">
            <v>8</v>
          </cell>
          <cell r="L98">
            <v>8</v>
          </cell>
          <cell r="M98">
            <v>18</v>
          </cell>
          <cell r="N98">
            <v>18</v>
          </cell>
          <cell r="O98">
            <v>8</v>
          </cell>
          <cell r="P98">
            <v>8</v>
          </cell>
          <cell r="Q98">
            <v>15</v>
          </cell>
          <cell r="R98">
            <v>3</v>
          </cell>
          <cell r="S98">
            <v>86</v>
          </cell>
          <cell r="T98">
            <v>0</v>
          </cell>
          <cell r="U98">
            <v>86</v>
          </cell>
          <cell r="V98">
            <v>23</v>
          </cell>
          <cell r="W98" t="str">
            <v>창업 동기와 문제 인식이 비교적 명확하게 제시가 되어 있으며, 사업화 가능성을 검토한 수준도 양호하다고 판단 됨</v>
          </cell>
        </row>
        <row r="99">
          <cell r="B99">
            <v>20429506</v>
          </cell>
          <cell r="C99" t="str">
            <v>지역기반</v>
          </cell>
          <cell r="D99" t="str">
            <v>화공ㆍ섬유</v>
          </cell>
          <cell r="E99" t="str">
            <v>멜라노사이트 표적 리포좀 기술이 적용된 임산부 색소침착 개선 기능을 제공하는 피트산 리포좀 립 마스크</v>
          </cell>
          <cell r="F99" t="str">
            <v>20,995,197</v>
          </cell>
          <cell r="G99" t="str">
            <v>0</v>
          </cell>
          <cell r="H99" t="str">
            <v>초기</v>
          </cell>
          <cell r="I99" t="str">
            <v>청년</v>
          </cell>
          <cell r="J99">
            <v>0</v>
          </cell>
          <cell r="K99">
            <v>8</v>
          </cell>
          <cell r="L99">
            <v>8</v>
          </cell>
          <cell r="M99">
            <v>18</v>
          </cell>
          <cell r="N99">
            <v>18</v>
          </cell>
          <cell r="O99">
            <v>8</v>
          </cell>
          <cell r="P99">
            <v>8</v>
          </cell>
          <cell r="Q99">
            <v>14</v>
          </cell>
          <cell r="R99">
            <v>3</v>
          </cell>
          <cell r="S99">
            <v>85</v>
          </cell>
          <cell r="T99">
            <v>0</v>
          </cell>
          <cell r="U99">
            <v>85</v>
          </cell>
          <cell r="V99">
            <v>31</v>
          </cell>
          <cell r="W99" t="str">
            <v xml:space="preserve">창업 동기와 문제 인식이 비교적 명확하게 제시가 되어 있으며, 사업화 가능성을 검토한 수준도 양호하다고 판단 됨. </v>
          </cell>
        </row>
        <row r="100">
          <cell r="B100">
            <v>20430628</v>
          </cell>
          <cell r="C100" t="str">
            <v>지역기반</v>
          </cell>
          <cell r="D100" t="str">
            <v>화공ㆍ섬유</v>
          </cell>
          <cell r="E100" t="str">
            <v>째피 저속노화 바디 루틴</v>
          </cell>
          <cell r="F100" t="str">
            <v>0</v>
          </cell>
          <cell r="G100" t="str">
            <v>0</v>
          </cell>
          <cell r="H100" t="str">
            <v>초기</v>
          </cell>
          <cell r="I100" t="str">
            <v>중장년</v>
          </cell>
          <cell r="J100">
            <v>0</v>
          </cell>
          <cell r="K100">
            <v>7</v>
          </cell>
          <cell r="L100">
            <v>7</v>
          </cell>
          <cell r="M100">
            <v>17</v>
          </cell>
          <cell r="N100">
            <v>17</v>
          </cell>
          <cell r="O100">
            <v>7</v>
          </cell>
          <cell r="P100">
            <v>7</v>
          </cell>
          <cell r="Q100">
            <v>13</v>
          </cell>
          <cell r="R100">
            <v>3</v>
          </cell>
          <cell r="S100">
            <v>78</v>
          </cell>
          <cell r="T100">
            <v>0</v>
          </cell>
          <cell r="U100">
            <v>78</v>
          </cell>
          <cell r="V100">
            <v>66</v>
          </cell>
          <cell r="W100" t="str">
            <v>아이템의 기술수요와 개발 방향은 이해하기 쉽게 작성되었으나,  사업화 가능성을 검토한 수준은 다소 미흡 한 것으로 판단 됨.</v>
          </cell>
        </row>
        <row r="101">
          <cell r="B101">
            <v>20431143</v>
          </cell>
          <cell r="C101" t="str">
            <v>지역기반</v>
          </cell>
          <cell r="D101" t="str">
            <v>화공ㆍ섬유</v>
          </cell>
          <cell r="E101" t="str">
            <v>멀티유즈 프리미엄 라이프케어 제품 개발 및 브랜드 사업화</v>
          </cell>
          <cell r="F101" t="str">
            <v>0</v>
          </cell>
          <cell r="G101" t="str">
            <v>0</v>
          </cell>
          <cell r="H101" t="str">
            <v>초기</v>
          </cell>
          <cell r="I101" t="str">
            <v>청년</v>
          </cell>
          <cell r="J101">
            <v>0</v>
          </cell>
          <cell r="K101">
            <v>7</v>
          </cell>
          <cell r="L101">
            <v>7</v>
          </cell>
          <cell r="M101">
            <v>17</v>
          </cell>
          <cell r="N101">
            <v>16</v>
          </cell>
          <cell r="O101">
            <v>6</v>
          </cell>
          <cell r="P101">
            <v>6</v>
          </cell>
          <cell r="Q101">
            <v>13</v>
          </cell>
          <cell r="R101">
            <v>2</v>
          </cell>
          <cell r="S101">
            <v>74</v>
          </cell>
          <cell r="T101">
            <v>0</v>
          </cell>
          <cell r="U101">
            <v>74</v>
          </cell>
          <cell r="V101">
            <v>85</v>
          </cell>
          <cell r="W101" t="str">
            <v>창업 동기와 문제 인식은 비교적 명확하게 제시가 되어 있으나, 실제 차별성이 기술 우위로 연결되는 설명은 다소 미흠 함.</v>
          </cell>
        </row>
        <row r="102">
          <cell r="B102">
            <v>20432269</v>
          </cell>
          <cell r="C102" t="str">
            <v>지역기반</v>
          </cell>
          <cell r="D102" t="str">
            <v>화공ㆍ섬유</v>
          </cell>
          <cell r="E102" t="str">
            <v>나노리포좀 기술이 적용된 해양 바이오 K뷰티 스킨케어 브랜드 : 해올</v>
          </cell>
          <cell r="F102" t="str">
            <v>19,000,000</v>
          </cell>
          <cell r="G102" t="str">
            <v>4</v>
          </cell>
          <cell r="H102" t="str">
            <v>초기</v>
          </cell>
          <cell r="I102" t="str">
            <v>청년</v>
          </cell>
          <cell r="J102">
            <v>0</v>
          </cell>
          <cell r="K102">
            <v>7</v>
          </cell>
          <cell r="L102">
            <v>7</v>
          </cell>
          <cell r="M102">
            <v>16</v>
          </cell>
          <cell r="N102">
            <v>16</v>
          </cell>
          <cell r="O102">
            <v>6</v>
          </cell>
          <cell r="P102">
            <v>6</v>
          </cell>
          <cell r="Q102">
            <v>13</v>
          </cell>
          <cell r="R102">
            <v>3</v>
          </cell>
          <cell r="S102">
            <v>74</v>
          </cell>
          <cell r="T102">
            <v>2</v>
          </cell>
          <cell r="U102">
            <v>76</v>
          </cell>
          <cell r="V102">
            <v>74</v>
          </cell>
          <cell r="W102" t="str">
            <v>창업 동기와 문제 인식은 비교적 명확하게 제시가 되어 있으나, 실제 차별성이 기술 우위로 연결되는 설명은 다소 미흠 함.</v>
          </cell>
        </row>
        <row r="103">
          <cell r="B103">
            <v>20432460</v>
          </cell>
          <cell r="C103" t="str">
            <v>지역기반</v>
          </cell>
          <cell r="D103" t="str">
            <v>화공ㆍ섬유</v>
          </cell>
          <cell r="E103" t="str">
            <v>여성 선수 체형 설계 데이터베이스 기반 퍼포먼스 스포츠웨어 '주키트(JUKIT) 우먼스 라인'</v>
          </cell>
          <cell r="F103" t="str">
            <v>77,000,000</v>
          </cell>
          <cell r="G103" t="str">
            <v>2</v>
          </cell>
          <cell r="H103" t="str">
            <v>초기</v>
          </cell>
          <cell r="I103" t="str">
            <v>청년</v>
          </cell>
          <cell r="J103">
            <v>0</v>
          </cell>
          <cell r="K103">
            <v>8</v>
          </cell>
          <cell r="L103">
            <v>7</v>
          </cell>
          <cell r="M103">
            <v>17</v>
          </cell>
          <cell r="N103">
            <v>17</v>
          </cell>
          <cell r="O103">
            <v>8</v>
          </cell>
          <cell r="P103">
            <v>7</v>
          </cell>
          <cell r="Q103">
            <v>14</v>
          </cell>
          <cell r="R103">
            <v>3</v>
          </cell>
          <cell r="S103">
            <v>81</v>
          </cell>
          <cell r="T103">
            <v>0</v>
          </cell>
          <cell r="U103">
            <v>81</v>
          </cell>
          <cell r="V103">
            <v>46</v>
          </cell>
          <cell r="W103" t="str">
            <v xml:space="preserve">창업 동기와 문제 인식이 비교적 명확하게 제시가 되어 있으며, 사업화 가능성을 검토한 수준도 양호하다고 판단 됨. </v>
          </cell>
        </row>
        <row r="104">
          <cell r="B104">
            <v>20432575</v>
          </cell>
          <cell r="C104" t="str">
            <v>지역기반</v>
          </cell>
          <cell r="D104" t="str">
            <v>화공ㆍ섬유</v>
          </cell>
          <cell r="E104" t="str">
            <v>비건·할랄 기준을 적용한 피부장벽·탄력 개선 기능의 글로벌 스킨케어 제품</v>
          </cell>
          <cell r="F104" t="str">
            <v>150,000,000</v>
          </cell>
          <cell r="G104" t="str">
            <v>3</v>
          </cell>
          <cell r="H104" t="str">
            <v>초기</v>
          </cell>
          <cell r="I104" t="str">
            <v>청년</v>
          </cell>
          <cell r="J104">
            <v>0</v>
          </cell>
          <cell r="K104">
            <v>7</v>
          </cell>
          <cell r="L104">
            <v>7</v>
          </cell>
          <cell r="M104">
            <v>16</v>
          </cell>
          <cell r="N104">
            <v>16</v>
          </cell>
          <cell r="O104">
            <v>8</v>
          </cell>
          <cell r="P104">
            <v>7</v>
          </cell>
          <cell r="Q104">
            <v>13</v>
          </cell>
          <cell r="R104">
            <v>4</v>
          </cell>
          <cell r="S104">
            <v>78</v>
          </cell>
          <cell r="T104">
            <v>0</v>
          </cell>
          <cell r="U104">
            <v>78</v>
          </cell>
          <cell r="V104">
            <v>66</v>
          </cell>
          <cell r="W104" t="str">
            <v>창업 동기와 문제 인식이 비교적 명확하게 제시가 되어 있으나 사업화 가능성을 검토한 수준은 다소 미흡한 것으로 판단 됨.</v>
          </cell>
        </row>
        <row r="105">
          <cell r="B105">
            <v>20433253</v>
          </cell>
          <cell r="C105" t="str">
            <v>지역기반</v>
          </cell>
          <cell r="D105" t="str">
            <v>화공ㆍ섬유</v>
          </cell>
          <cell r="E105" t="str">
            <v>효과와 자극의 딜레마 극복, '초단기 턴오버 회복' K-뷰티 라인업</v>
          </cell>
          <cell r="F105" t="str">
            <v>133,110,166</v>
          </cell>
          <cell r="G105" t="str">
            <v>0</v>
          </cell>
          <cell r="H105" t="str">
            <v>초기</v>
          </cell>
          <cell r="I105" t="str">
            <v>청년</v>
          </cell>
          <cell r="J105">
            <v>0</v>
          </cell>
          <cell r="K105">
            <v>8</v>
          </cell>
          <cell r="L105">
            <v>7</v>
          </cell>
          <cell r="M105">
            <v>17</v>
          </cell>
          <cell r="N105">
            <v>17</v>
          </cell>
          <cell r="O105">
            <v>7</v>
          </cell>
          <cell r="P105">
            <v>7</v>
          </cell>
          <cell r="Q105">
            <v>14</v>
          </cell>
          <cell r="R105">
            <v>4</v>
          </cell>
          <cell r="S105">
            <v>81</v>
          </cell>
          <cell r="T105">
            <v>0</v>
          </cell>
          <cell r="U105">
            <v>81</v>
          </cell>
          <cell r="V105">
            <v>46</v>
          </cell>
          <cell r="W105" t="str">
            <v xml:space="preserve">창업 동기와 문제 인식이 비교적 명확하게 제시가 되어 있으며, 사업화 가능성을 검토한 수준도 양호하다고 판단 됨. </v>
          </cell>
        </row>
        <row r="106">
          <cell r="B106">
            <v>20440248</v>
          </cell>
          <cell r="C106" t="str">
            <v>지역기반</v>
          </cell>
          <cell r="D106" t="str">
            <v>화공ㆍ섬유</v>
          </cell>
          <cell r="E106" t="str">
            <v>버려지는 부산물을 활용한 주름개선용 식물성 펩타이드 소재 사업화</v>
          </cell>
          <cell r="F106" t="str">
            <v>63,000,000</v>
          </cell>
          <cell r="G106" t="str">
            <v>0</v>
          </cell>
          <cell r="H106" t="str">
            <v>초기</v>
          </cell>
          <cell r="I106" t="str">
            <v>중장년</v>
          </cell>
          <cell r="J106">
            <v>0</v>
          </cell>
          <cell r="K106">
            <v>8</v>
          </cell>
          <cell r="L106">
            <v>8</v>
          </cell>
          <cell r="M106">
            <v>18</v>
          </cell>
          <cell r="N106">
            <v>18</v>
          </cell>
          <cell r="O106">
            <v>8</v>
          </cell>
          <cell r="P106">
            <v>8</v>
          </cell>
          <cell r="Q106">
            <v>15</v>
          </cell>
          <cell r="R106">
            <v>4</v>
          </cell>
          <cell r="S106">
            <v>87</v>
          </cell>
          <cell r="T106">
            <v>0</v>
          </cell>
          <cell r="U106">
            <v>87</v>
          </cell>
          <cell r="V106">
            <v>17</v>
          </cell>
          <cell r="W106" t="str">
            <v xml:space="preserve">창업 동기와 문제 인식이 비교적 명확하게 제시가 되어 있으며, 사업화 가능성을 검토한 수준도 양호하다고 판단 됨. </v>
          </cell>
        </row>
        <row r="107">
          <cell r="B107">
            <v>20416668</v>
          </cell>
          <cell r="C107" t="str">
            <v>대학발</v>
          </cell>
          <cell r="D107" t="str">
            <v>화공ㆍ섬유</v>
          </cell>
          <cell r="E107" t="str">
            <v>여름철 민감·트러블 진정용 스킨케어 샤워기용 타블렛 개발</v>
          </cell>
          <cell r="F107" t="str">
            <v>52,678,928</v>
          </cell>
          <cell r="G107" t="str">
            <v>4</v>
          </cell>
          <cell r="H107" t="str">
            <v>초기</v>
          </cell>
          <cell r="I107" t="str">
            <v>청년</v>
          </cell>
          <cell r="J107">
            <v>0</v>
          </cell>
          <cell r="K107">
            <v>9</v>
          </cell>
          <cell r="L107">
            <v>9</v>
          </cell>
          <cell r="M107">
            <v>19</v>
          </cell>
          <cell r="N107">
            <v>19</v>
          </cell>
          <cell r="O107">
            <v>9</v>
          </cell>
          <cell r="P107">
            <v>8</v>
          </cell>
          <cell r="Q107">
            <v>14</v>
          </cell>
          <cell r="R107">
            <v>3</v>
          </cell>
          <cell r="S107">
            <v>90</v>
          </cell>
          <cell r="T107">
            <v>0</v>
          </cell>
          <cell r="U107">
            <v>90</v>
          </cell>
          <cell r="V107">
            <v>6</v>
          </cell>
          <cell r="W107" t="str">
            <v xml:space="preserve">창업 동기와 문제 인식이 비교적 명확하게 제시가 되어 있으며, 사업화 가능성을 검토한 수준도 양호하다고 판단 됨. </v>
          </cell>
          <cell r="X107" t="str">
            <v>일치</v>
          </cell>
          <cell r="Y107" t="str">
            <v>단순화학반응 제품으로 주력산업 분야에 대한 연관 검토가 필요 함.</v>
          </cell>
        </row>
        <row r="108">
          <cell r="B108">
            <v>20423311</v>
          </cell>
          <cell r="C108" t="str">
            <v>대학발</v>
          </cell>
          <cell r="D108" t="str">
            <v>화공ㆍ섬유</v>
          </cell>
          <cell r="E108" t="str">
            <v>리사이클 팩토리 AI</v>
          </cell>
          <cell r="F108" t="str">
            <v>155,756,130</v>
          </cell>
          <cell r="G108" t="str">
            <v>1</v>
          </cell>
          <cell r="H108" t="str">
            <v>초기</v>
          </cell>
          <cell r="I108" t="str">
            <v>중장년</v>
          </cell>
          <cell r="J108">
            <v>0</v>
          </cell>
          <cell r="K108">
            <v>6</v>
          </cell>
          <cell r="L108">
            <v>6</v>
          </cell>
          <cell r="M108">
            <v>15</v>
          </cell>
          <cell r="N108">
            <v>15</v>
          </cell>
          <cell r="O108">
            <v>6</v>
          </cell>
          <cell r="P108">
            <v>6</v>
          </cell>
          <cell r="Q108">
            <v>13</v>
          </cell>
          <cell r="R108">
            <v>3</v>
          </cell>
          <cell r="S108">
            <v>70</v>
          </cell>
          <cell r="T108">
            <v>0</v>
          </cell>
          <cell r="U108">
            <v>70</v>
          </cell>
          <cell r="V108">
            <v>100</v>
          </cell>
          <cell r="W108" t="str">
            <v>창업 동기와 문제 인식은 비교적 명확하게 제시가 되어 있으나, 실제 차별성이 기술 우위로 연결되는 설명은 다소 미흠 함.</v>
          </cell>
          <cell r="X108" t="str">
            <v>일치</v>
          </cell>
          <cell r="Y108" t="str">
            <v>과제의 제목 및 사업화 아이템의 기능구성 중에 AI요소가 포함되어 일치로 판정</v>
          </cell>
        </row>
        <row r="109">
          <cell r="B109">
            <v>20425251</v>
          </cell>
          <cell r="C109" t="str">
            <v>대학발</v>
          </cell>
          <cell r="D109" t="str">
            <v>화공ㆍ섬유</v>
          </cell>
          <cell r="E109" t="str">
            <v>AI 안면 분석 기반 개인 맞춤형 눈썹 스타일링 키트</v>
          </cell>
          <cell r="F109" t="str">
            <v>0</v>
          </cell>
          <cell r="G109" t="str">
            <v>0</v>
          </cell>
          <cell r="H109" t="str">
            <v>초기</v>
          </cell>
          <cell r="I109" t="str">
            <v>중장년</v>
          </cell>
          <cell r="J109">
            <v>0</v>
          </cell>
          <cell r="K109">
            <v>7</v>
          </cell>
          <cell r="L109">
            <v>7</v>
          </cell>
          <cell r="M109">
            <v>16</v>
          </cell>
          <cell r="N109">
            <v>16</v>
          </cell>
          <cell r="O109">
            <v>7</v>
          </cell>
          <cell r="P109">
            <v>7</v>
          </cell>
          <cell r="Q109">
            <v>13</v>
          </cell>
          <cell r="R109">
            <v>3</v>
          </cell>
          <cell r="S109">
            <v>76</v>
          </cell>
          <cell r="T109">
            <v>0</v>
          </cell>
          <cell r="U109">
            <v>76</v>
          </cell>
          <cell r="V109">
            <v>74</v>
          </cell>
          <cell r="W109" t="str">
            <v>창업아이템의 개발 배경과 목적이 비교적 명확하게 제시되었으나, 목표시장과 고객에 대한 이해 수준이 다소 부족 함.</v>
          </cell>
          <cell r="X109" t="str">
            <v>일치</v>
          </cell>
          <cell r="Y109" t="str">
            <v>과제의 제목 및 사업화 아이템의 기능구성 중에 AI요소가 포함되어 일치로 판정</v>
          </cell>
        </row>
        <row r="110">
          <cell r="B110">
            <v>20429258</v>
          </cell>
          <cell r="C110" t="str">
            <v>대학발</v>
          </cell>
          <cell r="D110" t="str">
            <v>화공ㆍ섬유</v>
          </cell>
          <cell r="E110" t="str">
            <v>피부를 숨기지 않아도 되는 안심 베이스</v>
          </cell>
          <cell r="F110" t="str">
            <v>150,000,000</v>
          </cell>
          <cell r="G110" t="str">
            <v>1</v>
          </cell>
          <cell r="H110" t="str">
            <v>초기</v>
          </cell>
          <cell r="I110" t="str">
            <v>청년</v>
          </cell>
          <cell r="J110" t="str">
            <v>요건탈락</v>
          </cell>
          <cell r="S110" t="str">
            <v/>
          </cell>
          <cell r="T110">
            <v>0</v>
          </cell>
          <cell r="U110" t="str">
            <v/>
          </cell>
          <cell r="V110" t="str">
            <v/>
          </cell>
        </row>
        <row r="111">
          <cell r="B111">
            <v>20421742</v>
          </cell>
          <cell r="C111" t="str">
            <v>실험실</v>
          </cell>
          <cell r="D111" t="str">
            <v>화공ㆍ섬유</v>
          </cell>
          <cell r="E111" t="str">
            <v>고난도 첨단 연구용 유기화합물 맞춤형 합성·공급 플랫폼</v>
          </cell>
          <cell r="F111" t="str">
            <v>26,081,000</v>
          </cell>
          <cell r="G111" t="str">
            <v>1</v>
          </cell>
          <cell r="H111" t="str">
            <v>초기</v>
          </cell>
          <cell r="I111" t="str">
            <v>청년</v>
          </cell>
          <cell r="J111" t="str">
            <v/>
          </cell>
          <cell r="K111">
            <v>9</v>
          </cell>
          <cell r="L111">
            <v>8</v>
          </cell>
          <cell r="M111">
            <v>19</v>
          </cell>
          <cell r="N111">
            <v>19</v>
          </cell>
          <cell r="O111">
            <v>8</v>
          </cell>
          <cell r="P111">
            <v>8</v>
          </cell>
          <cell r="Q111">
            <v>15</v>
          </cell>
          <cell r="R111">
            <v>4</v>
          </cell>
          <cell r="S111">
            <v>90</v>
          </cell>
          <cell r="T111">
            <v>0</v>
          </cell>
          <cell r="U111">
            <v>90</v>
          </cell>
          <cell r="V111">
            <v>6</v>
          </cell>
          <cell r="W111" t="str">
            <v>창업 동기와 문제 인식이 비교적 명확하게 제시가 되어 있으며, 사업화 가능성을 검토한 수준도 양호하다고 판단 됨.</v>
          </cell>
        </row>
        <row r="112">
          <cell r="B112">
            <v>20401633</v>
          </cell>
          <cell r="C112" t="str">
            <v>지역기반</v>
          </cell>
          <cell r="D112" t="str">
            <v>화공ㆍ섬유</v>
          </cell>
          <cell r="E112" t="str">
            <v>수면 시간을 관리하는 수면 뷰티 솔루션 네루미인 제품 사업화</v>
          </cell>
          <cell r="F112" t="str">
            <v>20,000,000</v>
          </cell>
          <cell r="G112" t="str">
            <v>2</v>
          </cell>
          <cell r="H112" t="str">
            <v>도약</v>
          </cell>
          <cell r="I112" t="str">
            <v>청년</v>
          </cell>
          <cell r="J112">
            <v>0</v>
          </cell>
          <cell r="K112">
            <v>7</v>
          </cell>
          <cell r="L112">
            <v>7</v>
          </cell>
          <cell r="M112">
            <v>16</v>
          </cell>
          <cell r="N112">
            <v>17</v>
          </cell>
          <cell r="O112">
            <v>7</v>
          </cell>
          <cell r="P112">
            <v>7</v>
          </cell>
          <cell r="Q112">
            <v>12</v>
          </cell>
          <cell r="R112">
            <v>3</v>
          </cell>
          <cell r="S112">
            <v>76</v>
          </cell>
          <cell r="T112">
            <v>0</v>
          </cell>
          <cell r="U112">
            <v>76</v>
          </cell>
          <cell r="V112">
            <v>74</v>
          </cell>
          <cell r="W112" t="str">
            <v>아이템의 기술수요와 개발 방향은 이해하기 쉽게 작성되었으나,  사업화 가능성을 검토한 수준은 다소 미흡 한 것으로 판단 됨.</v>
          </cell>
        </row>
        <row r="113">
          <cell r="B113">
            <v>20404514</v>
          </cell>
          <cell r="C113" t="str">
            <v>지역기반</v>
          </cell>
          <cell r="D113" t="str">
            <v>화공ㆍ섬유</v>
          </cell>
          <cell r="E113" t="str">
            <v>건조기/스타일러 겸용 로컬라이징 천연 섬유유연제 시트 개발</v>
          </cell>
          <cell r="F113" t="str">
            <v>559,870,000</v>
          </cell>
          <cell r="G113" t="str">
            <v>9</v>
          </cell>
          <cell r="H113" t="str">
            <v>도약</v>
          </cell>
          <cell r="I113" t="str">
            <v>중장년</v>
          </cell>
          <cell r="J113">
            <v>0</v>
          </cell>
          <cell r="K113">
            <v>7</v>
          </cell>
          <cell r="L113">
            <v>7</v>
          </cell>
          <cell r="M113">
            <v>17</v>
          </cell>
          <cell r="N113">
            <v>17</v>
          </cell>
          <cell r="O113">
            <v>7</v>
          </cell>
          <cell r="P113">
            <v>7</v>
          </cell>
          <cell r="Q113">
            <v>13</v>
          </cell>
          <cell r="R113">
            <v>3</v>
          </cell>
          <cell r="S113">
            <v>78</v>
          </cell>
          <cell r="T113">
            <v>0</v>
          </cell>
          <cell r="U113">
            <v>78</v>
          </cell>
          <cell r="V113">
            <v>66</v>
          </cell>
          <cell r="W113" t="str">
            <v>창업 동기와 문제 인식은 비교적 명확하게 제시가 되어 있으나, 실제 차별성이 기술 우위로 연결되는 설명은 다소 미흠 함.</v>
          </cell>
        </row>
        <row r="114">
          <cell r="B114">
            <v>20408236</v>
          </cell>
          <cell r="C114" t="str">
            <v>지역기반</v>
          </cell>
          <cell r="D114" t="str">
            <v>화공ㆍ섬유</v>
          </cell>
          <cell r="E114" t="str">
            <v>니치퍼퓸, 아로마 해외 수출 전문 화장품</v>
          </cell>
          <cell r="F114" t="str">
            <v>60,000,000</v>
          </cell>
          <cell r="G114" t="str">
            <v>1</v>
          </cell>
          <cell r="H114" t="str">
            <v>도약</v>
          </cell>
          <cell r="I114" t="str">
            <v>청년</v>
          </cell>
          <cell r="J114">
            <v>0</v>
          </cell>
          <cell r="K114">
            <v>8</v>
          </cell>
          <cell r="L114">
            <v>8</v>
          </cell>
          <cell r="M114">
            <v>17</v>
          </cell>
          <cell r="N114">
            <v>17</v>
          </cell>
          <cell r="O114">
            <v>7</v>
          </cell>
          <cell r="P114">
            <v>8</v>
          </cell>
          <cell r="Q114">
            <v>13</v>
          </cell>
          <cell r="R114">
            <v>3</v>
          </cell>
          <cell r="S114">
            <v>81</v>
          </cell>
          <cell r="T114">
            <v>0</v>
          </cell>
          <cell r="U114">
            <v>81</v>
          </cell>
          <cell r="V114">
            <v>46</v>
          </cell>
          <cell r="W114" t="str">
            <v xml:space="preserve">창업 동기와 문제 인식이 비교적 명확하게 제시가 되어 있으며, 사업화 가능성을 검토한 수준도 양호하다고 판단 됨. </v>
          </cell>
        </row>
        <row r="115">
          <cell r="B115">
            <v>20410202</v>
          </cell>
          <cell r="C115" t="str">
            <v>지역기반</v>
          </cell>
          <cell r="D115" t="str">
            <v>화공ㆍ섬유</v>
          </cell>
          <cell r="E115" t="str">
            <v>AI 기반 고급 가죽 잡화 맞춤 제작 솔루션</v>
          </cell>
          <cell r="F115" t="str">
            <v>210,766,110</v>
          </cell>
          <cell r="G115" t="str">
            <v>4</v>
          </cell>
          <cell r="H115" t="str">
            <v>도약</v>
          </cell>
          <cell r="I115" t="str">
            <v>청년</v>
          </cell>
          <cell r="J115" t="str">
            <v>면제</v>
          </cell>
          <cell r="S115" t="str">
            <v/>
          </cell>
          <cell r="T115">
            <v>0</v>
          </cell>
          <cell r="U115">
            <v>100</v>
          </cell>
          <cell r="V115" t="str">
            <v/>
          </cell>
        </row>
        <row r="116">
          <cell r="B116">
            <v>20412068</v>
          </cell>
          <cell r="C116" t="str">
            <v>지역기반</v>
          </cell>
          <cell r="D116" t="str">
            <v>화공ㆍ섬유</v>
          </cell>
          <cell r="E116" t="str">
            <v>계면활성제 10% 이하 초저계면 세정 기술이 적용된  탄산 마이크로버블 브랜드 ‘beurth’ 양산화 및 글로벌(아마존) 스케일업</v>
          </cell>
          <cell r="F116" t="str">
            <v>209,000,000</v>
          </cell>
          <cell r="G116" t="str">
            <v>3</v>
          </cell>
          <cell r="H116" t="str">
            <v>도약</v>
          </cell>
          <cell r="I116" t="str">
            <v>청년</v>
          </cell>
          <cell r="J116">
            <v>0</v>
          </cell>
          <cell r="K116">
            <v>8</v>
          </cell>
          <cell r="L116">
            <v>7</v>
          </cell>
          <cell r="M116">
            <v>17</v>
          </cell>
          <cell r="N116">
            <v>17</v>
          </cell>
          <cell r="O116">
            <v>6</v>
          </cell>
          <cell r="P116">
            <v>6</v>
          </cell>
          <cell r="Q116">
            <v>13</v>
          </cell>
          <cell r="R116">
            <v>3</v>
          </cell>
          <cell r="S116">
            <v>77</v>
          </cell>
          <cell r="T116">
            <v>0</v>
          </cell>
          <cell r="U116">
            <v>77</v>
          </cell>
          <cell r="V116">
            <v>72</v>
          </cell>
          <cell r="W116" t="str">
            <v>창업아이템의 개발 배경과 목적이 비교적 명확하게 제시되었으며, 팀 구성의 적정성도 양호한 수준으로 판단 됨</v>
          </cell>
        </row>
        <row r="117">
          <cell r="B117">
            <v>20413097</v>
          </cell>
          <cell r="C117" t="str">
            <v>지역기반</v>
          </cell>
          <cell r="D117" t="str">
            <v>화공ㆍ섬유</v>
          </cell>
          <cell r="E117" t="str">
            <v>AI 기반 제조 공정 혁신 기술이 적용된 글로벌 타겟 프리미엄 K-디저트 개발 및 사업화</v>
          </cell>
          <cell r="F117" t="str">
            <v>1,000,000,000</v>
          </cell>
          <cell r="G117" t="str">
            <v>13</v>
          </cell>
          <cell r="H117" t="str">
            <v>도약</v>
          </cell>
          <cell r="I117" t="str">
            <v>청년</v>
          </cell>
          <cell r="J117">
            <v>0</v>
          </cell>
          <cell r="K117">
            <v>7</v>
          </cell>
          <cell r="L117">
            <v>7</v>
          </cell>
          <cell r="M117">
            <v>18</v>
          </cell>
          <cell r="N117">
            <v>18</v>
          </cell>
          <cell r="O117">
            <v>7</v>
          </cell>
          <cell r="P117">
            <v>8</v>
          </cell>
          <cell r="Q117">
            <v>14</v>
          </cell>
          <cell r="R117">
            <v>3</v>
          </cell>
          <cell r="S117">
            <v>82</v>
          </cell>
          <cell r="T117">
            <v>0</v>
          </cell>
          <cell r="U117">
            <v>82</v>
          </cell>
          <cell r="V117">
            <v>41</v>
          </cell>
          <cell r="W117" t="str">
            <v xml:space="preserve">창업아이템의 개발 배경과 목적이 비교적 명확하게 제시되었으나,  사업비 집행계획에서 인건비와 컨설팅 비용 비율이 사업비 집행금액의 90%로 제품개발에 대한 투자비가 미미함. </v>
          </cell>
        </row>
        <row r="118">
          <cell r="B118">
            <v>20414167</v>
          </cell>
          <cell r="C118" t="str">
            <v>지역기반</v>
          </cell>
          <cell r="D118" t="str">
            <v>화공ㆍ섬유</v>
          </cell>
          <cell r="E118" t="str">
            <v>다층 복합 구조 레이저 방호 원단을 활용한 경량형 레이저 보호복</v>
          </cell>
          <cell r="F118" t="str">
            <v>1,177,000,000</v>
          </cell>
          <cell r="G118" t="str">
            <v>8</v>
          </cell>
          <cell r="H118" t="str">
            <v>도약</v>
          </cell>
          <cell r="I118" t="str">
            <v>청년</v>
          </cell>
          <cell r="J118" t="str">
            <v>면제</v>
          </cell>
          <cell r="S118" t="str">
            <v/>
          </cell>
          <cell r="T118">
            <v>0</v>
          </cell>
          <cell r="U118">
            <v>100</v>
          </cell>
          <cell r="V118" t="str">
            <v/>
          </cell>
        </row>
        <row r="119">
          <cell r="B119">
            <v>20417179</v>
          </cell>
          <cell r="C119" t="str">
            <v>지역기반</v>
          </cell>
          <cell r="D119" t="str">
            <v>화공ㆍ섬유</v>
          </cell>
          <cell r="E119" t="str">
            <v>VOCs 저감 및 재활용 분리가 가능한 무접착 열라미네이팅 기반 친환경 합지소재 기술개발</v>
          </cell>
          <cell r="F119" t="str">
            <v>30,000,000</v>
          </cell>
          <cell r="G119" t="str">
            <v>1</v>
          </cell>
          <cell r="H119" t="str">
            <v>도약</v>
          </cell>
          <cell r="I119" t="str">
            <v>중장년</v>
          </cell>
          <cell r="J119">
            <v>0</v>
          </cell>
          <cell r="K119">
            <v>7</v>
          </cell>
          <cell r="L119">
            <v>7</v>
          </cell>
          <cell r="M119">
            <v>18</v>
          </cell>
          <cell r="N119">
            <v>18</v>
          </cell>
          <cell r="O119">
            <v>7</v>
          </cell>
          <cell r="P119">
            <v>7</v>
          </cell>
          <cell r="Q119">
            <v>12</v>
          </cell>
          <cell r="R119">
            <v>3</v>
          </cell>
          <cell r="S119">
            <v>79</v>
          </cell>
          <cell r="T119">
            <v>0</v>
          </cell>
          <cell r="U119">
            <v>79</v>
          </cell>
          <cell r="V119">
            <v>58</v>
          </cell>
          <cell r="W119" t="str">
            <v>아이템의 기술수요와 개발 방향은 이해하기 쉽게 작성되었으나, 전반적으로 팀 구성의 적정성은 다소 미흡한 것으로 판단 됨.</v>
          </cell>
        </row>
        <row r="120">
          <cell r="B120">
            <v>20425558</v>
          </cell>
          <cell r="C120" t="str">
            <v>지역기반</v>
          </cell>
          <cell r="D120" t="str">
            <v>화공ㆍ섬유</v>
          </cell>
          <cell r="E120" t="str">
            <v>국내산 집성재의 이익극대화를 위한 상온 경화형 집성재 제조 공정 개발</v>
          </cell>
          <cell r="F120" t="str">
            <v>31,000,000</v>
          </cell>
          <cell r="G120" t="str">
            <v>1</v>
          </cell>
          <cell r="H120" t="str">
            <v>도약</v>
          </cell>
          <cell r="I120" t="str">
            <v>중장년</v>
          </cell>
          <cell r="J120">
            <v>0</v>
          </cell>
          <cell r="K120">
            <v>9</v>
          </cell>
          <cell r="L120">
            <v>9</v>
          </cell>
          <cell r="M120">
            <v>19</v>
          </cell>
          <cell r="N120">
            <v>19</v>
          </cell>
          <cell r="O120">
            <v>8</v>
          </cell>
          <cell r="P120">
            <v>8</v>
          </cell>
          <cell r="Q120">
            <v>14</v>
          </cell>
          <cell r="R120">
            <v>5</v>
          </cell>
          <cell r="S120">
            <v>91</v>
          </cell>
          <cell r="T120">
            <v>0</v>
          </cell>
          <cell r="U120">
            <v>91</v>
          </cell>
          <cell r="V120">
            <v>2</v>
          </cell>
          <cell r="W120" t="str">
            <v xml:space="preserve">창업 동기와 문제 인식이 비교적 명확하게 제시가 되어 있으며, 사업화 가능성을 검토한 수준도 양호하다고 판단 됨. </v>
          </cell>
        </row>
        <row r="121">
          <cell r="B121">
            <v>20426450</v>
          </cell>
          <cell r="C121" t="str">
            <v>지역기반</v>
          </cell>
          <cell r="D121" t="str">
            <v>화공ㆍ섬유</v>
          </cell>
          <cell r="E121" t="str">
            <v>아우라 오브 조선 (Aura of Joseon)</v>
          </cell>
          <cell r="F121" t="str">
            <v>1,042,366,276</v>
          </cell>
          <cell r="G121" t="str">
            <v>1</v>
          </cell>
          <cell r="H121" t="str">
            <v>도약</v>
          </cell>
          <cell r="I121" t="str">
            <v>청년</v>
          </cell>
          <cell r="J121">
            <v>0</v>
          </cell>
          <cell r="K121">
            <v>7</v>
          </cell>
          <cell r="L121">
            <v>7</v>
          </cell>
          <cell r="M121">
            <v>17</v>
          </cell>
          <cell r="N121">
            <v>17</v>
          </cell>
          <cell r="O121">
            <v>7</v>
          </cell>
          <cell r="P121">
            <v>7</v>
          </cell>
          <cell r="Q121">
            <v>13</v>
          </cell>
          <cell r="R121">
            <v>4</v>
          </cell>
          <cell r="S121">
            <v>79</v>
          </cell>
          <cell r="T121">
            <v>0</v>
          </cell>
          <cell r="U121">
            <v>79</v>
          </cell>
          <cell r="V121">
            <v>58</v>
          </cell>
          <cell r="W121" t="str">
            <v>창업 동기와 문제 인식은 비교적 명확하게 제시가 되어 있으나, 실제 차별성이 기술 우위로 연결되는 설명은 다소 미흠 함.</v>
          </cell>
        </row>
        <row r="122">
          <cell r="B122">
            <v>20426581</v>
          </cell>
          <cell r="C122" t="str">
            <v>지역기반</v>
          </cell>
          <cell r="D122" t="str">
            <v>화공ㆍ섬유</v>
          </cell>
          <cell r="E122" t="str">
            <v>황벽나무 및 쇠비름 유효성분의 효능 최대화 기술이 적용된 가려움 완화  비도포 분사형 제품</v>
          </cell>
          <cell r="F122" t="str">
            <v>160,000,000</v>
          </cell>
          <cell r="G122" t="str">
            <v>0</v>
          </cell>
          <cell r="H122" t="str">
            <v>도약</v>
          </cell>
          <cell r="I122" t="str">
            <v>청년</v>
          </cell>
          <cell r="J122">
            <v>0</v>
          </cell>
          <cell r="K122">
            <v>8</v>
          </cell>
          <cell r="L122">
            <v>8</v>
          </cell>
          <cell r="M122">
            <v>18</v>
          </cell>
          <cell r="N122">
            <v>18</v>
          </cell>
          <cell r="O122">
            <v>8</v>
          </cell>
          <cell r="P122">
            <v>7</v>
          </cell>
          <cell r="Q122">
            <v>13</v>
          </cell>
          <cell r="R122">
            <v>4</v>
          </cell>
          <cell r="S122">
            <v>84</v>
          </cell>
          <cell r="T122">
            <v>0</v>
          </cell>
          <cell r="U122">
            <v>84</v>
          </cell>
          <cell r="V122">
            <v>35</v>
          </cell>
          <cell r="W122" t="str">
            <v>창업 동기와 문제 인식은 비교적 명확하게 제시가 되어 있으나, 실제 차별성이 고객의 수요와 활용 가능성에 대한 설명이 다소 미흠 함.</v>
          </cell>
        </row>
        <row r="123">
          <cell r="B123">
            <v>20427672</v>
          </cell>
          <cell r="C123" t="str">
            <v>지역기반</v>
          </cell>
          <cell r="D123" t="str">
            <v>화공ㆍ섬유</v>
          </cell>
          <cell r="E123" t="str">
            <v>연화소재 기반 K-유자껍질 업사이클링 원료와 PLA 친환경 패키징을 활용하여 국내외로 지속가능 웰니스 경험을 선사하는 바디케어(바디로션) 제품 개발</v>
          </cell>
          <cell r="F123" t="str">
            <v>99,561,204</v>
          </cell>
          <cell r="G123" t="str">
            <v>2</v>
          </cell>
          <cell r="H123" t="str">
            <v>도약</v>
          </cell>
          <cell r="I123" t="str">
            <v>청년</v>
          </cell>
          <cell r="J123">
            <v>0</v>
          </cell>
          <cell r="K123">
            <v>8</v>
          </cell>
          <cell r="L123">
            <v>8</v>
          </cell>
          <cell r="M123">
            <v>18</v>
          </cell>
          <cell r="N123">
            <v>17</v>
          </cell>
          <cell r="O123">
            <v>8</v>
          </cell>
          <cell r="P123">
            <v>7</v>
          </cell>
          <cell r="Q123">
            <v>13</v>
          </cell>
          <cell r="R123">
            <v>3</v>
          </cell>
          <cell r="S123">
            <v>82</v>
          </cell>
          <cell r="T123">
            <v>0</v>
          </cell>
          <cell r="U123">
            <v>82</v>
          </cell>
          <cell r="V123">
            <v>41</v>
          </cell>
          <cell r="W123" t="str">
            <v>창업아이템의 개발 배경과 목적이 비교적 명확하게 제시되었으며, 사업화 가능성을 검토한 수준도 비교적 양호하다고 판단 됨.</v>
          </cell>
        </row>
        <row r="124">
          <cell r="B124">
            <v>20429160</v>
          </cell>
          <cell r="C124" t="str">
            <v>지역기반</v>
          </cell>
          <cell r="D124" t="str">
            <v>화공ㆍ섬유</v>
          </cell>
          <cell r="E124" t="str">
            <v>국산 과일 소재화 기술 기반 데이터·AI 연계 K-Fruit 동결건조 식품소재 개발 및 글로벌 사업화</v>
          </cell>
          <cell r="F124" t="str">
            <v>1,344,472,947</v>
          </cell>
          <cell r="G124" t="str">
            <v>5</v>
          </cell>
          <cell r="H124" t="str">
            <v>도약</v>
          </cell>
          <cell r="I124" t="str">
            <v>중장년</v>
          </cell>
          <cell r="J124">
            <v>0</v>
          </cell>
          <cell r="K124">
            <v>8</v>
          </cell>
          <cell r="L124">
            <v>8</v>
          </cell>
          <cell r="M124">
            <v>17</v>
          </cell>
          <cell r="N124">
            <v>17</v>
          </cell>
          <cell r="O124">
            <v>8</v>
          </cell>
          <cell r="P124">
            <v>7</v>
          </cell>
          <cell r="Q124">
            <v>14</v>
          </cell>
          <cell r="R124">
            <v>5</v>
          </cell>
          <cell r="S124">
            <v>84</v>
          </cell>
          <cell r="T124">
            <v>0</v>
          </cell>
          <cell r="U124">
            <v>84</v>
          </cell>
          <cell r="V124">
            <v>35</v>
          </cell>
          <cell r="W124" t="str">
            <v xml:space="preserve">창업 동기와 문제 인식이 비교적 명확하게 제시가 되어 있으며, 사업화 가능성을 검토한 수준도 비교적 양호하다고 판단 됨. </v>
          </cell>
        </row>
        <row r="125">
          <cell r="B125">
            <v>20429165</v>
          </cell>
          <cell r="C125" t="str">
            <v>지역기반</v>
          </cell>
          <cell r="D125" t="str">
            <v>화공ㆍ섬유</v>
          </cell>
          <cell r="E125" t="str">
            <v>AI x IoT 기반 Off-Grid 재난·안전 대응 스마트 모바일 쉘터</v>
          </cell>
          <cell r="F125" t="str">
            <v>608,370,260</v>
          </cell>
          <cell r="G125" t="str">
            <v>2</v>
          </cell>
          <cell r="H125" t="str">
            <v>도약</v>
          </cell>
          <cell r="I125" t="str">
            <v>중장년</v>
          </cell>
          <cell r="J125">
            <v>0</v>
          </cell>
          <cell r="K125">
            <v>8</v>
          </cell>
          <cell r="L125">
            <v>8</v>
          </cell>
          <cell r="M125">
            <v>17</v>
          </cell>
          <cell r="N125">
            <v>17</v>
          </cell>
          <cell r="O125">
            <v>7</v>
          </cell>
          <cell r="P125">
            <v>8</v>
          </cell>
          <cell r="Q125">
            <v>15</v>
          </cell>
          <cell r="R125">
            <v>5</v>
          </cell>
          <cell r="S125">
            <v>85</v>
          </cell>
          <cell r="T125">
            <v>0</v>
          </cell>
          <cell r="U125">
            <v>85</v>
          </cell>
          <cell r="V125">
            <v>31</v>
          </cell>
          <cell r="W125" t="str">
            <v xml:space="preserve">창업 동기와 문제 인식이 비교적 명확하게 제시가 되어 있으며, 사업화 가능성을 검토한 수준도 비교적 양호하다고 판단 됨. </v>
          </cell>
        </row>
        <row r="126">
          <cell r="B126">
            <v>20429774</v>
          </cell>
          <cell r="C126" t="str">
            <v>지역기반</v>
          </cell>
          <cell r="D126" t="str">
            <v>화공ㆍ섬유</v>
          </cell>
          <cell r="E126" t="str">
            <v>주짓수 도복 및 스포츠웨어 스마트 제조 및 제작</v>
          </cell>
          <cell r="F126" t="str">
            <v>650,000,000</v>
          </cell>
          <cell r="G126" t="str">
            <v>1</v>
          </cell>
          <cell r="H126" t="str">
            <v>도약</v>
          </cell>
          <cell r="I126" t="str">
            <v>중장년</v>
          </cell>
          <cell r="J126">
            <v>0</v>
          </cell>
          <cell r="K126">
            <v>7</v>
          </cell>
          <cell r="L126">
            <v>9</v>
          </cell>
          <cell r="M126">
            <v>18</v>
          </cell>
          <cell r="N126">
            <v>18</v>
          </cell>
          <cell r="O126">
            <v>8</v>
          </cell>
          <cell r="P126">
            <v>8</v>
          </cell>
          <cell r="Q126">
            <v>15</v>
          </cell>
          <cell r="R126">
            <v>5</v>
          </cell>
          <cell r="S126">
            <v>88</v>
          </cell>
          <cell r="T126">
            <v>0</v>
          </cell>
          <cell r="U126">
            <v>88</v>
          </cell>
          <cell r="V126">
            <v>13</v>
          </cell>
          <cell r="W126" t="str">
            <v xml:space="preserve">창업 동기와 문제 인식이 비교적 명확하게 제시가 되어 있으며, 사업화 가능성을 검토한 수준도 양호하다고 판단 됨. </v>
          </cell>
        </row>
        <row r="127">
          <cell r="B127">
            <v>20430395</v>
          </cell>
          <cell r="C127" t="str">
            <v>지역기반</v>
          </cell>
          <cell r="D127" t="str">
            <v>화공ㆍ섬유</v>
          </cell>
          <cell r="E127" t="str">
            <v>고양이와 안전하게 외출할 수 있는 슬개골‧디스크 케어 이동가방</v>
          </cell>
          <cell r="F127" t="str">
            <v>488,321,219</v>
          </cell>
          <cell r="G127" t="str">
            <v>1</v>
          </cell>
          <cell r="H127" t="str">
            <v>도약</v>
          </cell>
          <cell r="I127" t="str">
            <v>청년</v>
          </cell>
          <cell r="J127">
            <v>0</v>
          </cell>
          <cell r="K127">
            <v>7</v>
          </cell>
          <cell r="L127">
            <v>7</v>
          </cell>
          <cell r="M127">
            <v>17</v>
          </cell>
          <cell r="N127">
            <v>17</v>
          </cell>
          <cell r="O127">
            <v>8</v>
          </cell>
          <cell r="P127">
            <v>7</v>
          </cell>
          <cell r="Q127">
            <v>13</v>
          </cell>
          <cell r="R127">
            <v>5</v>
          </cell>
          <cell r="S127">
            <v>81</v>
          </cell>
          <cell r="T127">
            <v>2</v>
          </cell>
          <cell r="U127">
            <v>83</v>
          </cell>
          <cell r="V127">
            <v>39</v>
          </cell>
          <cell r="W127" t="str">
            <v>창업 동기와 문제 인식은 비교적 명확하게 제시가 되어 있으나, 실제 차별성이 기술 우위로 연결되는 설명은 다소 미흠 함.</v>
          </cell>
        </row>
        <row r="128">
          <cell r="B128">
            <v>20431705</v>
          </cell>
          <cell r="C128" t="str">
            <v>지역기반</v>
          </cell>
          <cell r="D128" t="str">
            <v>화공ㆍ섬유</v>
          </cell>
          <cell r="E128" t="str">
            <v>스피큘 비드 코팅 기술 및 PDRN 시각화 기능이 적용된 B2B 화장품 원료 'Crystal Spicule Bead V4.0'</v>
          </cell>
          <cell r="F128" t="str">
            <v>2,000,000,000</v>
          </cell>
          <cell r="G128" t="str">
            <v>6</v>
          </cell>
          <cell r="H128" t="str">
            <v>도약</v>
          </cell>
          <cell r="I128" t="str">
            <v>중장년</v>
          </cell>
          <cell r="J128">
            <v>0</v>
          </cell>
          <cell r="K128">
            <v>8</v>
          </cell>
          <cell r="L128">
            <v>8</v>
          </cell>
          <cell r="M128">
            <v>18</v>
          </cell>
          <cell r="N128">
            <v>18</v>
          </cell>
          <cell r="O128">
            <v>8</v>
          </cell>
          <cell r="P128">
            <v>8</v>
          </cell>
          <cell r="Q128">
            <v>14</v>
          </cell>
          <cell r="R128">
            <v>5</v>
          </cell>
          <cell r="S128">
            <v>87</v>
          </cell>
          <cell r="T128">
            <v>0</v>
          </cell>
          <cell r="U128">
            <v>87</v>
          </cell>
          <cell r="V128">
            <v>17</v>
          </cell>
          <cell r="W128" t="str">
            <v xml:space="preserve">창업 동기와 문제 인식이 비교적 명확하게 제시가 되어 있으며, 사업화 가능성을 검토한 수준도 양호하다고 판단 됨. </v>
          </cell>
        </row>
        <row r="129">
          <cell r="B129">
            <v>20422189</v>
          </cell>
          <cell r="C129" t="str">
            <v>대학발</v>
          </cell>
          <cell r="D129" t="str">
            <v>화공ㆍ섬유</v>
          </cell>
          <cell r="E129" t="str">
            <v>피부 장벽 개선 및 복합적 피부 고민 관리를 위한 스킨케어 솔루션</v>
          </cell>
          <cell r="F129" t="str">
            <v>2,000,000</v>
          </cell>
          <cell r="G129" t="str">
            <v>1</v>
          </cell>
          <cell r="H129" t="str">
            <v>도약</v>
          </cell>
          <cell r="I129" t="str">
            <v>중장년</v>
          </cell>
          <cell r="J129">
            <v>0</v>
          </cell>
          <cell r="K129">
            <v>8</v>
          </cell>
          <cell r="L129">
            <v>8</v>
          </cell>
          <cell r="M129">
            <v>18</v>
          </cell>
          <cell r="N129">
            <v>18</v>
          </cell>
          <cell r="O129">
            <v>8</v>
          </cell>
          <cell r="P129">
            <v>8</v>
          </cell>
          <cell r="Q129">
            <v>14</v>
          </cell>
          <cell r="R129">
            <v>4</v>
          </cell>
          <cell r="S129">
            <v>86</v>
          </cell>
          <cell r="T129">
            <v>0</v>
          </cell>
          <cell r="U129">
            <v>86</v>
          </cell>
          <cell r="V129">
            <v>23</v>
          </cell>
          <cell r="W129" t="str">
            <v>아이템의 기술수요와 개발 방향은 이해하기 쉽게 작성되었으나, 전반적으로 팀 구성의 적정성은 다소 미흡한 것으로 판단 됨.</v>
          </cell>
          <cell r="X129" t="str">
            <v>불일치</v>
          </cell>
          <cell r="Y129" t="str">
            <v>단순화학제품 제조이므로 주력산업 분야에 해당하지ㅣ 않음.</v>
          </cell>
        </row>
        <row r="130">
          <cell r="C130" t="str">
            <v/>
          </cell>
          <cell r="D130" t="str">
            <v/>
          </cell>
          <cell r="E130" t="str">
            <v/>
          </cell>
          <cell r="F130" t="str">
            <v/>
          </cell>
          <cell r="G130" t="str">
            <v/>
          </cell>
          <cell r="H130" t="str">
            <v/>
          </cell>
          <cell r="I130" t="str">
            <v/>
          </cell>
          <cell r="J130" t="str">
            <v/>
          </cell>
          <cell r="S130">
            <v>0</v>
          </cell>
          <cell r="T130" t="str">
            <v/>
          </cell>
          <cell r="U130" t="str">
            <v/>
          </cell>
          <cell r="V130" t="str">
            <v/>
          </cell>
        </row>
        <row r="131">
          <cell r="C131" t="str">
            <v/>
          </cell>
          <cell r="D131" t="str">
            <v/>
          </cell>
          <cell r="E131" t="str">
            <v/>
          </cell>
          <cell r="F131" t="str">
            <v/>
          </cell>
          <cell r="G131" t="str">
            <v/>
          </cell>
          <cell r="H131" t="str">
            <v/>
          </cell>
          <cell r="I131" t="str">
            <v/>
          </cell>
          <cell r="J131" t="str">
            <v/>
          </cell>
          <cell r="S131">
            <v>0</v>
          </cell>
          <cell r="T131" t="str">
            <v/>
          </cell>
          <cell r="U131" t="str">
            <v/>
          </cell>
          <cell r="V131" t="str">
            <v/>
          </cell>
        </row>
        <row r="132">
          <cell r="C132" t="str">
            <v/>
          </cell>
          <cell r="D132" t="str">
            <v/>
          </cell>
          <cell r="E132" t="str">
            <v/>
          </cell>
          <cell r="F132" t="str">
            <v/>
          </cell>
          <cell r="G132" t="str">
            <v/>
          </cell>
          <cell r="H132" t="str">
            <v/>
          </cell>
          <cell r="I132" t="str">
            <v/>
          </cell>
          <cell r="J132" t="str">
            <v/>
          </cell>
          <cell r="S132">
            <v>0</v>
          </cell>
          <cell r="T132" t="str">
            <v/>
          </cell>
          <cell r="U132" t="str">
            <v/>
          </cell>
          <cell r="V132" t="str">
            <v/>
          </cell>
        </row>
        <row r="133">
          <cell r="C133" t="str">
            <v/>
          </cell>
          <cell r="D133" t="str">
            <v/>
          </cell>
          <cell r="E133" t="str">
            <v/>
          </cell>
          <cell r="F133" t="str">
            <v/>
          </cell>
          <cell r="G133" t="str">
            <v/>
          </cell>
          <cell r="H133" t="str">
            <v/>
          </cell>
          <cell r="I133" t="str">
            <v/>
          </cell>
          <cell r="J133" t="str">
            <v/>
          </cell>
          <cell r="S133">
            <v>0</v>
          </cell>
          <cell r="T133" t="str">
            <v/>
          </cell>
          <cell r="U133" t="str">
            <v/>
          </cell>
          <cell r="V133" t="str">
            <v/>
          </cell>
        </row>
        <row r="134">
          <cell r="C134" t="str">
            <v/>
          </cell>
          <cell r="D134" t="str">
            <v/>
          </cell>
          <cell r="E134" t="str">
            <v/>
          </cell>
          <cell r="F134" t="str">
            <v/>
          </cell>
          <cell r="G134" t="str">
            <v/>
          </cell>
          <cell r="H134" t="str">
            <v/>
          </cell>
          <cell r="I134" t="str">
            <v/>
          </cell>
          <cell r="J134" t="str">
            <v/>
          </cell>
          <cell r="S134">
            <v>0</v>
          </cell>
          <cell r="T134" t="str">
            <v/>
          </cell>
          <cell r="U134" t="str">
            <v/>
          </cell>
          <cell r="V134" t="str">
            <v/>
          </cell>
        </row>
        <row r="135">
          <cell r="C135" t="str">
            <v/>
          </cell>
          <cell r="D135" t="str">
            <v/>
          </cell>
          <cell r="E135" t="str">
            <v/>
          </cell>
          <cell r="F135" t="str">
            <v/>
          </cell>
          <cell r="G135" t="str">
            <v/>
          </cell>
          <cell r="H135" t="str">
            <v/>
          </cell>
          <cell r="I135" t="str">
            <v/>
          </cell>
          <cell r="J135" t="str">
            <v/>
          </cell>
          <cell r="S135">
            <v>0</v>
          </cell>
          <cell r="T135" t="str">
            <v/>
          </cell>
          <cell r="U135" t="str">
            <v/>
          </cell>
          <cell r="V135" t="str">
            <v/>
          </cell>
        </row>
        <row r="136">
          <cell r="C136" t="str">
            <v/>
          </cell>
          <cell r="D136" t="str">
            <v/>
          </cell>
          <cell r="E136" t="str">
            <v/>
          </cell>
          <cell r="F136" t="str">
            <v/>
          </cell>
          <cell r="G136" t="str">
            <v/>
          </cell>
          <cell r="H136" t="str">
            <v/>
          </cell>
          <cell r="I136" t="str">
            <v/>
          </cell>
          <cell r="J136" t="str">
            <v/>
          </cell>
          <cell r="S136">
            <v>0</v>
          </cell>
          <cell r="T136" t="str">
            <v/>
          </cell>
          <cell r="U136" t="str">
            <v/>
          </cell>
          <cell r="V136" t="str">
            <v/>
          </cell>
        </row>
        <row r="137">
          <cell r="C137" t="str">
            <v/>
          </cell>
          <cell r="D137" t="str">
            <v/>
          </cell>
          <cell r="E137" t="str">
            <v/>
          </cell>
          <cell r="F137" t="str">
            <v/>
          </cell>
          <cell r="G137" t="str">
            <v/>
          </cell>
          <cell r="H137" t="str">
            <v/>
          </cell>
          <cell r="I137" t="str">
            <v/>
          </cell>
          <cell r="J137" t="str">
            <v/>
          </cell>
          <cell r="S137">
            <v>0</v>
          </cell>
          <cell r="T137" t="str">
            <v/>
          </cell>
          <cell r="U137" t="str">
            <v/>
          </cell>
          <cell r="V137" t="str">
            <v/>
          </cell>
        </row>
        <row r="138">
          <cell r="C138" t="str">
            <v/>
          </cell>
          <cell r="D138" t="str">
            <v/>
          </cell>
          <cell r="E138" t="str">
            <v/>
          </cell>
          <cell r="F138" t="str">
            <v/>
          </cell>
          <cell r="G138" t="str">
            <v/>
          </cell>
          <cell r="H138" t="str">
            <v/>
          </cell>
          <cell r="I138" t="str">
            <v/>
          </cell>
          <cell r="J138" t="str">
            <v/>
          </cell>
          <cell r="S138">
            <v>0</v>
          </cell>
          <cell r="T138" t="str">
            <v/>
          </cell>
          <cell r="U138" t="str">
            <v/>
          </cell>
          <cell r="V138" t="str">
            <v/>
          </cell>
        </row>
        <row r="139">
          <cell r="C139" t="str">
            <v/>
          </cell>
          <cell r="D139" t="str">
            <v/>
          </cell>
          <cell r="E139" t="str">
            <v/>
          </cell>
          <cell r="F139" t="str">
            <v/>
          </cell>
          <cell r="G139" t="str">
            <v/>
          </cell>
          <cell r="H139" t="str">
            <v/>
          </cell>
          <cell r="I139" t="str">
            <v/>
          </cell>
          <cell r="J139" t="str">
            <v/>
          </cell>
          <cell r="S139">
            <v>0</v>
          </cell>
          <cell r="T139" t="str">
            <v/>
          </cell>
          <cell r="U139" t="str">
            <v/>
          </cell>
          <cell r="V139" t="str">
            <v/>
          </cell>
        </row>
        <row r="140">
          <cell r="C140" t="str">
            <v/>
          </cell>
          <cell r="D140" t="str">
            <v/>
          </cell>
          <cell r="E140" t="str">
            <v/>
          </cell>
          <cell r="F140" t="str">
            <v/>
          </cell>
          <cell r="G140" t="str">
            <v/>
          </cell>
          <cell r="H140" t="str">
            <v/>
          </cell>
          <cell r="I140" t="str">
            <v/>
          </cell>
          <cell r="J140" t="str">
            <v/>
          </cell>
          <cell r="S140">
            <v>0</v>
          </cell>
          <cell r="T140" t="str">
            <v/>
          </cell>
          <cell r="U140" t="str">
            <v/>
          </cell>
          <cell r="V140" t="str">
            <v/>
          </cell>
        </row>
        <row r="141">
          <cell r="C141" t="str">
            <v/>
          </cell>
          <cell r="D141" t="str">
            <v/>
          </cell>
          <cell r="E141" t="str">
            <v/>
          </cell>
          <cell r="F141" t="str">
            <v/>
          </cell>
          <cell r="G141" t="str">
            <v/>
          </cell>
          <cell r="H141" t="str">
            <v/>
          </cell>
          <cell r="I141" t="str">
            <v/>
          </cell>
          <cell r="J141" t="str">
            <v/>
          </cell>
          <cell r="S141">
            <v>0</v>
          </cell>
          <cell r="T141" t="str">
            <v/>
          </cell>
          <cell r="U141" t="str">
            <v/>
          </cell>
          <cell r="V141" t="str">
            <v/>
          </cell>
        </row>
        <row r="142">
          <cell r="C142" t="str">
            <v/>
          </cell>
          <cell r="D142" t="str">
            <v/>
          </cell>
          <cell r="E142" t="str">
            <v/>
          </cell>
          <cell r="F142" t="str">
            <v/>
          </cell>
          <cell r="G142" t="str">
            <v/>
          </cell>
          <cell r="H142" t="str">
            <v/>
          </cell>
          <cell r="I142" t="str">
            <v/>
          </cell>
          <cell r="J142" t="str">
            <v/>
          </cell>
          <cell r="S142">
            <v>0</v>
          </cell>
          <cell r="T142" t="str">
            <v/>
          </cell>
          <cell r="U142" t="str">
            <v/>
          </cell>
          <cell r="V142" t="str">
            <v/>
          </cell>
        </row>
        <row r="143">
          <cell r="C143" t="str">
            <v/>
          </cell>
          <cell r="D143" t="str">
            <v/>
          </cell>
          <cell r="E143" t="str">
            <v/>
          </cell>
          <cell r="F143" t="str">
            <v/>
          </cell>
          <cell r="G143" t="str">
            <v/>
          </cell>
          <cell r="H143" t="str">
            <v/>
          </cell>
          <cell r="I143" t="str">
            <v/>
          </cell>
          <cell r="J143" t="str">
            <v/>
          </cell>
          <cell r="S143">
            <v>0</v>
          </cell>
          <cell r="T143" t="str">
            <v/>
          </cell>
          <cell r="U143" t="str">
            <v/>
          </cell>
          <cell r="V143" t="str">
            <v/>
          </cell>
        </row>
        <row r="144">
          <cell r="C144" t="str">
            <v/>
          </cell>
          <cell r="D144" t="str">
            <v/>
          </cell>
          <cell r="E144" t="str">
            <v/>
          </cell>
          <cell r="F144" t="str">
            <v/>
          </cell>
          <cell r="G144" t="str">
            <v/>
          </cell>
          <cell r="H144" t="str">
            <v/>
          </cell>
          <cell r="I144" t="str">
            <v/>
          </cell>
          <cell r="J144" t="str">
            <v/>
          </cell>
          <cell r="S144">
            <v>0</v>
          </cell>
          <cell r="T144" t="str">
            <v/>
          </cell>
          <cell r="U144" t="str">
            <v/>
          </cell>
          <cell r="V144" t="str">
            <v/>
          </cell>
        </row>
        <row r="145">
          <cell r="C145" t="str">
            <v/>
          </cell>
          <cell r="D145" t="str">
            <v/>
          </cell>
          <cell r="E145" t="str">
            <v/>
          </cell>
          <cell r="F145" t="str">
            <v/>
          </cell>
          <cell r="G145" t="str">
            <v/>
          </cell>
          <cell r="H145" t="str">
            <v/>
          </cell>
          <cell r="I145" t="str">
            <v/>
          </cell>
          <cell r="J145" t="str">
            <v/>
          </cell>
          <cell r="S145">
            <v>0</v>
          </cell>
          <cell r="T145" t="str">
            <v/>
          </cell>
          <cell r="U145" t="str">
            <v/>
          </cell>
          <cell r="V145" t="str">
            <v/>
          </cell>
        </row>
        <row r="146">
          <cell r="C146" t="str">
            <v/>
          </cell>
          <cell r="D146" t="str">
            <v/>
          </cell>
          <cell r="E146" t="str">
            <v/>
          </cell>
          <cell r="F146" t="str">
            <v/>
          </cell>
          <cell r="G146" t="str">
            <v/>
          </cell>
          <cell r="H146" t="str">
            <v/>
          </cell>
          <cell r="I146" t="str">
            <v/>
          </cell>
          <cell r="J146" t="str">
            <v/>
          </cell>
          <cell r="S146">
            <v>0</v>
          </cell>
          <cell r="T146" t="str">
            <v/>
          </cell>
          <cell r="U146" t="str">
            <v/>
          </cell>
          <cell r="V146" t="str">
            <v/>
          </cell>
        </row>
        <row r="147">
          <cell r="C147" t="str">
            <v/>
          </cell>
          <cell r="D147" t="str">
            <v/>
          </cell>
          <cell r="E147" t="str">
            <v/>
          </cell>
          <cell r="F147" t="str">
            <v/>
          </cell>
          <cell r="G147" t="str">
            <v/>
          </cell>
          <cell r="H147" t="str">
            <v/>
          </cell>
          <cell r="I147" t="str">
            <v/>
          </cell>
          <cell r="J147" t="str">
            <v/>
          </cell>
          <cell r="S147">
            <v>0</v>
          </cell>
          <cell r="T147" t="str">
            <v/>
          </cell>
          <cell r="U147" t="str">
            <v/>
          </cell>
          <cell r="V147" t="str">
            <v/>
          </cell>
        </row>
        <row r="148">
          <cell r="C148" t="str">
            <v/>
          </cell>
          <cell r="D148" t="str">
            <v/>
          </cell>
          <cell r="E148" t="str">
            <v/>
          </cell>
          <cell r="F148" t="str">
            <v/>
          </cell>
          <cell r="G148" t="str">
            <v/>
          </cell>
          <cell r="H148" t="str">
            <v/>
          </cell>
          <cell r="I148" t="str">
            <v/>
          </cell>
          <cell r="J148" t="str">
            <v/>
          </cell>
          <cell r="S148">
            <v>0</v>
          </cell>
          <cell r="T148" t="str">
            <v/>
          </cell>
          <cell r="U148" t="str">
            <v/>
          </cell>
          <cell r="V148" t="str">
            <v/>
          </cell>
        </row>
        <row r="149">
          <cell r="C149" t="str">
            <v/>
          </cell>
          <cell r="D149" t="str">
            <v/>
          </cell>
          <cell r="E149" t="str">
            <v/>
          </cell>
          <cell r="F149" t="str">
            <v/>
          </cell>
          <cell r="G149" t="str">
            <v/>
          </cell>
          <cell r="H149" t="str">
            <v/>
          </cell>
          <cell r="I149" t="str">
            <v/>
          </cell>
          <cell r="J149" t="str">
            <v/>
          </cell>
          <cell r="S149">
            <v>0</v>
          </cell>
          <cell r="T149" t="str">
            <v/>
          </cell>
          <cell r="U149" t="str">
            <v/>
          </cell>
          <cell r="V149" t="str">
            <v/>
          </cell>
        </row>
        <row r="150">
          <cell r="C150" t="str">
            <v/>
          </cell>
          <cell r="D150" t="str">
            <v/>
          </cell>
          <cell r="E150" t="str">
            <v/>
          </cell>
          <cell r="F150" t="str">
            <v/>
          </cell>
          <cell r="G150" t="str">
            <v/>
          </cell>
          <cell r="H150" t="str">
            <v/>
          </cell>
          <cell r="I150" t="str">
            <v/>
          </cell>
          <cell r="J150" t="str">
            <v/>
          </cell>
          <cell r="S150">
            <v>0</v>
          </cell>
          <cell r="T150" t="str">
            <v/>
          </cell>
          <cell r="U150" t="str">
            <v/>
          </cell>
          <cell r="V150" t="str">
            <v/>
          </cell>
        </row>
        <row r="151">
          <cell r="C151" t="str">
            <v/>
          </cell>
          <cell r="D151" t="str">
            <v/>
          </cell>
          <cell r="E151" t="str">
            <v/>
          </cell>
          <cell r="F151" t="str">
            <v/>
          </cell>
          <cell r="G151" t="str">
            <v/>
          </cell>
          <cell r="H151" t="str">
            <v/>
          </cell>
          <cell r="I151" t="str">
            <v/>
          </cell>
          <cell r="J151" t="str">
            <v/>
          </cell>
          <cell r="S151">
            <v>0</v>
          </cell>
          <cell r="T151" t="str">
            <v/>
          </cell>
          <cell r="U151" t="str">
            <v/>
          </cell>
          <cell r="V151" t="str">
            <v/>
          </cell>
        </row>
        <row r="152">
          <cell r="C152" t="str">
            <v/>
          </cell>
          <cell r="D152" t="str">
            <v/>
          </cell>
          <cell r="E152" t="str">
            <v/>
          </cell>
          <cell r="F152" t="str">
            <v/>
          </cell>
          <cell r="G152" t="str">
            <v/>
          </cell>
          <cell r="H152" t="str">
            <v/>
          </cell>
          <cell r="I152" t="str">
            <v/>
          </cell>
          <cell r="J152" t="str">
            <v/>
          </cell>
          <cell r="S152">
            <v>0</v>
          </cell>
          <cell r="T152" t="str">
            <v/>
          </cell>
          <cell r="U152" t="str">
            <v/>
          </cell>
          <cell r="V152" t="str">
            <v/>
          </cell>
        </row>
        <row r="153">
          <cell r="C153" t="str">
            <v/>
          </cell>
          <cell r="D153" t="str">
            <v/>
          </cell>
          <cell r="E153" t="str">
            <v/>
          </cell>
          <cell r="F153" t="str">
            <v/>
          </cell>
          <cell r="G153" t="str">
            <v/>
          </cell>
          <cell r="H153" t="str">
            <v/>
          </cell>
          <cell r="I153" t="str">
            <v/>
          </cell>
          <cell r="J153" t="str">
            <v/>
          </cell>
          <cell r="S153">
            <v>0</v>
          </cell>
          <cell r="T153" t="str">
            <v/>
          </cell>
          <cell r="U153" t="str">
            <v/>
          </cell>
          <cell r="V153" t="str">
            <v/>
          </cell>
        </row>
        <row r="154">
          <cell r="C154" t="str">
            <v/>
          </cell>
          <cell r="D154" t="str">
            <v/>
          </cell>
          <cell r="E154" t="str">
            <v/>
          </cell>
          <cell r="F154" t="str">
            <v/>
          </cell>
          <cell r="G154" t="str">
            <v/>
          </cell>
          <cell r="H154" t="str">
            <v/>
          </cell>
          <cell r="I154" t="str">
            <v/>
          </cell>
          <cell r="J154" t="str">
            <v/>
          </cell>
          <cell r="S154">
            <v>0</v>
          </cell>
          <cell r="T154" t="str">
            <v/>
          </cell>
          <cell r="U154" t="str">
            <v/>
          </cell>
          <cell r="V154" t="str">
            <v/>
          </cell>
        </row>
        <row r="155">
          <cell r="C155" t="str">
            <v/>
          </cell>
          <cell r="D155" t="str">
            <v/>
          </cell>
          <cell r="E155" t="str">
            <v/>
          </cell>
          <cell r="F155" t="str">
            <v/>
          </cell>
          <cell r="G155" t="str">
            <v/>
          </cell>
          <cell r="H155" t="str">
            <v/>
          </cell>
          <cell r="I155" t="str">
            <v/>
          </cell>
          <cell r="J155" t="str">
            <v/>
          </cell>
          <cell r="S155">
            <v>0</v>
          </cell>
          <cell r="T155" t="str">
            <v/>
          </cell>
          <cell r="U155" t="str">
            <v/>
          </cell>
          <cell r="V155" t="str">
            <v/>
          </cell>
        </row>
        <row r="156">
          <cell r="C156" t="str">
            <v/>
          </cell>
          <cell r="D156" t="str">
            <v/>
          </cell>
          <cell r="E156" t="str">
            <v/>
          </cell>
          <cell r="F156" t="str">
            <v/>
          </cell>
          <cell r="G156" t="str">
            <v/>
          </cell>
          <cell r="H156" t="str">
            <v/>
          </cell>
          <cell r="I156" t="str">
            <v/>
          </cell>
          <cell r="J156" t="str">
            <v/>
          </cell>
          <cell r="S156">
            <v>0</v>
          </cell>
          <cell r="T156" t="str">
            <v/>
          </cell>
          <cell r="U156" t="str">
            <v/>
          </cell>
          <cell r="V156" t="str">
            <v/>
          </cell>
        </row>
        <row r="157">
          <cell r="C157" t="str">
            <v/>
          </cell>
          <cell r="D157" t="str">
            <v/>
          </cell>
          <cell r="E157" t="str">
            <v/>
          </cell>
          <cell r="F157" t="str">
            <v/>
          </cell>
          <cell r="G157" t="str">
            <v/>
          </cell>
          <cell r="H157" t="str">
            <v/>
          </cell>
          <cell r="I157" t="str">
            <v/>
          </cell>
          <cell r="J157" t="str">
            <v/>
          </cell>
          <cell r="S157">
            <v>0</v>
          </cell>
          <cell r="T157" t="str">
            <v/>
          </cell>
          <cell r="U157" t="str">
            <v/>
          </cell>
          <cell r="V157" t="str">
            <v/>
          </cell>
        </row>
        <row r="158">
          <cell r="C158" t="str">
            <v/>
          </cell>
          <cell r="D158" t="str">
            <v/>
          </cell>
          <cell r="E158" t="str">
            <v/>
          </cell>
          <cell r="F158" t="str">
            <v/>
          </cell>
          <cell r="G158" t="str">
            <v/>
          </cell>
          <cell r="H158" t="str">
            <v/>
          </cell>
          <cell r="I158" t="str">
            <v/>
          </cell>
          <cell r="J158" t="str">
            <v/>
          </cell>
          <cell r="S158">
            <v>0</v>
          </cell>
          <cell r="T158" t="str">
            <v/>
          </cell>
          <cell r="U158" t="str">
            <v/>
          </cell>
          <cell r="V158" t="str">
            <v/>
          </cell>
        </row>
        <row r="159">
          <cell r="C159" t="str">
            <v/>
          </cell>
          <cell r="D159" t="str">
            <v/>
          </cell>
          <cell r="E159" t="str">
            <v/>
          </cell>
          <cell r="F159" t="str">
            <v/>
          </cell>
          <cell r="G159" t="str">
            <v/>
          </cell>
          <cell r="H159" t="str">
            <v/>
          </cell>
          <cell r="I159" t="str">
            <v/>
          </cell>
          <cell r="J159" t="str">
            <v/>
          </cell>
          <cell r="S159">
            <v>0</v>
          </cell>
          <cell r="T159" t="str">
            <v/>
          </cell>
          <cell r="U159" t="str">
            <v/>
          </cell>
          <cell r="V159" t="str">
            <v/>
          </cell>
        </row>
        <row r="160">
          <cell r="C160" t="str">
            <v/>
          </cell>
          <cell r="D160" t="str">
            <v/>
          </cell>
          <cell r="E160" t="str">
            <v/>
          </cell>
          <cell r="F160" t="str">
            <v/>
          </cell>
          <cell r="G160" t="str">
            <v/>
          </cell>
          <cell r="H160" t="str">
            <v/>
          </cell>
          <cell r="I160" t="str">
            <v/>
          </cell>
          <cell r="J160" t="str">
            <v/>
          </cell>
          <cell r="S160">
            <v>0</v>
          </cell>
          <cell r="T160" t="str">
            <v/>
          </cell>
          <cell r="U160" t="str">
            <v/>
          </cell>
          <cell r="V160" t="str">
            <v/>
          </cell>
        </row>
        <row r="161">
          <cell r="C161" t="str">
            <v/>
          </cell>
          <cell r="D161" t="str">
            <v/>
          </cell>
          <cell r="E161" t="str">
            <v/>
          </cell>
          <cell r="F161" t="str">
            <v/>
          </cell>
          <cell r="G161" t="str">
            <v/>
          </cell>
          <cell r="H161" t="str">
            <v/>
          </cell>
          <cell r="I161" t="str">
            <v/>
          </cell>
          <cell r="J161" t="str">
            <v/>
          </cell>
          <cell r="S161">
            <v>0</v>
          </cell>
          <cell r="T161" t="str">
            <v/>
          </cell>
          <cell r="U161" t="str">
            <v/>
          </cell>
          <cell r="V161" t="str">
            <v/>
          </cell>
        </row>
        <row r="162">
          <cell r="C162" t="str">
            <v/>
          </cell>
          <cell r="D162" t="str">
            <v/>
          </cell>
          <cell r="E162" t="str">
            <v/>
          </cell>
          <cell r="F162" t="str">
            <v/>
          </cell>
          <cell r="G162" t="str">
            <v/>
          </cell>
          <cell r="H162" t="str">
            <v/>
          </cell>
          <cell r="I162" t="str">
            <v/>
          </cell>
          <cell r="J162" t="str">
            <v/>
          </cell>
          <cell r="S162">
            <v>0</v>
          </cell>
          <cell r="T162" t="str">
            <v/>
          </cell>
          <cell r="U162" t="str">
            <v/>
          </cell>
          <cell r="V162" t="str">
            <v/>
          </cell>
        </row>
        <row r="163">
          <cell r="C163" t="str">
            <v/>
          </cell>
          <cell r="D163" t="str">
            <v/>
          </cell>
          <cell r="E163" t="str">
            <v/>
          </cell>
          <cell r="F163" t="str">
            <v/>
          </cell>
          <cell r="G163" t="str">
            <v/>
          </cell>
          <cell r="H163" t="str">
            <v/>
          </cell>
          <cell r="I163" t="str">
            <v/>
          </cell>
          <cell r="J163" t="str">
            <v/>
          </cell>
          <cell r="S163">
            <v>0</v>
          </cell>
          <cell r="T163" t="str">
            <v/>
          </cell>
          <cell r="U163" t="str">
            <v/>
          </cell>
          <cell r="V163" t="str">
            <v/>
          </cell>
        </row>
        <row r="164">
          <cell r="C164" t="str">
            <v/>
          </cell>
          <cell r="D164" t="str">
            <v/>
          </cell>
          <cell r="E164" t="str">
            <v/>
          </cell>
          <cell r="F164" t="str">
            <v/>
          </cell>
          <cell r="G164" t="str">
            <v/>
          </cell>
          <cell r="H164" t="str">
            <v/>
          </cell>
          <cell r="I164" t="str">
            <v/>
          </cell>
          <cell r="J164" t="str">
            <v/>
          </cell>
          <cell r="S164">
            <v>0</v>
          </cell>
          <cell r="T164" t="str">
            <v/>
          </cell>
          <cell r="U164" t="str">
            <v/>
          </cell>
          <cell r="V164" t="str">
            <v/>
          </cell>
        </row>
        <row r="165">
          <cell r="C165" t="str">
            <v/>
          </cell>
          <cell r="D165" t="str">
            <v/>
          </cell>
          <cell r="E165" t="str">
            <v/>
          </cell>
          <cell r="F165" t="str">
            <v/>
          </cell>
          <cell r="G165" t="str">
            <v/>
          </cell>
          <cell r="H165" t="str">
            <v/>
          </cell>
          <cell r="I165" t="str">
            <v/>
          </cell>
          <cell r="J165" t="str">
            <v/>
          </cell>
          <cell r="S165">
            <v>0</v>
          </cell>
          <cell r="T165" t="str">
            <v/>
          </cell>
          <cell r="U165" t="str">
            <v/>
          </cell>
          <cell r="V165" t="str">
            <v/>
          </cell>
        </row>
        <row r="166">
          <cell r="C166" t="str">
            <v/>
          </cell>
          <cell r="D166" t="str">
            <v/>
          </cell>
          <cell r="E166" t="str">
            <v/>
          </cell>
          <cell r="F166" t="str">
            <v/>
          </cell>
          <cell r="G166" t="str">
            <v/>
          </cell>
          <cell r="H166" t="str">
            <v/>
          </cell>
          <cell r="I166" t="str">
            <v/>
          </cell>
          <cell r="J166" t="str">
            <v/>
          </cell>
          <cell r="S166">
            <v>0</v>
          </cell>
          <cell r="T166" t="str">
            <v/>
          </cell>
          <cell r="U166" t="str">
            <v/>
          </cell>
          <cell r="V166" t="str">
            <v/>
          </cell>
        </row>
        <row r="167">
          <cell r="C167" t="str">
            <v/>
          </cell>
          <cell r="D167" t="str">
            <v/>
          </cell>
          <cell r="E167" t="str">
            <v/>
          </cell>
          <cell r="F167" t="str">
            <v/>
          </cell>
          <cell r="G167" t="str">
            <v/>
          </cell>
          <cell r="H167" t="str">
            <v/>
          </cell>
          <cell r="I167" t="str">
            <v/>
          </cell>
          <cell r="J167" t="str">
            <v/>
          </cell>
          <cell r="S167">
            <v>0</v>
          </cell>
          <cell r="T167" t="str">
            <v/>
          </cell>
          <cell r="U167" t="str">
            <v/>
          </cell>
          <cell r="V167" t="str">
            <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29.699999999999989</v>
          </cell>
          <cell r="H2">
            <v>48.800000000000004</v>
          </cell>
          <cell r="I2">
            <v>30.5</v>
          </cell>
          <cell r="J2">
            <v>13</v>
          </cell>
          <cell r="K2">
            <v>5</v>
          </cell>
          <cell r="L2">
            <v>18</v>
          </cell>
          <cell r="M2">
            <v>122</v>
          </cell>
          <cell r="N2" t="str">
            <v>90점 이상 합격
*예비 87~89점 1~2명</v>
          </cell>
          <cell r="Q2" t="str">
            <v>지역기반</v>
          </cell>
          <cell r="R2">
            <v>11</v>
          </cell>
          <cell r="S2">
            <v>11</v>
          </cell>
          <cell r="T2">
            <v>6</v>
          </cell>
          <cell r="U2">
            <v>5</v>
          </cell>
          <cell r="V2">
            <v>11</v>
          </cell>
        </row>
        <row r="3">
          <cell r="E3" t="str">
            <v>평가
현황</v>
          </cell>
          <cell r="F3">
            <v>2</v>
          </cell>
          <cell r="G3">
            <v>31</v>
          </cell>
          <cell r="H3">
            <v>42</v>
          </cell>
          <cell r="I3">
            <v>36</v>
          </cell>
          <cell r="J3">
            <v>6</v>
          </cell>
          <cell r="K3">
            <v>5</v>
          </cell>
          <cell r="L3">
            <v>11</v>
          </cell>
          <cell r="M3">
            <v>122</v>
          </cell>
          <cell r="Q3" t="str">
            <v>대학발</v>
          </cell>
          <cell r="R3">
            <v>1</v>
          </cell>
          <cell r="S3">
            <v>1</v>
          </cell>
          <cell r="T3">
            <v>0</v>
          </cell>
          <cell r="U3">
            <v>0</v>
          </cell>
          <cell r="V3">
            <v>0</v>
          </cell>
        </row>
        <row r="4">
          <cell r="E4" t="str">
            <v>청년</v>
          </cell>
          <cell r="F4" t="str">
            <v>*지역기반만 집계</v>
          </cell>
          <cell r="J4">
            <v>9</v>
          </cell>
          <cell r="K4">
            <v>5</v>
          </cell>
          <cell r="L4">
            <v>14</v>
          </cell>
          <cell r="M4">
            <v>14</v>
          </cell>
          <cell r="N4" t="str">
            <v>청년 최소 2명</v>
          </cell>
          <cell r="Q4" t="str">
            <v>실험실</v>
          </cell>
          <cell r="R4">
            <v>1</v>
          </cell>
          <cell r="S4">
            <v>1</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20399602</v>
          </cell>
          <cell r="C8" t="str">
            <v>지역기반</v>
          </cell>
          <cell r="D8" t="str">
            <v>화공ㆍ섬유</v>
          </cell>
          <cell r="E8" t="str">
            <v>임상 기반 기능성 아로마 바디케어 제품 개발 및 브랜드 사업화</v>
          </cell>
          <cell r="F8" t="str">
            <v>0</v>
          </cell>
          <cell r="G8" t="str">
            <v>0</v>
          </cell>
          <cell r="H8" t="str">
            <v>예비</v>
          </cell>
          <cell r="I8" t="str">
            <v>중장년</v>
          </cell>
          <cell r="J8">
            <v>0</v>
          </cell>
          <cell r="K8">
            <v>9</v>
          </cell>
          <cell r="L8">
            <v>8</v>
          </cell>
          <cell r="M8">
            <v>13</v>
          </cell>
          <cell r="N8">
            <v>10</v>
          </cell>
          <cell r="O8">
            <v>9</v>
          </cell>
          <cell r="P8">
            <v>4</v>
          </cell>
          <cell r="Q8">
            <v>11</v>
          </cell>
          <cell r="R8">
            <v>5</v>
          </cell>
          <cell r="S8">
            <v>69</v>
          </cell>
          <cell r="T8">
            <v>0</v>
          </cell>
          <cell r="U8">
            <v>69</v>
          </cell>
          <cell r="V8">
            <v>85</v>
          </cell>
          <cell r="W8" t="str">
            <v xml:space="preserve">개발하고자 하는 제품에 대한 시장분석과 기존 제품들과의 차별성등이 잘 서술되어 있다. 다만 새로운 제품을 개발하는데 필요한 독자적인 기술성과 기존시장에서의 차별화 전략면에서 다소 부족한 부분이 있었다. 전반적으로 시장에서의 필요성은 기획적인 부분은 잘 표현되어 있으나, 제품 개발을 위한 대표자의 역량외에 전략적 부분에 대한 전략적 보완이 필요하다. </v>
          </cell>
        </row>
        <row r="9">
          <cell r="B9">
            <v>20402057</v>
          </cell>
          <cell r="C9" t="str">
            <v>지역기반</v>
          </cell>
          <cell r="D9" t="str">
            <v>화공ㆍ섬유</v>
          </cell>
          <cell r="E9" t="str">
            <v>CODEBI 러닝·퍼포먼스 기능성 의류 (쇼츠, 상의, 타이즈, 액세서리)</v>
          </cell>
          <cell r="F9" t="str">
            <v>0</v>
          </cell>
          <cell r="G9" t="str">
            <v>0</v>
          </cell>
          <cell r="H9" t="str">
            <v>예비</v>
          </cell>
          <cell r="I9" t="str">
            <v>중장년</v>
          </cell>
          <cell r="J9">
            <v>0</v>
          </cell>
          <cell r="K9">
            <v>9</v>
          </cell>
          <cell r="L9">
            <v>10</v>
          </cell>
          <cell r="M9">
            <v>13</v>
          </cell>
          <cell r="N9">
            <v>13</v>
          </cell>
          <cell r="O9">
            <v>10</v>
          </cell>
          <cell r="P9">
            <v>3</v>
          </cell>
          <cell r="Q9">
            <v>13</v>
          </cell>
          <cell r="R9">
            <v>4</v>
          </cell>
          <cell r="S9">
            <v>75</v>
          </cell>
          <cell r="T9">
            <v>0</v>
          </cell>
          <cell r="U9">
            <v>75</v>
          </cell>
          <cell r="V9">
            <v>63</v>
          </cell>
          <cell r="W9" t="str">
            <v>런닝 동호회를 통한 시장분석까지 필요성과 시장성, 구매력에 대한 부분이 상세히 잘 기술되어 있다. 다만, 기존시장 진출을 위한 기술적인 차별성과 독자적인 기술력을 설명하는 부분에 보완이 필요할 것이다. 대표자의 역량 부분은 뛰어나나, 고용 및 oem등의 외부자원을 적극적으로 활용할 수 있도록 고려해야 한다.</v>
          </cell>
        </row>
        <row r="10">
          <cell r="B10">
            <v>20406606</v>
          </cell>
          <cell r="C10" t="str">
            <v>지역기반</v>
          </cell>
          <cell r="D10" t="str">
            <v>화공ㆍ섬유</v>
          </cell>
          <cell r="E10" t="str">
            <v>즉석 맥반석 구이김 단지 순회공급 시스템 구축</v>
          </cell>
          <cell r="F10" t="str">
            <v>0</v>
          </cell>
          <cell r="G10" t="str">
            <v>0</v>
          </cell>
          <cell r="H10" t="str">
            <v>예비</v>
          </cell>
          <cell r="I10" t="str">
            <v>중장년</v>
          </cell>
          <cell r="J10">
            <v>0</v>
          </cell>
          <cell r="K10">
            <v>7</v>
          </cell>
          <cell r="L10">
            <v>6</v>
          </cell>
          <cell r="M10">
            <v>16</v>
          </cell>
          <cell r="N10">
            <v>17</v>
          </cell>
          <cell r="O10">
            <v>7</v>
          </cell>
          <cell r="P10">
            <v>5</v>
          </cell>
          <cell r="Q10">
            <v>13</v>
          </cell>
          <cell r="R10">
            <v>5</v>
          </cell>
          <cell r="S10">
            <v>76</v>
          </cell>
          <cell r="T10">
            <v>0</v>
          </cell>
          <cell r="U10">
            <v>76</v>
          </cell>
          <cell r="V10">
            <v>54</v>
          </cell>
          <cell r="W10" t="str">
            <v xml:space="preserve">대표자를 중심으로 하는 외부인원들의 협력과 사업구성은 매우 잘 설명되어 있다. 다만 '김'이라는 식자재에 대해 소비자들이 오프/온라인에서 다양한 기업들의 제품을 구매하고 있는 환경에서 '방문판매' 보다는 어떻게 시장에 진입하고 유지할 것이라는 부분에 좀 더 구체화할 필요가 있다. </v>
          </cell>
        </row>
        <row r="11">
          <cell r="B11">
            <v>20408072</v>
          </cell>
          <cell r="C11" t="str">
            <v>지역기반</v>
          </cell>
          <cell r="D11" t="str">
            <v>화공ㆍ섬유</v>
          </cell>
          <cell r="E11" t="str">
            <v>수면·휴식 케어를 위한 수출형 맞춤 웰니스 K-뷰티 아로마 롤온&amp;룸·필로우 스프레이</v>
          </cell>
          <cell r="F11" t="str">
            <v>0</v>
          </cell>
          <cell r="G11" t="str">
            <v>0</v>
          </cell>
          <cell r="H11" t="str">
            <v>예비</v>
          </cell>
          <cell r="I11" t="str">
            <v>청년</v>
          </cell>
          <cell r="J11">
            <v>0</v>
          </cell>
          <cell r="K11">
            <v>8</v>
          </cell>
          <cell r="L11">
            <v>9</v>
          </cell>
          <cell r="M11">
            <v>15</v>
          </cell>
          <cell r="N11">
            <v>16</v>
          </cell>
          <cell r="O11">
            <v>8</v>
          </cell>
          <cell r="P11">
            <v>9</v>
          </cell>
          <cell r="Q11">
            <v>14</v>
          </cell>
          <cell r="R11">
            <v>5</v>
          </cell>
          <cell r="S11">
            <v>84</v>
          </cell>
          <cell r="T11">
            <v>2</v>
          </cell>
          <cell r="U11">
            <v>86</v>
          </cell>
          <cell r="V11">
            <v>20</v>
          </cell>
          <cell r="W11" t="str">
            <v>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인체에 대한 유해성이나 이에 준하는 객관성 있는 자료가 보완될 필요가 있다.</v>
          </cell>
        </row>
        <row r="12">
          <cell r="B12">
            <v>20409574</v>
          </cell>
          <cell r="C12" t="str">
            <v>지역기반</v>
          </cell>
          <cell r="D12" t="str">
            <v>화공ㆍ섬유</v>
          </cell>
          <cell r="E12" t="str">
            <v>고온 공정 RTD의 원물 풍미 손실을 개선하는 저온 블렌딩 기반 국산 원물 클린라벨 RTD 과일티 개발</v>
          </cell>
          <cell r="F12" t="str">
            <v>0</v>
          </cell>
          <cell r="G12" t="str">
            <v>0</v>
          </cell>
          <cell r="H12" t="str">
            <v>예비</v>
          </cell>
          <cell r="I12" t="str">
            <v>청년</v>
          </cell>
          <cell r="J12">
            <v>0</v>
          </cell>
          <cell r="K12">
            <v>9</v>
          </cell>
          <cell r="L12">
            <v>8</v>
          </cell>
          <cell r="M12">
            <v>18</v>
          </cell>
          <cell r="N12">
            <v>18</v>
          </cell>
          <cell r="O12">
            <v>8</v>
          </cell>
          <cell r="P12">
            <v>9</v>
          </cell>
          <cell r="Q12">
            <v>13</v>
          </cell>
          <cell r="R12">
            <v>4</v>
          </cell>
          <cell r="S12">
            <v>87</v>
          </cell>
          <cell r="T12">
            <v>2</v>
          </cell>
          <cell r="U12">
            <v>89</v>
          </cell>
          <cell r="V12">
            <v>7</v>
          </cell>
          <cell r="W12" t="str">
            <v>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음료시장인 만큼 인체위해성과 그 효능을 객관적으로 제시해야 하는 보완이 필요하다</v>
          </cell>
        </row>
        <row r="13">
          <cell r="B13">
            <v>20410575</v>
          </cell>
          <cell r="C13" t="str">
            <v>지역기반</v>
          </cell>
          <cell r="D13" t="str">
            <v>화공ㆍ섬유</v>
          </cell>
          <cell r="E13" t="str">
            <v>로컬 상생형 프리미엄 수제 쌀 디저트, 'K-설기(K-Seolgi) 하이엔드 솔루션'</v>
          </cell>
          <cell r="F13" t="str">
            <v>0</v>
          </cell>
          <cell r="G13" t="str">
            <v>0</v>
          </cell>
          <cell r="H13" t="str">
            <v>예비</v>
          </cell>
          <cell r="I13" t="str">
            <v>청년</v>
          </cell>
          <cell r="J13">
            <v>0</v>
          </cell>
          <cell r="K13">
            <v>8</v>
          </cell>
          <cell r="L13">
            <v>9</v>
          </cell>
          <cell r="M13">
            <v>17</v>
          </cell>
          <cell r="N13">
            <v>16</v>
          </cell>
          <cell r="O13">
            <v>9</v>
          </cell>
          <cell r="P13">
            <v>8</v>
          </cell>
          <cell r="Q13">
            <v>14</v>
          </cell>
          <cell r="R13">
            <v>5</v>
          </cell>
          <cell r="S13">
            <v>86</v>
          </cell>
          <cell r="T13">
            <v>0</v>
          </cell>
          <cell r="U13">
            <v>86</v>
          </cell>
          <cell r="V13">
            <v>20</v>
          </cell>
          <cell r="W13" t="str">
            <v>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시장제품에 대한 객관성 있는 근거 및 보완이 필요하다</v>
          </cell>
        </row>
        <row r="14">
          <cell r="B14">
            <v>20412478</v>
          </cell>
          <cell r="C14" t="str">
            <v>지역기반</v>
          </cell>
          <cell r="D14" t="str">
            <v>화공ㆍ섬유</v>
          </cell>
          <cell r="E14" t="str">
            <v>업사이클링 원료 기반, 1030 트러블 케어 ‘1회분 스틱 파우더 팩’ · ‘10초 바디 진정 미스트’ 세트 개발 및 국내 버티컬 플랫폼 상용화</v>
          </cell>
          <cell r="F14" t="str">
            <v>0</v>
          </cell>
          <cell r="G14" t="str">
            <v>0</v>
          </cell>
          <cell r="H14" t="str">
            <v>예비</v>
          </cell>
          <cell r="I14" t="str">
            <v>청년</v>
          </cell>
          <cell r="J14">
            <v>0</v>
          </cell>
          <cell r="K14">
            <v>7</v>
          </cell>
          <cell r="L14">
            <v>7</v>
          </cell>
          <cell r="M14">
            <v>16</v>
          </cell>
          <cell r="N14">
            <v>15</v>
          </cell>
          <cell r="O14">
            <v>7</v>
          </cell>
          <cell r="P14">
            <v>6</v>
          </cell>
          <cell r="Q14">
            <v>13</v>
          </cell>
          <cell r="R14">
            <v>5</v>
          </cell>
          <cell r="S14">
            <v>76</v>
          </cell>
          <cell r="T14">
            <v>0</v>
          </cell>
          <cell r="U14">
            <v>76</v>
          </cell>
          <cell r="V14">
            <v>54</v>
          </cell>
          <cell r="W14" t="str">
            <v>개발하고자 하는 제품에 대한 시장분석과 기존 제품들과의 차별성등이 잘 서술되어 있다. 다만 새로운 제품을 개발하는데 필요한 독자적인 기술성과 기존시장에서의 차별화 전략면에서 다소 부족한 부분이 있었다. 친환경제품이 가지는 전략적인 포지션, 가격경쟁력 대비 품질적인 부분을 보완한다면 더 경쟁력을 가질수 있을것이다</v>
          </cell>
        </row>
        <row r="15">
          <cell r="B15">
            <v>20413600</v>
          </cell>
          <cell r="C15" t="str">
            <v>지역기반</v>
          </cell>
          <cell r="D15" t="str">
            <v>화공ㆍ섬유</v>
          </cell>
          <cell r="E15" t="str">
            <v>생리통 완화용 하복부 밀착형 온열·전기자극(TENS) 스마트 이너웨어 개발</v>
          </cell>
          <cell r="F15" t="str">
            <v>0</v>
          </cell>
          <cell r="G15" t="str">
            <v>0</v>
          </cell>
          <cell r="H15" t="str">
            <v>예비</v>
          </cell>
          <cell r="I15" t="str">
            <v>중장년</v>
          </cell>
          <cell r="J15">
            <v>0</v>
          </cell>
          <cell r="K15">
            <v>10</v>
          </cell>
          <cell r="L15">
            <v>8</v>
          </cell>
          <cell r="M15">
            <v>14</v>
          </cell>
          <cell r="N15">
            <v>18</v>
          </cell>
          <cell r="O15">
            <v>8</v>
          </cell>
          <cell r="P15">
            <v>6</v>
          </cell>
          <cell r="Q15">
            <v>13</v>
          </cell>
          <cell r="R15">
            <v>5</v>
          </cell>
          <cell r="S15">
            <v>82</v>
          </cell>
          <cell r="T15">
            <v>0</v>
          </cell>
          <cell r="U15">
            <v>82</v>
          </cell>
          <cell r="V15">
            <v>37</v>
          </cell>
          <cell r="W15" t="str">
            <v>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인체에 직접적으로 효과를 주는 기기인만큼 열, 피부, 전자파 및 장기 인체에 대한 안전성에 대한 검증이 충분히 이뤄져야 할 것이나, 이부분은 단기적인 대응이 어렵고 이를 위한 기술적 극복방안에 대해 보완이 필요하다.</v>
          </cell>
        </row>
        <row r="16">
          <cell r="B16">
            <v>20414625</v>
          </cell>
          <cell r="C16" t="str">
            <v>지역기반</v>
          </cell>
          <cell r="D16" t="str">
            <v>화공ㆍ섬유</v>
          </cell>
          <cell r="E16" t="str">
            <v>초음파 향미 추출 기반 조주·조리용 향미 주류 (비터스·기주) 개발</v>
          </cell>
          <cell r="F16" t="str">
            <v>0</v>
          </cell>
          <cell r="G16" t="str">
            <v>0</v>
          </cell>
          <cell r="H16" t="str">
            <v>예비</v>
          </cell>
          <cell r="I16" t="str">
            <v>중장년</v>
          </cell>
          <cell r="J16">
            <v>0</v>
          </cell>
          <cell r="K16">
            <v>10</v>
          </cell>
          <cell r="L16">
            <v>9</v>
          </cell>
          <cell r="M16">
            <v>18</v>
          </cell>
          <cell r="N16">
            <v>19</v>
          </cell>
          <cell r="O16">
            <v>8</v>
          </cell>
          <cell r="P16">
            <v>9</v>
          </cell>
          <cell r="Q16">
            <v>15</v>
          </cell>
          <cell r="R16">
            <v>4</v>
          </cell>
          <cell r="S16">
            <v>92</v>
          </cell>
          <cell r="T16">
            <v>0</v>
          </cell>
          <cell r="U16">
            <v>92</v>
          </cell>
          <cell r="V16">
            <v>3</v>
          </cell>
          <cell r="W16" t="str">
            <v>시장분석까지 필요성과 시장성, 구매력에 대한 부분이 상세히 잘 기술되어 있다. 대표자의 역량 부분은 뛰어나나, 고용 및 oem등의 외부자원을 제품개발 부분에 적극적으로 활용할 수 있도록 고려해야 한다.</v>
          </cell>
        </row>
        <row r="17">
          <cell r="B17">
            <v>20415838</v>
          </cell>
          <cell r="C17" t="str">
            <v>지역기반</v>
          </cell>
          <cell r="D17" t="str">
            <v>화공ㆍ섬유</v>
          </cell>
          <cell r="E17" t="str">
            <v>사춘기 호르몬성 과지피 해결을 위한 징크PCA 기반 미스트 및 블록체인 이력관리 시스템</v>
          </cell>
          <cell r="F17" t="str">
            <v>0</v>
          </cell>
          <cell r="G17" t="str">
            <v>0</v>
          </cell>
          <cell r="H17" t="str">
            <v>예비</v>
          </cell>
          <cell r="I17" t="str">
            <v>중장년</v>
          </cell>
          <cell r="J17">
            <v>0</v>
          </cell>
          <cell r="K17">
            <v>6</v>
          </cell>
          <cell r="L17">
            <v>7</v>
          </cell>
          <cell r="M17">
            <v>13</v>
          </cell>
          <cell r="N17">
            <v>12</v>
          </cell>
          <cell r="O17">
            <v>8</v>
          </cell>
          <cell r="P17">
            <v>5</v>
          </cell>
          <cell r="Q17">
            <v>11</v>
          </cell>
          <cell r="R17">
            <v>3</v>
          </cell>
          <cell r="S17">
            <v>65</v>
          </cell>
          <cell r="T17">
            <v>0</v>
          </cell>
          <cell r="U17">
            <v>65</v>
          </cell>
          <cell r="V17">
            <v>108</v>
          </cell>
          <cell r="W17" t="str">
            <v>기능성제품에 대한 필요성에 대해 충분히 설명해주고 있으며, 블록체인을 기반으로 한 제품의 신뢰성을 향상시키고 이력을 관리하는 방안에 대해 매우 흥미롭다. 다만 기능성제품이 가져야 할 효능성과 인체위해성에 대한 검증방안에 대한 부분에 대해 좀 더 강화할 필요가 있으며, 시장진입을 위한 마케팅 방안도 구체화 할 필요가 있다.</v>
          </cell>
        </row>
        <row r="18">
          <cell r="B18">
            <v>20418712</v>
          </cell>
          <cell r="C18" t="str">
            <v>지역기반</v>
          </cell>
          <cell r="D18" t="str">
            <v>화공ㆍ섬유</v>
          </cell>
          <cell r="E18" t="str">
            <v>고강도 퍼포먼스 환경에서의 안면 홍조 진정 및 피부 장벽 보호를 위한 '마이크로바이옴 스킨-본딩 쿠션 선크림 HAERI</v>
          </cell>
          <cell r="F18" t="str">
            <v>0</v>
          </cell>
          <cell r="G18" t="str">
            <v>0</v>
          </cell>
          <cell r="H18" t="str">
            <v>예비</v>
          </cell>
          <cell r="I18" t="str">
            <v>청년</v>
          </cell>
          <cell r="J18">
            <v>0</v>
          </cell>
          <cell r="K18">
            <v>8</v>
          </cell>
          <cell r="L18">
            <v>9</v>
          </cell>
          <cell r="M18">
            <v>13</v>
          </cell>
          <cell r="N18">
            <v>14</v>
          </cell>
          <cell r="O18">
            <v>7</v>
          </cell>
          <cell r="P18">
            <v>5</v>
          </cell>
          <cell r="Q18">
            <v>12</v>
          </cell>
          <cell r="R18">
            <v>4</v>
          </cell>
          <cell r="S18">
            <v>72</v>
          </cell>
          <cell r="T18">
            <v>0</v>
          </cell>
          <cell r="U18">
            <v>72</v>
          </cell>
          <cell r="V18">
            <v>75</v>
          </cell>
          <cell r="W18" t="str">
            <v>기능성제품에 대한 필요성에 대해 충분히 설명해주고 있으며, 시장진입을 위한 기술적인 차별성 및 틈새시장을 향한 전략이 돋보인다. 다만 기능성제품이 가져야 할 효능성과 인체위해성에 대한 검증방안에 대한 부분에 대해 좀 더 강화할 필요가 있으며, 시장진입을 위한 마케팅 방안도 구체화 할 필요가 있다.</v>
          </cell>
        </row>
        <row r="19">
          <cell r="B19">
            <v>20419831</v>
          </cell>
          <cell r="C19" t="str">
            <v>지역기반</v>
          </cell>
          <cell r="D19" t="str">
            <v>화공ㆍ섬유</v>
          </cell>
          <cell r="E19" t="str">
            <v>시니어 생활체육 파크골프에 특화된 파크골프 전문 기능성 의류 제작</v>
          </cell>
          <cell r="F19" t="str">
            <v>0</v>
          </cell>
          <cell r="G19" t="str">
            <v>0</v>
          </cell>
          <cell r="H19" t="str">
            <v>예비</v>
          </cell>
          <cell r="I19" t="str">
            <v>중장년</v>
          </cell>
          <cell r="J19">
            <v>0</v>
          </cell>
          <cell r="K19">
            <v>6</v>
          </cell>
          <cell r="L19">
            <v>9</v>
          </cell>
          <cell r="M19">
            <v>13</v>
          </cell>
          <cell r="N19">
            <v>14</v>
          </cell>
          <cell r="O19">
            <v>8</v>
          </cell>
          <cell r="P19">
            <v>6</v>
          </cell>
          <cell r="Q19">
            <v>13</v>
          </cell>
          <cell r="R19">
            <v>5</v>
          </cell>
          <cell r="S19">
            <v>74</v>
          </cell>
          <cell r="T19">
            <v>0</v>
          </cell>
          <cell r="U19">
            <v>74</v>
          </cell>
          <cell r="V19">
            <v>68</v>
          </cell>
          <cell r="W19" t="str">
            <v>기능성제품에 대한 필요성에 대해 충분히 설명해주고 있으며, 시장진입을 위한 기술적인 차별성 및 틈새시장을 향한 전략이 돋보인다. 다만 디자인되어진 제품에 대한 양산을 위해 외부 oem을 어떻게 구성해서 생산할 것인지에 대해 보완할 필요가 있으며, 파크골프를 이용하는 소비자들의 목소리가 반영된 설문조사 자료들 등 마케팅에 대한 근거자료가 필요하다.</v>
          </cell>
        </row>
        <row r="20">
          <cell r="B20">
            <v>20420092</v>
          </cell>
          <cell r="C20" t="str">
            <v>지역기반</v>
          </cell>
          <cell r="D20" t="str">
            <v>화공ㆍ섬유</v>
          </cell>
          <cell r="E20" t="str">
            <v>90분 건조 브라</v>
          </cell>
          <cell r="F20" t="str">
            <v>0</v>
          </cell>
          <cell r="G20" t="str">
            <v>0</v>
          </cell>
          <cell r="H20" t="str">
            <v>예비</v>
          </cell>
          <cell r="I20" t="str">
            <v>청년</v>
          </cell>
          <cell r="J20">
            <v>0</v>
          </cell>
          <cell r="K20">
            <v>4</v>
          </cell>
          <cell r="L20">
            <v>6</v>
          </cell>
          <cell r="M20">
            <v>17</v>
          </cell>
          <cell r="N20">
            <v>17</v>
          </cell>
          <cell r="O20">
            <v>5</v>
          </cell>
          <cell r="P20">
            <v>5</v>
          </cell>
          <cell r="Q20">
            <v>11</v>
          </cell>
          <cell r="R20">
            <v>3</v>
          </cell>
          <cell r="S20">
            <v>68</v>
          </cell>
          <cell r="T20">
            <v>0</v>
          </cell>
          <cell r="U20">
            <v>68</v>
          </cell>
          <cell r="V20">
            <v>86</v>
          </cell>
          <cell r="W20" t="str">
            <v>개발하고자 하는 제품에 대한 시장분석과 기존 제품들과의 차별성등이 잘 서술되어 있다. 다만 새로운 제품을 개발하는데 필요한 독자적인 기술성과 기존시장에서의 차별화 전략면에서 다소 부족하다. 이너웨어라는 특성상 잦은 세탁 및 건조환경등에서 기존제품 대비 나은 내구성을 반드시 확보해야 하는 제품으로 보이나 이에 대한 보완이 필요하다.</v>
          </cell>
        </row>
        <row r="21">
          <cell r="B21">
            <v>20420487</v>
          </cell>
          <cell r="C21" t="str">
            <v>지역기반</v>
          </cell>
          <cell r="D21" t="str">
            <v>화공ㆍ섬유</v>
          </cell>
          <cell r="E21" t="str">
            <v>업사이클링 천연 원료 기반 복합 기능 조성물 기술을 적용한 문제성 발톱 관리 제품</v>
          </cell>
          <cell r="F21" t="str">
            <v>0</v>
          </cell>
          <cell r="G21" t="str">
            <v>0</v>
          </cell>
          <cell r="H21" t="str">
            <v>예비</v>
          </cell>
          <cell r="I21" t="str">
            <v>청년</v>
          </cell>
          <cell r="J21">
            <v>0</v>
          </cell>
          <cell r="K21">
            <v>6</v>
          </cell>
          <cell r="L21">
            <v>7</v>
          </cell>
          <cell r="M21">
            <v>15</v>
          </cell>
          <cell r="N21">
            <v>17</v>
          </cell>
          <cell r="O21">
            <v>8</v>
          </cell>
          <cell r="P21">
            <v>5</v>
          </cell>
          <cell r="Q21">
            <v>13</v>
          </cell>
          <cell r="R21">
            <v>5</v>
          </cell>
          <cell r="S21">
            <v>76</v>
          </cell>
          <cell r="T21">
            <v>0</v>
          </cell>
          <cell r="U21">
            <v>76</v>
          </cell>
          <cell r="V21">
            <v>54</v>
          </cell>
          <cell r="W21" t="str">
            <v>개발하고자 하는 제품에 대한 시장분석과 기존 제품들과의 차별성등이 잘 서술되어 있다. 다만 새로운 제품을 개발하는데 필요한 독자적인 기술성과 기존시장에서의 차별화 전략면에서 다소 부족하다. 대표자의 역량과 외부인력들의 기술력등이 잘 나타나 있지만, 개발 제품의 차별화로 제시된 포지셔닝이 좀 더 명확해야 사업화 진출에 용이할 것이다</v>
          </cell>
        </row>
        <row r="22">
          <cell r="B22">
            <v>20420834</v>
          </cell>
          <cell r="C22" t="str">
            <v>지역기반</v>
          </cell>
          <cell r="D22" t="str">
            <v>화공ㆍ섬유</v>
          </cell>
          <cell r="E22" t="str">
            <v>키토산 소재기반, 피부노폐물을 안전하고 효과적으로 제거할 수 있는 화장품용 미립자 소재회</v>
          </cell>
          <cell r="F22" t="str">
            <v>0</v>
          </cell>
          <cell r="G22" t="str">
            <v>0</v>
          </cell>
          <cell r="H22" t="str">
            <v>예비</v>
          </cell>
          <cell r="I22" t="str">
            <v>청년</v>
          </cell>
          <cell r="J22">
            <v>0</v>
          </cell>
          <cell r="K22">
            <v>8</v>
          </cell>
          <cell r="L22">
            <v>10</v>
          </cell>
          <cell r="M22">
            <v>18</v>
          </cell>
          <cell r="N22">
            <v>18</v>
          </cell>
          <cell r="O22">
            <v>8</v>
          </cell>
          <cell r="P22">
            <v>6</v>
          </cell>
          <cell r="Q22">
            <v>13</v>
          </cell>
          <cell r="R22">
            <v>4</v>
          </cell>
          <cell r="S22">
            <v>85</v>
          </cell>
          <cell r="T22">
            <v>2</v>
          </cell>
          <cell r="U22">
            <v>87</v>
          </cell>
          <cell r="V22">
            <v>14</v>
          </cell>
          <cell r="W22" t="str">
            <v xml:space="preserve">개발하고자 하는 제품에 대한 시장분석과 기존 제품들과의 차별성등이 잘 서술되어 있다. 우수한 세정력을 가진 미립자를 활용하여 시장진출의 방안까지 잘 설명되어져 있으나, 세정용 미립자 성분의 대체제로 제시된 원재료 가격으로 시장가격을 확보하는 방안에 충분히 설명이 필요할것으로 판단된다. </v>
          </cell>
        </row>
        <row r="23">
          <cell r="B23">
            <v>20421385</v>
          </cell>
          <cell r="C23" t="str">
            <v>지역기반</v>
          </cell>
          <cell r="D23" t="str">
            <v>화공ㆍ섬유</v>
          </cell>
          <cell r="E23" t="str">
            <v>분자증류를 이용한 전자재료용 고순도 Special Chemicals 제조 (Total 8종)</v>
          </cell>
          <cell r="F23" t="str">
            <v>0</v>
          </cell>
          <cell r="G23" t="str">
            <v>0</v>
          </cell>
          <cell r="H23" t="str">
            <v>예비</v>
          </cell>
          <cell r="I23" t="str">
            <v>중장년</v>
          </cell>
          <cell r="J23">
            <v>0</v>
          </cell>
          <cell r="K23">
            <v>9</v>
          </cell>
          <cell r="L23">
            <v>9</v>
          </cell>
          <cell r="M23">
            <v>17</v>
          </cell>
          <cell r="N23">
            <v>19</v>
          </cell>
          <cell r="O23">
            <v>8</v>
          </cell>
          <cell r="P23">
            <v>8</v>
          </cell>
          <cell r="Q23">
            <v>14</v>
          </cell>
          <cell r="R23">
            <v>5</v>
          </cell>
          <cell r="S23">
            <v>89</v>
          </cell>
          <cell r="T23">
            <v>0</v>
          </cell>
          <cell r="U23">
            <v>89</v>
          </cell>
          <cell r="V23">
            <v>7</v>
          </cell>
          <cell r="W23" t="str">
            <v>소부장을 중심으로 하여 시장을 분석하고 그 필요성에 대해 정확하게 공략하고 있어 돋보인다. 핵심공정기술개발도 기완료되어 충분한 사업능력이 확보될 것으로 판단된다. 다만 사업실현성에 대해서는 검증이 필요할 것으로 보인다.</v>
          </cell>
        </row>
        <row r="24">
          <cell r="B24">
            <v>20421895</v>
          </cell>
          <cell r="C24" t="str">
            <v>지역기반</v>
          </cell>
          <cell r="D24" t="str">
            <v>화공ㆍ섬유</v>
          </cell>
          <cell r="E24" t="str">
            <v>손쉽게 눌러쓰는 압출식 2 in 1 버블 토너</v>
          </cell>
          <cell r="F24" t="str">
            <v>0</v>
          </cell>
          <cell r="G24" t="str">
            <v>0</v>
          </cell>
          <cell r="H24" t="str">
            <v>예비</v>
          </cell>
          <cell r="I24" t="str">
            <v>청년</v>
          </cell>
          <cell r="J24">
            <v>0</v>
          </cell>
          <cell r="K24">
            <v>10</v>
          </cell>
          <cell r="L24">
            <v>8</v>
          </cell>
          <cell r="M24">
            <v>18</v>
          </cell>
          <cell r="N24">
            <v>18</v>
          </cell>
          <cell r="O24">
            <v>8</v>
          </cell>
          <cell r="P24">
            <v>7</v>
          </cell>
          <cell r="Q24">
            <v>15</v>
          </cell>
          <cell r="R24">
            <v>3</v>
          </cell>
          <cell r="S24">
            <v>87</v>
          </cell>
          <cell r="T24">
            <v>0</v>
          </cell>
          <cell r="U24">
            <v>87</v>
          </cell>
          <cell r="V24">
            <v>14</v>
          </cell>
          <cell r="W24" t="str">
            <v xml:space="preserve">인터뷰를 통한 소비자들의 needs를 파악하고 이를 제품화 하여 시장진출을 노리는 시장전략과 제품설계 등의 전략적인 면보가 돋보인다. 다만 좋은제품을 만드는 것만큼 중요한 부분이 고객층을 확보하기 위한 마케팅 부분으로 이 부분에 대한 보완이 필요하다. </v>
          </cell>
        </row>
        <row r="25">
          <cell r="B25">
            <v>20422874</v>
          </cell>
          <cell r="C25" t="str">
            <v>지역기반</v>
          </cell>
          <cell r="D25" t="str">
            <v>화공ㆍ섬유</v>
          </cell>
          <cell r="E25" t="str">
            <v>굴패각과 리싸이클 패트병을 활용한 친환경 원단 개발 및 지속가능한 의류 제작</v>
          </cell>
          <cell r="F25" t="str">
            <v>0</v>
          </cell>
          <cell r="G25" t="str">
            <v>0</v>
          </cell>
          <cell r="H25" t="str">
            <v>예비</v>
          </cell>
          <cell r="I25" t="str">
            <v>중장년</v>
          </cell>
          <cell r="J25">
            <v>0</v>
          </cell>
          <cell r="K25">
            <v>10</v>
          </cell>
          <cell r="L25">
            <v>8</v>
          </cell>
          <cell r="M25">
            <v>15</v>
          </cell>
          <cell r="N25">
            <v>15</v>
          </cell>
          <cell r="O25">
            <v>8</v>
          </cell>
          <cell r="P25">
            <v>7</v>
          </cell>
          <cell r="Q25">
            <v>13</v>
          </cell>
          <cell r="R25">
            <v>4</v>
          </cell>
          <cell r="S25">
            <v>80</v>
          </cell>
          <cell r="T25">
            <v>0</v>
          </cell>
          <cell r="U25">
            <v>80</v>
          </cell>
          <cell r="V25">
            <v>42</v>
          </cell>
          <cell r="W25" t="str">
            <v xml:space="preserve">각종 부산물을 통해 친환경을 위한 원사나 원단을 개발하고자 하는 전략면에서 우수하다. 다만, 실제 이를 원사, 원단등의 제품화를 위한 기술력과 이러한 기술력을 바탕으로 한 시장 경쟁대비 경쟁력 확보면에서의 설명이 다소 아쉬운 부분이 있다. </v>
          </cell>
        </row>
        <row r="26">
          <cell r="B26">
            <v>20424187</v>
          </cell>
          <cell r="C26" t="str">
            <v>지역기반</v>
          </cell>
          <cell r="D26" t="str">
            <v>화공ㆍ섬유</v>
          </cell>
          <cell r="E26" t="str">
            <v>지게미 업사이클링 기반 지역농산물 활용 K-디저트 개발</v>
          </cell>
          <cell r="F26" t="str">
            <v>0</v>
          </cell>
          <cell r="G26" t="str">
            <v>0</v>
          </cell>
          <cell r="H26" t="str">
            <v>예비</v>
          </cell>
          <cell r="I26" t="str">
            <v>청년</v>
          </cell>
          <cell r="J26">
            <v>0</v>
          </cell>
          <cell r="K26">
            <v>8</v>
          </cell>
          <cell r="L26">
            <v>5</v>
          </cell>
          <cell r="M26">
            <v>13</v>
          </cell>
          <cell r="N26">
            <v>13</v>
          </cell>
          <cell r="O26">
            <v>6</v>
          </cell>
          <cell r="P26">
            <v>5</v>
          </cell>
          <cell r="Q26">
            <v>11</v>
          </cell>
          <cell r="R26">
            <v>4</v>
          </cell>
          <cell r="S26">
            <v>65</v>
          </cell>
          <cell r="T26">
            <v>0</v>
          </cell>
          <cell r="U26">
            <v>65</v>
          </cell>
          <cell r="V26">
            <v>108</v>
          </cell>
          <cell r="W26" t="str">
            <v>부산물을 활용한 고부가가치의 제품을 개발하고 이릍 통한 시장에 진입하기 위한 사업방향은 돋보인다. 다만, 부산물을 활용할때 및 제품화를 진행할 때의 극복방안이 보완되어져야 하며, 외부자원을 활용한 제조계획과 마케팅 부분의 전략에서 다소 아쉬운 부분이 있다.</v>
          </cell>
        </row>
        <row r="27">
          <cell r="B27">
            <v>20424264</v>
          </cell>
          <cell r="C27" t="str">
            <v>지역기반</v>
          </cell>
          <cell r="D27" t="str">
            <v>화공ㆍ섬유</v>
          </cell>
          <cell r="E27" t="str">
            <v>Changpo-Cica Relief 기반, 꽉 묶는 헤어스타일로 인한 두피 통증 완화 및 견인성 탈모 예방 쿨링 스칼프 앰플</v>
          </cell>
          <cell r="F27" t="str">
            <v>0</v>
          </cell>
          <cell r="G27" t="str">
            <v>0</v>
          </cell>
          <cell r="H27" t="str">
            <v>예비</v>
          </cell>
          <cell r="I27" t="str">
            <v>청년</v>
          </cell>
          <cell r="J27">
            <v>0</v>
          </cell>
          <cell r="K27">
            <v>10</v>
          </cell>
          <cell r="L27">
            <v>9</v>
          </cell>
          <cell r="M27">
            <v>15</v>
          </cell>
          <cell r="N27">
            <v>16</v>
          </cell>
          <cell r="O27">
            <v>8</v>
          </cell>
          <cell r="P27">
            <v>7</v>
          </cell>
          <cell r="Q27">
            <v>15</v>
          </cell>
          <cell r="R27">
            <v>4</v>
          </cell>
          <cell r="S27">
            <v>84</v>
          </cell>
          <cell r="T27">
            <v>2</v>
          </cell>
          <cell r="U27">
            <v>86</v>
          </cell>
          <cell r="V27">
            <v>20</v>
          </cell>
          <cell r="W27" t="str">
            <v>경쟁제품비교와 사전 시장 조사를 통한 소비자들의 needs를 파악하고 이를 제품화 하여 시장진출을 노리는 시장전략과 제품설계 등의 전략적인 면보가 돋보인다. 다만 실제 시장이 진입하는 제품에 대한 효능과 기존 경쟁자대비 약 60%수준의 판매가에 대해 근거있는 설명이 필요하다</v>
          </cell>
        </row>
        <row r="28">
          <cell r="B28">
            <v>20424266</v>
          </cell>
          <cell r="C28" t="str">
            <v>지역기반</v>
          </cell>
          <cell r="D28" t="str">
            <v>화공ㆍ섬유</v>
          </cell>
          <cell r="E28" t="str">
            <v>AI 자가 피부진단 기반 맞춤형 화장품 제품화 및 글로벌 K-뷰티 진출</v>
          </cell>
          <cell r="F28" t="str">
            <v>0</v>
          </cell>
          <cell r="G28" t="str">
            <v>0</v>
          </cell>
          <cell r="H28" t="str">
            <v>예비</v>
          </cell>
          <cell r="I28" t="str">
            <v>중장년</v>
          </cell>
          <cell r="J28">
            <v>0</v>
          </cell>
          <cell r="K28">
            <v>6</v>
          </cell>
          <cell r="L28">
            <v>6</v>
          </cell>
          <cell r="M28">
            <v>13</v>
          </cell>
          <cell r="N28">
            <v>13</v>
          </cell>
          <cell r="O28">
            <v>7</v>
          </cell>
          <cell r="P28">
            <v>5</v>
          </cell>
          <cell r="Q28">
            <v>12</v>
          </cell>
          <cell r="R28">
            <v>4</v>
          </cell>
          <cell r="S28">
            <v>66</v>
          </cell>
          <cell r="T28">
            <v>0</v>
          </cell>
          <cell r="U28">
            <v>66</v>
          </cell>
          <cell r="V28">
            <v>100</v>
          </cell>
          <cell r="W28" t="str">
            <v>최근의 시장 트렌드에 맞게 개인의 최적화를 위한 AI를 활용하는 기법등이 우수하다. 다만 AI를 활용하기 위한 rawdata를 설문기반으로 준비하는 부분은 data의 신뢰도 측면에서 어려우며, 전반적으로 2026년 사업기간내에 진행될 수 있는 부분의 내용이 다소 부족한 부분이있다.</v>
          </cell>
        </row>
        <row r="29">
          <cell r="B29">
            <v>20426667</v>
          </cell>
          <cell r="C29" t="str">
            <v>지역기반</v>
          </cell>
          <cell r="D29" t="str">
            <v>화공ㆍ섬유</v>
          </cell>
          <cell r="E29" t="str">
            <v>민감성 피부를 위한 단계 조절형 분리형 스피큘 볼 스킨케어 세트</v>
          </cell>
          <cell r="F29" t="str">
            <v>0</v>
          </cell>
          <cell r="G29" t="str">
            <v>0</v>
          </cell>
          <cell r="H29" t="str">
            <v>예비</v>
          </cell>
          <cell r="I29" t="str">
            <v>청년</v>
          </cell>
          <cell r="J29">
            <v>0</v>
          </cell>
          <cell r="K29">
            <v>9</v>
          </cell>
          <cell r="L29">
            <v>8</v>
          </cell>
          <cell r="M29">
            <v>17</v>
          </cell>
          <cell r="N29">
            <v>16</v>
          </cell>
          <cell r="O29">
            <v>9</v>
          </cell>
          <cell r="P29">
            <v>8</v>
          </cell>
          <cell r="Q29">
            <v>13</v>
          </cell>
          <cell r="R29">
            <v>4</v>
          </cell>
          <cell r="S29">
            <v>84</v>
          </cell>
          <cell r="T29">
            <v>2</v>
          </cell>
          <cell r="U29">
            <v>86</v>
          </cell>
          <cell r="V29">
            <v>20</v>
          </cell>
          <cell r="W29" t="str">
            <v xml:space="preserve">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v>
          </cell>
        </row>
        <row r="30">
          <cell r="B30">
            <v>20426750</v>
          </cell>
          <cell r="C30" t="str">
            <v>지역기반</v>
          </cell>
          <cell r="D30" t="str">
            <v>화공ㆍ섬유</v>
          </cell>
          <cell r="E30" t="str">
            <v>AI 제형 최적화 기술 기반 스마트 올인원 젤과 네일숍을 위한 AI 제고 운영 관리 SaaS 솔루션, ARO NAIL</v>
          </cell>
          <cell r="F30" t="str">
            <v>0</v>
          </cell>
          <cell r="G30" t="str">
            <v>0</v>
          </cell>
          <cell r="H30" t="str">
            <v>예비</v>
          </cell>
          <cell r="I30" t="str">
            <v>청년</v>
          </cell>
          <cell r="J30">
            <v>0</v>
          </cell>
          <cell r="K30">
            <v>10</v>
          </cell>
          <cell r="L30">
            <v>9</v>
          </cell>
          <cell r="M30">
            <v>18</v>
          </cell>
          <cell r="N30">
            <v>15</v>
          </cell>
          <cell r="O30">
            <v>8</v>
          </cell>
          <cell r="P30">
            <v>9</v>
          </cell>
          <cell r="Q30">
            <v>15</v>
          </cell>
          <cell r="R30">
            <v>3</v>
          </cell>
          <cell r="S30">
            <v>87</v>
          </cell>
          <cell r="T30">
            <v>0</v>
          </cell>
          <cell r="U30">
            <v>87</v>
          </cell>
          <cell r="V30">
            <v>14</v>
          </cell>
          <cell r="W30" t="str">
            <v>시장을 분석하고 그 필요성에 대해 정확하게 공략하고 있어 돋보인다. 능력으로 구성된 팀과 적극적으로 외부자원을 활용하여 단계별로 사업을 수행하고 시장의 확보를 위해 시제품을 개발하는등 기술적 능력도 우수하다. 다만, 기존 시장제품대비 차별성이나 기술 경쟁력을 보완하는것이 필요하다</v>
          </cell>
        </row>
        <row r="31">
          <cell r="B31">
            <v>20426973</v>
          </cell>
          <cell r="C31" t="str">
            <v>지역기반</v>
          </cell>
          <cell r="D31" t="str">
            <v>화공ㆍ섬유</v>
          </cell>
          <cell r="E31" t="str">
            <v>혁신신소재 에어로젤을 활용한 응용소비재</v>
          </cell>
          <cell r="F31" t="str">
            <v>0</v>
          </cell>
          <cell r="G31" t="str">
            <v>0</v>
          </cell>
          <cell r="H31" t="str">
            <v>예비</v>
          </cell>
          <cell r="I31" t="str">
            <v>청년</v>
          </cell>
          <cell r="J31">
            <v>0</v>
          </cell>
          <cell r="K31">
            <v>6</v>
          </cell>
          <cell r="L31">
            <v>7</v>
          </cell>
          <cell r="M31">
            <v>14</v>
          </cell>
          <cell r="N31">
            <v>15</v>
          </cell>
          <cell r="O31">
            <v>6</v>
          </cell>
          <cell r="P31">
            <v>6</v>
          </cell>
          <cell r="Q31">
            <v>12</v>
          </cell>
          <cell r="R31">
            <v>3</v>
          </cell>
          <cell r="S31">
            <v>69</v>
          </cell>
          <cell r="T31">
            <v>2</v>
          </cell>
          <cell r="U31">
            <v>71</v>
          </cell>
          <cell r="V31">
            <v>80</v>
          </cell>
          <cell r="W31" t="str">
            <v>반려동물이 다양해지고 많아지는 시장에서 프리미엄 소재를 활용한 시장분석에 대한 부분이 잘 기술되어져 있다. 다만, 일반시장과 프리미엄 시장을 구분하여 실제 경쟁력이 있는 것을 구체적으로 표현해야 하며, 이러한 제품을 만들기 위한 기술력과 인력구성의 확보를 위한 부분의 보완이 필요하다.</v>
          </cell>
        </row>
        <row r="32">
          <cell r="B32">
            <v>20427911</v>
          </cell>
          <cell r="C32" t="str">
            <v>지역기반</v>
          </cell>
          <cell r="D32" t="str">
            <v>화공ㆍ섬유</v>
          </cell>
          <cell r="E32" t="str">
            <v>탄닌계 바이오 매염제 기반 저온 편물 가먼트 염색 기술이 적용된 냉·온감 기능 유지 및 색상 확장 기능의 홀가먼트 침구</v>
          </cell>
          <cell r="F32" t="str">
            <v>0</v>
          </cell>
          <cell r="G32" t="str">
            <v>0</v>
          </cell>
          <cell r="H32" t="str">
            <v>예비</v>
          </cell>
          <cell r="I32" t="str">
            <v>청년</v>
          </cell>
          <cell r="J32">
            <v>0</v>
          </cell>
          <cell r="K32">
            <v>10</v>
          </cell>
          <cell r="L32">
            <v>10</v>
          </cell>
          <cell r="M32">
            <v>18</v>
          </cell>
          <cell r="N32">
            <v>15</v>
          </cell>
          <cell r="O32">
            <v>7</v>
          </cell>
          <cell r="P32">
            <v>9</v>
          </cell>
          <cell r="Q32">
            <v>14</v>
          </cell>
          <cell r="R32">
            <v>4</v>
          </cell>
          <cell r="S32">
            <v>87</v>
          </cell>
          <cell r="T32">
            <v>0</v>
          </cell>
          <cell r="U32">
            <v>87</v>
          </cell>
          <cell r="V32">
            <v>14</v>
          </cell>
          <cell r="W32" t="str">
            <v>기존의 환경규제 탈피를 위한 새로운방안의 제품을 개발하고자 하는 방향과 계절에 맞는 차별화된 제품을 설계하는 등 사업화 내용에 대한 우수한 사업계획으로 구성되어있다. 다만 친환경 공정 전환제품에 대해 그 성능의 차별성이나 우수성에 대해 보완할 필요가 있다.</v>
          </cell>
        </row>
        <row r="33">
          <cell r="B33">
            <v>20428898</v>
          </cell>
          <cell r="C33" t="str">
            <v>지역기반</v>
          </cell>
          <cell r="D33" t="str">
            <v>화공ㆍ섬유</v>
          </cell>
          <cell r="E33" t="str">
            <v>천연소재 복합배합 기반 친환경 반려동물 위생용품 개발</v>
          </cell>
          <cell r="F33" t="str">
            <v>0</v>
          </cell>
          <cell r="G33" t="str">
            <v>0</v>
          </cell>
          <cell r="H33" t="str">
            <v>예비</v>
          </cell>
          <cell r="I33" t="str">
            <v>청년</v>
          </cell>
          <cell r="J33">
            <v>0</v>
          </cell>
          <cell r="K33">
            <v>6</v>
          </cell>
          <cell r="L33">
            <v>6</v>
          </cell>
          <cell r="M33">
            <v>13</v>
          </cell>
          <cell r="N33">
            <v>13</v>
          </cell>
          <cell r="O33">
            <v>6</v>
          </cell>
          <cell r="P33">
            <v>5</v>
          </cell>
          <cell r="Q33">
            <v>9</v>
          </cell>
          <cell r="R33">
            <v>4</v>
          </cell>
          <cell r="S33">
            <v>62</v>
          </cell>
          <cell r="T33">
            <v>0</v>
          </cell>
          <cell r="U33">
            <v>62</v>
          </cell>
          <cell r="V33">
            <v>115</v>
          </cell>
          <cell r="W33" t="str">
            <v>천연, 폐자원 소재를 활용하여 기존 화학소재를 대체하는 펫시장을 위한 제품에 대해 그 문제인식과 필요성 및 사업성 전반에 대해 잘 설명하고 있다. 다만, 개발제품에 대한 성능 확인이나 분석 그리고 기존시장의 제품을 대체하기 위한 마케팅 방안등이 사업화를 위해 보완되어야 하기에 아쉬운 부분이 있다.</v>
          </cell>
        </row>
        <row r="34">
          <cell r="B34">
            <v>20430515</v>
          </cell>
          <cell r="C34" t="str">
            <v>지역기반</v>
          </cell>
          <cell r="D34" t="str">
            <v>화공ㆍ섬유</v>
          </cell>
          <cell r="E34" t="str">
            <v>소재의 한지의 느낌을 살려 수묵화 등 한국 전통의 디자인을 적용한  글로벌 진출용 친환경(타이벡) 양산</v>
          </cell>
          <cell r="F34" t="str">
            <v>0</v>
          </cell>
          <cell r="G34" t="str">
            <v>0</v>
          </cell>
          <cell r="H34" t="str">
            <v>예비</v>
          </cell>
          <cell r="I34" t="str">
            <v>중장년</v>
          </cell>
          <cell r="J34">
            <v>0</v>
          </cell>
          <cell r="K34">
            <v>6</v>
          </cell>
          <cell r="L34">
            <v>6</v>
          </cell>
          <cell r="M34">
            <v>13</v>
          </cell>
          <cell r="N34">
            <v>13</v>
          </cell>
          <cell r="O34">
            <v>6</v>
          </cell>
          <cell r="P34">
            <v>5</v>
          </cell>
          <cell r="Q34">
            <v>10</v>
          </cell>
          <cell r="R34">
            <v>4</v>
          </cell>
          <cell r="S34">
            <v>63</v>
          </cell>
          <cell r="T34">
            <v>0</v>
          </cell>
          <cell r="U34">
            <v>63</v>
          </cell>
          <cell r="V34">
            <v>113</v>
          </cell>
          <cell r="W34" t="str">
            <v>천연소재를 활용하여 기존 화학소재를 대체하는 시장을 위한 제품에 대해 그 문제인식과 필요성 및 사업성 전반에 대해 잘 설명하고 있다. 다만, 개발제품에 대한 성능 확인이나 분석 그리고 기존시장의 제품을 대체하기 위한 가격 확보, 마케팅 방안등이 사업화를 위해 보완되어야 하기에 아쉬운 부분이 있다.</v>
          </cell>
        </row>
        <row r="35">
          <cell r="B35">
            <v>20430698</v>
          </cell>
          <cell r="C35" t="str">
            <v>지역기반</v>
          </cell>
          <cell r="D35" t="str">
            <v>화공ㆍ섬유</v>
          </cell>
          <cell r="E35" t="str">
            <v>그래핀 복합 원사 기술이 적용된 항균·소취 기능의 쾌적한 수면 환경을 제공하는 기능성 침구 제품</v>
          </cell>
          <cell r="F35" t="str">
            <v>0</v>
          </cell>
          <cell r="G35" t="str">
            <v>0</v>
          </cell>
          <cell r="H35" t="str">
            <v>예비</v>
          </cell>
          <cell r="I35" t="str">
            <v>청년</v>
          </cell>
          <cell r="J35">
            <v>0</v>
          </cell>
          <cell r="K35">
            <v>6</v>
          </cell>
          <cell r="L35">
            <v>7</v>
          </cell>
          <cell r="M35">
            <v>15</v>
          </cell>
          <cell r="N35">
            <v>13</v>
          </cell>
          <cell r="O35">
            <v>7</v>
          </cell>
          <cell r="P35">
            <v>7</v>
          </cell>
          <cell r="Q35">
            <v>9</v>
          </cell>
          <cell r="R35">
            <v>3</v>
          </cell>
          <cell r="S35">
            <v>67</v>
          </cell>
          <cell r="T35">
            <v>0</v>
          </cell>
          <cell r="U35">
            <v>67</v>
          </cell>
          <cell r="V35">
            <v>95</v>
          </cell>
          <cell r="W35" t="str">
            <v>그래핀소재를 활용하여 프리미엄 침구시장을 위한 제품에 대해 그 문제인식과 필요성 및 사업성 전반에 대해 잘 설명하고 있다. 다만, 개발제품에 대한 성능 확인이나 분석 그리고 기존시장의 제품을 대체하기 위한 가격 확보, 마케팅 방안등이 사업화를 위해 보완되어야 하기에 아쉬운 부분이 있다.</v>
          </cell>
        </row>
        <row r="36">
          <cell r="B36">
            <v>20430941</v>
          </cell>
          <cell r="C36" t="str">
            <v>지역기반</v>
          </cell>
          <cell r="D36" t="str">
            <v>화공ㆍ섬유</v>
          </cell>
          <cell r="E36" t="str">
            <v>버려지는 농업 부산물을 고기능 원료로 전환하고 에어리스 구조로 위생적이고 깔끔한 사용감을 구현한 클렌징 밤</v>
          </cell>
          <cell r="F36" t="str">
            <v>0</v>
          </cell>
          <cell r="G36" t="str">
            <v>0</v>
          </cell>
          <cell r="H36" t="str">
            <v>예비</v>
          </cell>
          <cell r="I36" t="str">
            <v>청년</v>
          </cell>
          <cell r="J36">
            <v>0</v>
          </cell>
          <cell r="K36">
            <v>9</v>
          </cell>
          <cell r="L36">
            <v>8</v>
          </cell>
          <cell r="M36">
            <v>16</v>
          </cell>
          <cell r="N36">
            <v>16</v>
          </cell>
          <cell r="O36">
            <v>9</v>
          </cell>
          <cell r="P36">
            <v>7</v>
          </cell>
          <cell r="Q36">
            <v>13</v>
          </cell>
          <cell r="R36">
            <v>5</v>
          </cell>
          <cell r="S36">
            <v>83</v>
          </cell>
          <cell r="T36">
            <v>0</v>
          </cell>
          <cell r="U36">
            <v>83</v>
          </cell>
          <cell r="V36">
            <v>33</v>
          </cell>
          <cell r="W36" t="str">
            <v>시장조사를 기반으로 하여 고객의 needs를 검토하고 이에 맞는 새로운제품을 개발하여 고객만족을 위해 진출하는 전반적인 사업설계가 우수하다. 다만, 경쟁이 심한 뷰티시장에서 새로운 공정도입에 따른 품질의 검증과 가격경쟁 확보를 위한 해결방안이 도출되어야 할 것이다.</v>
          </cell>
        </row>
        <row r="37">
          <cell r="B37">
            <v>20432239</v>
          </cell>
          <cell r="C37" t="str">
            <v>지역기반</v>
          </cell>
          <cell r="D37" t="str">
            <v>화공ㆍ섬유</v>
          </cell>
          <cell r="E37" t="str">
            <v>플라스틱 업사이클링 기술이 적용된 셀프케어 기능의 홈 퍼머넌트 키트</v>
          </cell>
          <cell r="F37" t="str">
            <v>0</v>
          </cell>
          <cell r="G37" t="str">
            <v>0</v>
          </cell>
          <cell r="H37" t="str">
            <v>예비</v>
          </cell>
          <cell r="I37" t="str">
            <v>청년</v>
          </cell>
          <cell r="J37">
            <v>0</v>
          </cell>
          <cell r="K37">
            <v>9</v>
          </cell>
          <cell r="L37">
            <v>8</v>
          </cell>
          <cell r="M37">
            <v>16</v>
          </cell>
          <cell r="N37">
            <v>15</v>
          </cell>
          <cell r="O37">
            <v>8</v>
          </cell>
          <cell r="P37">
            <v>8</v>
          </cell>
          <cell r="Q37">
            <v>14</v>
          </cell>
          <cell r="R37">
            <v>5</v>
          </cell>
          <cell r="S37">
            <v>83</v>
          </cell>
          <cell r="T37">
            <v>0</v>
          </cell>
          <cell r="U37">
            <v>83</v>
          </cell>
          <cell r="V37">
            <v>33</v>
          </cell>
          <cell r="W37" t="str">
            <v>친환경 시장조사를 기반으로 하여 고객의 needs를 검토하고 이에 맞는 새로운제품을 개발하여 고객만족을 위해 경쟁력있는 가격으로 진출하는 전반적인 사업설계가 우수하다. 다만, 제품의 기능성 부분과 성능면에서 어느정도 위치인지가 파악이 되지 않아 아쉬운 부분이 있다</v>
          </cell>
        </row>
        <row r="38">
          <cell r="B38">
            <v>20432665</v>
          </cell>
          <cell r="C38" t="str">
            <v>지역기반</v>
          </cell>
          <cell r="D38" t="str">
            <v>화공ㆍ섬유</v>
          </cell>
          <cell r="E38" t="str">
            <v>워크웨어의 진화에 맞춘 툴벨트의 세대교체, 모듈러 테크기어 ‘T.C.R.P.’</v>
          </cell>
          <cell r="F38" t="str">
            <v>0</v>
          </cell>
          <cell r="G38" t="str">
            <v>0</v>
          </cell>
          <cell r="H38" t="str">
            <v>예비</v>
          </cell>
          <cell r="I38" t="str">
            <v>청년</v>
          </cell>
          <cell r="J38">
            <v>0</v>
          </cell>
          <cell r="K38">
            <v>10</v>
          </cell>
          <cell r="L38">
            <v>10</v>
          </cell>
          <cell r="M38">
            <v>16</v>
          </cell>
          <cell r="N38">
            <v>14</v>
          </cell>
          <cell r="O38">
            <v>9</v>
          </cell>
          <cell r="P38">
            <v>8</v>
          </cell>
          <cell r="Q38">
            <v>15</v>
          </cell>
          <cell r="R38">
            <v>3</v>
          </cell>
          <cell r="S38">
            <v>85</v>
          </cell>
          <cell r="T38">
            <v>0</v>
          </cell>
          <cell r="U38">
            <v>85</v>
          </cell>
          <cell r="V38">
            <v>27</v>
          </cell>
          <cell r="W38" t="str">
            <v>기존의 규격화된 제복, 작업복을 입고 활동하는 블루칼라 근무자들을 위한 착용 플랫폼으로서의 제품설계와  pilot단계를 통한 실용성등을 강조하는 면에서 우수한 아이템이라 볼 수 있다. 다만, 실제 인체에 착용되는 만큼 장기간 착용에 대한 안전성 검토와 근로자들의 위해성 부분에 대한 검증이 이루어져야 할 것이나, 이에 대한 설명과 자료확보를 진행해야 할 필요가 있다</v>
          </cell>
        </row>
        <row r="39">
          <cell r="B39">
            <v>20439838</v>
          </cell>
          <cell r="C39" t="str">
            <v>지역기반</v>
          </cell>
          <cell r="D39" t="str">
            <v>화공ㆍ섬유</v>
          </cell>
          <cell r="E39" t="str">
            <v>핏 중심 기능성 러닝웨어 브랜드 개발 및 사업화</v>
          </cell>
          <cell r="F39" t="str">
            <v>0</v>
          </cell>
          <cell r="G39" t="str">
            <v>1</v>
          </cell>
          <cell r="H39" t="str">
            <v>예비</v>
          </cell>
          <cell r="I39" t="str">
            <v>청년</v>
          </cell>
          <cell r="J39">
            <v>0</v>
          </cell>
          <cell r="K39">
            <v>6</v>
          </cell>
          <cell r="L39">
            <v>8</v>
          </cell>
          <cell r="M39">
            <v>15</v>
          </cell>
          <cell r="N39">
            <v>13</v>
          </cell>
          <cell r="O39">
            <v>6</v>
          </cell>
          <cell r="P39">
            <v>8</v>
          </cell>
          <cell r="Q39">
            <v>12</v>
          </cell>
          <cell r="R39">
            <v>4</v>
          </cell>
          <cell r="S39">
            <v>72</v>
          </cell>
          <cell r="T39">
            <v>0</v>
          </cell>
          <cell r="U39">
            <v>72</v>
          </cell>
          <cell r="V39">
            <v>75</v>
          </cell>
          <cell r="W39" t="str">
            <v>고가의 브랜드 시장과 저가의 노브랜드 시장으로 구조화된 시장에서 러닝웨어의 틈새시장을 노리는 포지션과 전략적인 면에 돋보인다. 다만, 이러한 제품의 경우 성능, 유해성, 가격정책 등 모든 면에서 비교우위에 있어야 한다는 점을 고려하면, 보다 상세한 제품분석과 경쟁력 확보방안에 대해 설명이 필요할것으로 보인다</v>
          </cell>
        </row>
        <row r="40">
          <cell r="B40">
            <v>20440097</v>
          </cell>
          <cell r="C40" t="str">
            <v>지역기반</v>
          </cell>
          <cell r="D40" t="str">
            <v>화공ㆍ섬유</v>
          </cell>
          <cell r="E40" t="str">
            <v>더마리프(DermaLeaf)</v>
          </cell>
          <cell r="F40" t="str">
            <v>0</v>
          </cell>
          <cell r="G40" t="str">
            <v>0</v>
          </cell>
          <cell r="H40" t="str">
            <v>예비</v>
          </cell>
          <cell r="I40" t="str">
            <v>청년</v>
          </cell>
          <cell r="J40">
            <v>0</v>
          </cell>
          <cell r="K40">
            <v>8</v>
          </cell>
          <cell r="L40">
            <v>8</v>
          </cell>
          <cell r="M40">
            <v>18</v>
          </cell>
          <cell r="N40">
            <v>13</v>
          </cell>
          <cell r="O40">
            <v>7</v>
          </cell>
          <cell r="P40">
            <v>7</v>
          </cell>
          <cell r="Q40">
            <v>14</v>
          </cell>
          <cell r="R40">
            <v>4</v>
          </cell>
          <cell r="S40">
            <v>79</v>
          </cell>
          <cell r="T40">
            <v>0</v>
          </cell>
          <cell r="U40">
            <v>79</v>
          </cell>
          <cell r="V40">
            <v>43</v>
          </cell>
          <cell r="W40" t="str">
            <v>기능성 친환경 소재를 활용한 코스메틱 시장 진출을 위해 기존제품들과의 차별성과 시장 경쟁력에 대한 설명이 잘 기술되어져 있다. 다만, 친환경 소재를 활용한 신규제품과 기존 제품들과의 기능성 성능적인 부분이나, 기술적인 차별성이 나타나 있지 않으며, 코스메틱 제품인만큼 유해성에 대한 검증을 하기위한 구체적인 계획이 보완되어야 할 것이다.</v>
          </cell>
        </row>
        <row r="41">
          <cell r="B41">
            <v>20440240</v>
          </cell>
          <cell r="C41" t="str">
            <v>지역기반</v>
          </cell>
          <cell r="D41" t="str">
            <v>화공ㆍ섬유</v>
          </cell>
          <cell r="E41" t="str">
            <v>살균·세정 기능이 결합된 듀얼 챔버 2in1 플러셔블 위생 티슈 '털썩&amp;뽀득'</v>
          </cell>
          <cell r="F41" t="str">
            <v>0</v>
          </cell>
          <cell r="G41" t="str">
            <v>0</v>
          </cell>
          <cell r="H41" t="str">
            <v>예비</v>
          </cell>
          <cell r="I41" t="str">
            <v>청년</v>
          </cell>
          <cell r="J41">
            <v>0</v>
          </cell>
          <cell r="K41">
            <v>6</v>
          </cell>
          <cell r="L41">
            <v>6</v>
          </cell>
          <cell r="M41">
            <v>18</v>
          </cell>
          <cell r="N41">
            <v>18</v>
          </cell>
          <cell r="O41">
            <v>9</v>
          </cell>
          <cell r="P41">
            <v>9</v>
          </cell>
          <cell r="Q41">
            <v>14</v>
          </cell>
          <cell r="R41">
            <v>4</v>
          </cell>
          <cell r="S41">
            <v>84</v>
          </cell>
          <cell r="T41">
            <v>0</v>
          </cell>
          <cell r="U41">
            <v>84</v>
          </cell>
          <cell r="V41">
            <v>30</v>
          </cell>
          <cell r="W41" t="str">
            <v>시장에서의 불편함을 극복할 수 있는 사업아이템의 방향과 제품설계 및 사업화 방향까지 잘 정리되어져 있다. 이미 제품의 설계방향과 성능을 검증하기 위한 다양한 창구를 탐색해 둔 부분도 잘 구성되어져 있다. 다만, 각각의 제품이 이미 시장을 지배하고 있는 환경에서 2in1제품이 가지는 독자성, 제품경쟁력과 사업을 위한 조직활용면에서 다소 보완이 필요할 것으로 판단된다</v>
          </cell>
        </row>
        <row r="42">
          <cell r="B42">
            <v>20421393</v>
          </cell>
          <cell r="C42" t="str">
            <v>대학발</v>
          </cell>
          <cell r="D42" t="str">
            <v>화공ㆍ섬유</v>
          </cell>
          <cell r="E42" t="str">
            <v>AI, IOT 다중시설 환경 위생관리 솔루션</v>
          </cell>
          <cell r="F42" t="str">
            <v>0</v>
          </cell>
          <cell r="G42" t="str">
            <v>0</v>
          </cell>
          <cell r="H42" t="str">
            <v>예비</v>
          </cell>
          <cell r="I42" t="str">
            <v>청년</v>
          </cell>
          <cell r="J42" t="str">
            <v>요건탈락</v>
          </cell>
          <cell r="S42" t="str">
            <v/>
          </cell>
          <cell r="T42">
            <v>0</v>
          </cell>
          <cell r="U42" t="str">
            <v/>
          </cell>
          <cell r="V42" t="str">
            <v/>
          </cell>
        </row>
        <row r="43">
          <cell r="B43">
            <v>20400362</v>
          </cell>
          <cell r="C43" t="str">
            <v>지역기반</v>
          </cell>
          <cell r="D43" t="str">
            <v>화공ㆍ섬유</v>
          </cell>
          <cell r="E43" t="str">
            <v>고기능성 반려견 퀵-레이스 하네스</v>
          </cell>
          <cell r="F43" t="str">
            <v>1,600</v>
          </cell>
          <cell r="G43" t="str">
            <v>1</v>
          </cell>
          <cell r="H43" t="str">
            <v>초기</v>
          </cell>
          <cell r="I43" t="str">
            <v>청년</v>
          </cell>
          <cell r="J43">
            <v>0</v>
          </cell>
          <cell r="K43">
            <v>9</v>
          </cell>
          <cell r="L43">
            <v>8</v>
          </cell>
          <cell r="M43">
            <v>18</v>
          </cell>
          <cell r="N43">
            <v>18</v>
          </cell>
          <cell r="O43">
            <v>9</v>
          </cell>
          <cell r="P43">
            <v>9</v>
          </cell>
          <cell r="Q43">
            <v>14</v>
          </cell>
          <cell r="R43">
            <v>3</v>
          </cell>
          <cell r="S43">
            <v>88</v>
          </cell>
          <cell r="T43">
            <v>0</v>
          </cell>
          <cell r="U43">
            <v>88</v>
          </cell>
          <cell r="V43">
            <v>12</v>
          </cell>
          <cell r="W43" t="str">
            <v>기존시장의 면밀한 분석을 위해 새로운 제품을 기획하고 해당 제품에 대한 디자인권리와 ROAS를 매우 충분히 확보해 둔 면에서 사업성에 뛰어난 능력을 가진 사업계획서라 할 수 있다. 경쟁제품에 대한 한계성을 명확히 표현하고 새로운 제품의 우수성 비교를 통해 입증하고 있다. 다만 사업화를 위한 인력구성면에서 아쉬운 부분이 있으나, 이는 사업진행단계에서 충분히 극복할 수 있는 역량이 있는것으로 판단된다</v>
          </cell>
        </row>
        <row r="44">
          <cell r="B44">
            <v>20401269</v>
          </cell>
          <cell r="C44" t="str">
            <v>지역기반</v>
          </cell>
          <cell r="D44" t="str">
            <v>화공ㆍ섬유</v>
          </cell>
          <cell r="E44" t="str">
            <v>수상 스포츠 이후 아로마테라피를 활용한 ‘After-Water Ritual’ 스킨케어 브랜드</v>
          </cell>
          <cell r="F44" t="str">
            <v>41,352,356</v>
          </cell>
          <cell r="G44" t="str">
            <v>0</v>
          </cell>
          <cell r="H44" t="str">
            <v>초기</v>
          </cell>
          <cell r="I44" t="str">
            <v>청년</v>
          </cell>
          <cell r="J44" t="str">
            <v>면제</v>
          </cell>
          <cell r="S44" t="str">
            <v/>
          </cell>
          <cell r="T44">
            <v>0</v>
          </cell>
          <cell r="U44">
            <v>100</v>
          </cell>
          <cell r="V44" t="str">
            <v/>
          </cell>
          <cell r="W44" t="str">
            <v>서류평가 면제</v>
          </cell>
        </row>
        <row r="45">
          <cell r="B45">
            <v>20401779</v>
          </cell>
          <cell r="C45" t="str">
            <v>지역기반</v>
          </cell>
          <cell r="D45" t="str">
            <v>화공ㆍ섬유</v>
          </cell>
          <cell r="E45" t="str">
            <v>안자극이 없는 수경 안티포그액</v>
          </cell>
          <cell r="F45" t="str">
            <v>208,378,702</v>
          </cell>
          <cell r="G45" t="str">
            <v>0</v>
          </cell>
          <cell r="H45" t="str">
            <v>초기</v>
          </cell>
          <cell r="I45" t="str">
            <v>중장년</v>
          </cell>
          <cell r="J45">
            <v>0</v>
          </cell>
          <cell r="K45">
            <v>9</v>
          </cell>
          <cell r="L45">
            <v>8</v>
          </cell>
          <cell r="M45">
            <v>11</v>
          </cell>
          <cell r="N45">
            <v>13</v>
          </cell>
          <cell r="O45">
            <v>6</v>
          </cell>
          <cell r="P45">
            <v>6</v>
          </cell>
          <cell r="Q45">
            <v>11</v>
          </cell>
          <cell r="R45">
            <v>2</v>
          </cell>
          <cell r="S45">
            <v>66</v>
          </cell>
          <cell r="T45">
            <v>0</v>
          </cell>
          <cell r="U45">
            <v>66</v>
          </cell>
          <cell r="V45">
            <v>100</v>
          </cell>
          <cell r="W45" t="str">
            <v>안티포그를 위해서 기존 수경의 인체유해성과 차별되는 새로운 물질을 도입하고자 하는 보고서의 내용이 잘 정리되었다. 다만 신규물질에 대한 매출부분외에 설명이 부족하며 기존 제품들과의 차별성 및 인체무해성이 나타나 있지 않은 부분과 차별성을 마케팅하기 위한 전략적인 부분에 대해 보완이 필요하다.</v>
          </cell>
        </row>
        <row r="46">
          <cell r="B46">
            <v>20402078</v>
          </cell>
          <cell r="C46" t="str">
            <v>지역기반</v>
          </cell>
          <cell r="D46" t="str">
            <v>화공ㆍ섬유</v>
          </cell>
          <cell r="E46" t="str">
            <v>[글로벌 타겟] AI 톤적응 마이크로캡슐 기반 스킨케어형 컬러체인지 커버선크림 개발 및 사업화</v>
          </cell>
          <cell r="F46" t="str">
            <v>128,835,710</v>
          </cell>
          <cell r="G46" t="str">
            <v>2</v>
          </cell>
          <cell r="H46" t="str">
            <v>초기</v>
          </cell>
          <cell r="I46" t="str">
            <v>청년</v>
          </cell>
          <cell r="J46">
            <v>0</v>
          </cell>
          <cell r="K46">
            <v>9</v>
          </cell>
          <cell r="L46">
            <v>9</v>
          </cell>
          <cell r="M46">
            <v>19</v>
          </cell>
          <cell r="N46">
            <v>18</v>
          </cell>
          <cell r="O46">
            <v>9</v>
          </cell>
          <cell r="P46">
            <v>8</v>
          </cell>
          <cell r="Q46">
            <v>14</v>
          </cell>
          <cell r="R46">
            <v>5</v>
          </cell>
          <cell r="S46">
            <v>91</v>
          </cell>
          <cell r="T46">
            <v>2</v>
          </cell>
          <cell r="U46">
            <v>93</v>
          </cell>
          <cell r="V46">
            <v>2</v>
          </cell>
          <cell r="W46" t="str">
            <v>기존 시장의 기능성 uv차단제와의 차별성이 잘 나타나 있어 기술적인 우위성이 드러나 있으며, 이를 활용한 시장진출계획등이 잘 설명되어져 있다. 다만, 제품의 경쟁력이나 시장의 반응을 확인하기 위한 모수(10명)는 제품의 성능을 판단하기 위해서 작은 모집단 수라고 판단된다</v>
          </cell>
        </row>
        <row r="47">
          <cell r="B47">
            <v>20403598</v>
          </cell>
          <cell r="C47" t="str">
            <v>지역기반</v>
          </cell>
          <cell r="D47" t="str">
            <v>화공ㆍ섬유</v>
          </cell>
          <cell r="E47" t="str">
            <v>리텐션 고도화형 B2B 글로벌 수출 K-뷰티 속눈썹·글루 제품</v>
          </cell>
          <cell r="F47" t="str">
            <v>0</v>
          </cell>
          <cell r="G47" t="str">
            <v>0</v>
          </cell>
          <cell r="H47" t="str">
            <v>초기</v>
          </cell>
          <cell r="I47" t="str">
            <v>중장년</v>
          </cell>
          <cell r="J47">
            <v>0</v>
          </cell>
          <cell r="K47">
            <v>10</v>
          </cell>
          <cell r="L47">
            <v>10</v>
          </cell>
          <cell r="M47">
            <v>15</v>
          </cell>
          <cell r="N47">
            <v>12</v>
          </cell>
          <cell r="O47">
            <v>8</v>
          </cell>
          <cell r="P47">
            <v>6</v>
          </cell>
          <cell r="Q47">
            <v>11</v>
          </cell>
          <cell r="R47">
            <v>5</v>
          </cell>
          <cell r="S47">
            <v>77</v>
          </cell>
          <cell r="T47">
            <v>0</v>
          </cell>
          <cell r="U47">
            <v>77</v>
          </cell>
          <cell r="V47">
            <v>50</v>
          </cell>
          <cell r="W47" t="str">
            <v>기존 제품들에 대한 충분한 data확보와 이를 통한 신규제품의 발굴면에서는 우수하게 잘 설명되어져 있다. 다만, 신규제품에서 개발하고자 하는 성능목표는 부여되어 있으나, 성능구현을 위한 기술적인 구체적 차별성 등에 대한 보완이 필요할 것으로 보인다.</v>
          </cell>
        </row>
        <row r="48">
          <cell r="B48">
            <v>20404733</v>
          </cell>
          <cell r="C48" t="str">
            <v>지역기반</v>
          </cell>
          <cell r="D48" t="str">
            <v>화공ㆍ섬유</v>
          </cell>
          <cell r="E48" t="str">
            <v xml:space="preserve">기능성 재활용 필름 기술이 적용된 방취, 고강도 기능의 친환경 반려동물 위생 소재 </v>
          </cell>
          <cell r="F48" t="str">
            <v>35,000,000</v>
          </cell>
          <cell r="G48" t="str">
            <v>3</v>
          </cell>
          <cell r="H48" t="str">
            <v>초기</v>
          </cell>
          <cell r="I48" t="str">
            <v>중장년</v>
          </cell>
          <cell r="J48">
            <v>0</v>
          </cell>
          <cell r="K48">
            <v>8</v>
          </cell>
          <cell r="L48">
            <v>7</v>
          </cell>
          <cell r="M48">
            <v>15</v>
          </cell>
          <cell r="N48">
            <v>13</v>
          </cell>
          <cell r="O48">
            <v>8</v>
          </cell>
          <cell r="P48">
            <v>6</v>
          </cell>
          <cell r="Q48">
            <v>11</v>
          </cell>
          <cell r="R48">
            <v>3</v>
          </cell>
          <cell r="S48">
            <v>71</v>
          </cell>
          <cell r="T48">
            <v>0</v>
          </cell>
          <cell r="U48">
            <v>71</v>
          </cell>
          <cell r="V48">
            <v>80</v>
          </cell>
          <cell r="W48" t="str">
            <v>기능성 필름기술을 활용하여 펫시장에서의 경쟁력을 갖추려고 하는 부분과 참숯을 활용하여 새로운 기능을 부여하는 전반적인 사업내용이 잘 설명되어져 있으며, 이에 대한 검증도 다양한 수상경력을 통해 증명되었다 할 수 있다. 다만 일회성으로 사용하기 쉬운 제품특성상 중국제품의 저가 시장잠식과 이를 위한 극복대응 방안에 대해 구체적으로 설명이 필요하다,</v>
          </cell>
        </row>
        <row r="49">
          <cell r="B49">
            <v>20406503</v>
          </cell>
          <cell r="C49" t="str">
            <v>지역기반</v>
          </cell>
          <cell r="D49" t="str">
            <v>화공ㆍ섬유</v>
          </cell>
          <cell r="E49" t="str">
            <v>친환경 생분해 소재 기반 HDPE(High-Density Polyethylene) 대체용  탄소절감, 빗물 재활용, 수목 성장촉진을 위한 수목통 기관 설계 개발</v>
          </cell>
          <cell r="F49" t="str">
            <v>210,000,000</v>
          </cell>
          <cell r="G49" t="str">
            <v>2</v>
          </cell>
          <cell r="H49" t="str">
            <v>초기</v>
          </cell>
          <cell r="I49" t="str">
            <v>중장년</v>
          </cell>
          <cell r="J49">
            <v>0</v>
          </cell>
          <cell r="K49">
            <v>10</v>
          </cell>
          <cell r="L49">
            <v>9</v>
          </cell>
          <cell r="M49">
            <v>19</v>
          </cell>
          <cell r="N49">
            <v>18</v>
          </cell>
          <cell r="O49">
            <v>9</v>
          </cell>
          <cell r="P49">
            <v>8</v>
          </cell>
          <cell r="Q49">
            <v>12</v>
          </cell>
          <cell r="R49">
            <v>3</v>
          </cell>
          <cell r="S49">
            <v>88</v>
          </cell>
          <cell r="T49">
            <v>0</v>
          </cell>
          <cell r="U49">
            <v>88</v>
          </cell>
          <cell r="V49">
            <v>12</v>
          </cell>
          <cell r="W49" t="str">
            <v>아보카도'라는 친환경 생분해 소재를 활용한 대체제 시장의 발굴과 이를 위한 제품의 설계 및 검증까지 사업화를 위한 충분한 준비성을 갖추고 있는 보고서이다. 사용이 편리하면서도 안전한 친환경 대체품을 위해 기술적인 준비가 되어져 있는것으로 보인다. 다만, 목표시장 진입을 위한 사전조사가 충분히 반영되어 있지 않아, 시장성이 명확하지 않는 부분에 대해 보완이 필요하다.</v>
          </cell>
        </row>
        <row r="50">
          <cell r="B50">
            <v>20407388</v>
          </cell>
          <cell r="C50" t="str">
            <v>지역기반</v>
          </cell>
          <cell r="D50" t="str">
            <v>화공ㆍ섬유</v>
          </cell>
          <cell r="E50" t="str">
            <v>F.BRX - 동대문 소상공인 원단업체을 위한 섬유 특화 3D/AI 기반 디지털 콘텐츠 제작 서비스</v>
          </cell>
          <cell r="F50" t="str">
            <v>60,000,000</v>
          </cell>
          <cell r="G50" t="str">
            <v>0</v>
          </cell>
          <cell r="H50" t="str">
            <v>초기</v>
          </cell>
          <cell r="I50" t="str">
            <v>중장년</v>
          </cell>
          <cell r="J50">
            <v>0</v>
          </cell>
          <cell r="K50">
            <v>7</v>
          </cell>
          <cell r="L50">
            <v>6</v>
          </cell>
          <cell r="M50">
            <v>17</v>
          </cell>
          <cell r="N50">
            <v>13</v>
          </cell>
          <cell r="O50">
            <v>6</v>
          </cell>
          <cell r="P50">
            <v>7</v>
          </cell>
          <cell r="Q50">
            <v>13</v>
          </cell>
          <cell r="R50">
            <v>4</v>
          </cell>
          <cell r="S50">
            <v>73</v>
          </cell>
          <cell r="T50">
            <v>0</v>
          </cell>
          <cell r="U50">
            <v>73</v>
          </cell>
          <cell r="V50">
            <v>71</v>
          </cell>
          <cell r="W50" t="str">
            <v>다양한 원단과 제품을 360도 3D 이미지화 하고 이를 모델링 하여 뷰어화 하는 면에서 기존 다양한 AI나 모델링 tool과의 차이점이 잘 설명되어져 있다. 다만, AI를 활용한다면 2D제품의 이미지만 가지고 3D의 입체이미지를 구현할 수 있는 시대에서, 기존의 해외 제품들과의 차이점이나 기술성에의 우수성 면에서는 다소 아쉬운 점이 있다</v>
          </cell>
        </row>
        <row r="51">
          <cell r="B51">
            <v>20407919</v>
          </cell>
          <cell r="C51" t="str">
            <v>지역기반</v>
          </cell>
          <cell r="D51" t="str">
            <v>화공ㆍ섬유</v>
          </cell>
          <cell r="E51" t="str">
            <v>세제를 함유하고 간편한 일회용 건식 수세미</v>
          </cell>
          <cell r="F51" t="str">
            <v>195,000,000</v>
          </cell>
          <cell r="G51" t="str">
            <v>0</v>
          </cell>
          <cell r="H51" t="str">
            <v>초기</v>
          </cell>
          <cell r="I51" t="str">
            <v>중장년</v>
          </cell>
          <cell r="J51">
            <v>0</v>
          </cell>
          <cell r="K51">
            <v>9</v>
          </cell>
          <cell r="L51">
            <v>8</v>
          </cell>
          <cell r="M51">
            <v>18</v>
          </cell>
          <cell r="N51">
            <v>13</v>
          </cell>
          <cell r="O51">
            <v>7</v>
          </cell>
          <cell r="P51">
            <v>6</v>
          </cell>
          <cell r="Q51">
            <v>12</v>
          </cell>
          <cell r="R51">
            <v>4</v>
          </cell>
          <cell r="S51">
            <v>77</v>
          </cell>
          <cell r="T51">
            <v>0</v>
          </cell>
          <cell r="U51">
            <v>77</v>
          </cell>
          <cell r="V51">
            <v>50</v>
          </cell>
          <cell r="W51" t="str">
            <v>일회용 제품이기는 하나 별도 세제사용이 어려운 환경에서나 다양한 세정성을 부여할 수 있다는 차별성 부분에서 잘 정리되어져 있다. 다만, 일회용 수세미가 충분히 유통되고 있는 시장의 특성상 마찬가지로 친환경적인 이미지를 가지기 어려우며, 적극적인 시장진출을 위해서는 개발제품이 기존 타 제품대비 세정성의 기능면이나 환경면에서 우수한 장점이 보완되어야 한다.</v>
          </cell>
        </row>
        <row r="52">
          <cell r="B52">
            <v>20408878</v>
          </cell>
          <cell r="C52" t="str">
            <v>지역기반</v>
          </cell>
          <cell r="D52" t="str">
            <v>화공ㆍ섬유</v>
          </cell>
          <cell r="E52" t="str">
            <v>HERMEN – Preserve Line [스킨 케어 브랜드 (화장품)]</v>
          </cell>
          <cell r="F52" t="str">
            <v>0</v>
          </cell>
          <cell r="G52" t="str">
            <v>1</v>
          </cell>
          <cell r="H52" t="str">
            <v>초기</v>
          </cell>
          <cell r="I52" t="str">
            <v>중장년</v>
          </cell>
          <cell r="J52">
            <v>0</v>
          </cell>
          <cell r="K52">
            <v>7</v>
          </cell>
          <cell r="L52">
            <v>9</v>
          </cell>
          <cell r="M52">
            <v>12</v>
          </cell>
          <cell r="N52">
            <v>13</v>
          </cell>
          <cell r="O52">
            <v>6</v>
          </cell>
          <cell r="P52">
            <v>6</v>
          </cell>
          <cell r="Q52">
            <v>11</v>
          </cell>
          <cell r="R52">
            <v>4</v>
          </cell>
          <cell r="S52">
            <v>68</v>
          </cell>
          <cell r="T52">
            <v>0</v>
          </cell>
          <cell r="U52">
            <v>68</v>
          </cell>
          <cell r="V52">
            <v>86</v>
          </cell>
          <cell r="W52" t="str">
            <v>기능성 뷰티제품에 대한 시장의 필요성과 그 공략방향의 차별성 및 아마존 등의 대형 유통망을 활용한 시장진출 계획 등은 잘 설명되어져 있다. 다만, 경쟁이 매우 치열한 K-뷰터 시장에서 해외시장 공략을 위한 실제 제품의 성능과 인체의 유해성 부분에 대해 충분히 검증되어지고 있는지 확인이 어려우며 어떤방식으로 성능을 확보할 지에 대한 기술적인 부분에 대해 보완이 필요하다</v>
          </cell>
        </row>
        <row r="53">
          <cell r="B53">
            <v>20409143</v>
          </cell>
          <cell r="C53" t="str">
            <v>지역기반</v>
          </cell>
          <cell r="D53" t="str">
            <v>화공ㆍ섬유</v>
          </cell>
          <cell r="E53" t="str">
            <v>N52 등급 자성 결합 기술과 하이브리드 소재 공정을 적용한 맥세이프 부착형 프리미엄 립 케어 모듈 개발</v>
          </cell>
          <cell r="F53" t="str">
            <v>0</v>
          </cell>
          <cell r="G53" t="str">
            <v>3</v>
          </cell>
          <cell r="H53" t="str">
            <v>초기</v>
          </cell>
          <cell r="I53" t="str">
            <v>중장년</v>
          </cell>
          <cell r="J53">
            <v>0</v>
          </cell>
          <cell r="K53">
            <v>7</v>
          </cell>
          <cell r="L53">
            <v>6</v>
          </cell>
          <cell r="M53">
            <v>13</v>
          </cell>
          <cell r="N53">
            <v>12</v>
          </cell>
          <cell r="O53">
            <v>6</v>
          </cell>
          <cell r="P53">
            <v>6</v>
          </cell>
          <cell r="Q53">
            <v>12</v>
          </cell>
          <cell r="R53">
            <v>3</v>
          </cell>
          <cell r="S53">
            <v>65</v>
          </cell>
          <cell r="T53">
            <v>0</v>
          </cell>
          <cell r="U53">
            <v>65</v>
          </cell>
          <cell r="V53">
            <v>108</v>
          </cell>
          <cell r="W53" t="str">
            <v>맥세이프 기술을 활용한 코스메틱과의 결합이라는 새로운 아이디어가 돋보이며, 이에 대한 디자인이나 기능성면에서는 충분히 잘 설명되어져 있다. 다만, 맥세이프가 대중적으로 활용되고 있는 기술이라 하더라도 이러한 제품의 시장이 립밤의 시장력과 동일하다고 판단되기 어려우며, 활용성외에 고객이 느끼는 실질적인 장점이 드러나 있지 않은 부분이 다소 아쉽게 판단된다</v>
          </cell>
        </row>
        <row r="54">
          <cell r="B54">
            <v>20410189</v>
          </cell>
          <cell r="C54" t="str">
            <v>지역기반</v>
          </cell>
          <cell r="D54" t="str">
            <v>화공ㆍ섬유</v>
          </cell>
          <cell r="E54" t="str">
            <v>모듈형 교체식 관절 연동 체결 기술을 적용한 소프트 스윔베이트 (Soft Swim Bait Incorporating Modular Interchangeable Articulated Joint Coupling Technology)</v>
          </cell>
          <cell r="F54" t="str">
            <v>156,016,299</v>
          </cell>
          <cell r="G54" t="str">
            <v>1</v>
          </cell>
          <cell r="H54" t="str">
            <v>초기</v>
          </cell>
          <cell r="I54" t="str">
            <v>중장년</v>
          </cell>
          <cell r="J54">
            <v>0</v>
          </cell>
          <cell r="K54">
            <v>8</v>
          </cell>
          <cell r="L54">
            <v>8</v>
          </cell>
          <cell r="M54">
            <v>18</v>
          </cell>
          <cell r="N54">
            <v>17</v>
          </cell>
          <cell r="O54">
            <v>9</v>
          </cell>
          <cell r="P54">
            <v>7</v>
          </cell>
          <cell r="Q54">
            <v>15</v>
          </cell>
          <cell r="R54">
            <v>4</v>
          </cell>
          <cell r="S54">
            <v>86</v>
          </cell>
          <cell r="T54">
            <v>0</v>
          </cell>
          <cell r="U54">
            <v>86</v>
          </cell>
          <cell r="V54">
            <v>20</v>
          </cell>
          <cell r="W54" t="str">
            <v>기존의 하드베이트 이상의 소프트 베이트 모듈결합형 제품 개발을 통해 루어낚시 시장의 제품시장 확대와 이를 위한 기술력 및 마케팅 능력등에 대해 충분히 잘 설명되어져 있다. 다만, 기존 해외제품들의 성능과 기술력이 포화된 HIGH END 시장의 빠른 진입을 위해서는 시장에서의 성능대비 가격경쟁력 확보와 다양한 온라인에서의 홍보채널망을 통해 해외시장의 진출이 우선검토되어야 할 것이다</v>
          </cell>
        </row>
        <row r="55">
          <cell r="B55">
            <v>20411654</v>
          </cell>
          <cell r="C55" t="str">
            <v>지역기반</v>
          </cell>
          <cell r="D55" t="str">
            <v>화공ㆍ섬유</v>
          </cell>
          <cell r="E55" t="str">
            <v>여성 착용 편안성을 개선한 기능성 심리스 브라 및 언더웨어 제품 개발 사업</v>
          </cell>
          <cell r="F55" t="str">
            <v>230,000,000</v>
          </cell>
          <cell r="G55" t="str">
            <v>3</v>
          </cell>
          <cell r="H55" t="str">
            <v>초기</v>
          </cell>
          <cell r="I55" t="str">
            <v>중장년</v>
          </cell>
          <cell r="J55">
            <v>0</v>
          </cell>
          <cell r="K55">
            <v>6</v>
          </cell>
          <cell r="L55">
            <v>5</v>
          </cell>
          <cell r="M55">
            <v>13</v>
          </cell>
          <cell r="N55">
            <v>14</v>
          </cell>
          <cell r="O55">
            <v>6</v>
          </cell>
          <cell r="P55">
            <v>4</v>
          </cell>
          <cell r="Q55">
            <v>11</v>
          </cell>
          <cell r="R55">
            <v>4</v>
          </cell>
          <cell r="S55">
            <v>63</v>
          </cell>
          <cell r="T55">
            <v>0</v>
          </cell>
          <cell r="U55">
            <v>63</v>
          </cell>
          <cell r="V55">
            <v>113</v>
          </cell>
          <cell r="W55" t="str">
            <v>다양한 인체의 바디감을 고려한 customized 제품에 대한 기획방향과 이에 대한 사업설명이 잘 이루어져 있다. 다만, 해당기능을 하는 기능성 구조의 언더웨어들이 이미 시장에 유통되고 있으며, 이러한 경쟁자들과의 제품 차별성 등이 나타나져 있지 않아 다소 아쉬운 부분이 있다. 이미 매출을 통해 해당 시장에 진입하고 있는 만큼 품질에 대한 우위성이나 시장경쟁력에 대해 보완되어져야 한다.</v>
          </cell>
        </row>
        <row r="56">
          <cell r="B56">
            <v>20411886</v>
          </cell>
          <cell r="C56" t="str">
            <v>지역기반</v>
          </cell>
          <cell r="D56" t="str">
            <v>화공ㆍ섬유</v>
          </cell>
          <cell r="E56" t="str">
            <v>마이크로에센셜 포물러 기술이 적용된 패밀리 더마 웰니스 바디케어 키트 개발</v>
          </cell>
          <cell r="F56" t="str">
            <v>40,000,000</v>
          </cell>
          <cell r="G56" t="str">
            <v>0</v>
          </cell>
          <cell r="H56" t="str">
            <v>초기</v>
          </cell>
          <cell r="I56" t="str">
            <v>중장년</v>
          </cell>
          <cell r="J56">
            <v>0</v>
          </cell>
          <cell r="K56">
            <v>6</v>
          </cell>
          <cell r="L56">
            <v>7</v>
          </cell>
          <cell r="M56">
            <v>18</v>
          </cell>
          <cell r="N56">
            <v>15</v>
          </cell>
          <cell r="O56">
            <v>7</v>
          </cell>
          <cell r="P56">
            <v>7</v>
          </cell>
          <cell r="Q56">
            <v>14</v>
          </cell>
          <cell r="R56">
            <v>4</v>
          </cell>
          <cell r="S56">
            <v>78</v>
          </cell>
          <cell r="T56">
            <v>0</v>
          </cell>
          <cell r="U56">
            <v>78</v>
          </cell>
          <cell r="V56">
            <v>45</v>
          </cell>
          <cell r="W56" t="str">
            <v>영유아등을 위한 민감성 피부의 전반적인 솔루션 제품을 개발하고자 하는 부분과 이에 대한 기초능력은 충분히 잘 설명되어져 있다. 다만, 이러한 제품들에 대한 성능과 기존제품들과의 차별성 그리고 기존 경쟁자들 대비 우위를 점하기 위한 시장경쟁력 부분에 대한 보완이 필요하다</v>
          </cell>
        </row>
        <row r="57">
          <cell r="B57">
            <v>20412771</v>
          </cell>
          <cell r="C57" t="str">
            <v>지역기반</v>
          </cell>
          <cell r="D57" t="str">
            <v>화공ㆍ섬유</v>
          </cell>
          <cell r="E57" t="str">
            <v>고온 향 유지 기반 1인 가구 맞춤형 원스톱 조미료 제조 사업</v>
          </cell>
          <cell r="F57" t="str">
            <v>148,994,539</v>
          </cell>
          <cell r="G57" t="str">
            <v>1</v>
          </cell>
          <cell r="H57" t="str">
            <v>초기</v>
          </cell>
          <cell r="I57" t="str">
            <v>청년</v>
          </cell>
          <cell r="J57">
            <v>0</v>
          </cell>
          <cell r="K57">
            <v>9</v>
          </cell>
          <cell r="L57">
            <v>7</v>
          </cell>
          <cell r="M57">
            <v>18</v>
          </cell>
          <cell r="N57">
            <v>16</v>
          </cell>
          <cell r="O57">
            <v>7</v>
          </cell>
          <cell r="P57">
            <v>6</v>
          </cell>
          <cell r="Q57">
            <v>13</v>
          </cell>
          <cell r="R57">
            <v>4</v>
          </cell>
          <cell r="S57">
            <v>80</v>
          </cell>
          <cell r="T57">
            <v>2</v>
          </cell>
          <cell r="U57">
            <v>82</v>
          </cell>
          <cell r="V57">
            <v>37</v>
          </cell>
          <cell r="W57" t="str">
            <v>개인화 되어가는 최근 시장의 흐름에 맞춤형인 신규 아이템의 발굴과 자사 유튜브 등의 운영으로 충분한 검증data등을 가지고 있는 부분이 잘 설명되어져 있다. 제품이 개발된다면 충분한 홍보효과나 마케팅의 능력은 갖춘것으로 판단된다. 다만, 1인가구나 유튜브를 보는 고객층이 소비자로 이어진다는 판단은 섣부르며, 경쟁사 제품대비 향과 실온에서 보관가능하다는 차이점은 있으나 시장경쟁력을 확보한다는 부분의 추가적인 설명의 보완이 필요하다</v>
          </cell>
        </row>
        <row r="58">
          <cell r="B58">
            <v>20413602</v>
          </cell>
          <cell r="C58" t="str">
            <v>지역기반</v>
          </cell>
          <cell r="D58" t="str">
            <v>화공ㆍ섬유</v>
          </cell>
          <cell r="E58" t="str">
            <v>인플루언서 팬덤을 매출로 전환하는 제조 기반 커머스 플랫폼</v>
          </cell>
          <cell r="F58" t="str">
            <v>300,000,000</v>
          </cell>
          <cell r="G58" t="str">
            <v>3</v>
          </cell>
          <cell r="H58" t="str">
            <v>초기</v>
          </cell>
          <cell r="I58" t="str">
            <v>청년</v>
          </cell>
          <cell r="J58">
            <v>0</v>
          </cell>
          <cell r="K58">
            <v>8</v>
          </cell>
          <cell r="L58">
            <v>6</v>
          </cell>
          <cell r="M58">
            <v>19</v>
          </cell>
          <cell r="N58">
            <v>13</v>
          </cell>
          <cell r="O58">
            <v>6</v>
          </cell>
          <cell r="P58">
            <v>9</v>
          </cell>
          <cell r="Q58">
            <v>15</v>
          </cell>
          <cell r="R58">
            <v>5</v>
          </cell>
          <cell r="S58">
            <v>81</v>
          </cell>
          <cell r="T58">
            <v>0</v>
          </cell>
          <cell r="U58">
            <v>81</v>
          </cell>
          <cell r="V58">
            <v>41</v>
          </cell>
          <cell r="W58" t="str">
            <v>제조를 기반으로 하여 인플루언서등을 통해 소비층에게 홍보되는 제조기반 어패럴 토탈 솔루션을 제시하고 있으며, 이에 대한 설명이 자세하게 이루어지고 있다는 면에서 매우 우수하다. 그리고 현재 제조기반의 설비를 갖추고 있어 제조역량도 확인할 수 있다. 다만, 제품의 품질면이나 기존의 홍보채널과의 차이점등은 관찰하기 어려운 부분이 있어 보완이 필요하다.</v>
          </cell>
        </row>
        <row r="59">
          <cell r="B59">
            <v>20413912</v>
          </cell>
          <cell r="C59" t="str">
            <v>지역기반</v>
          </cell>
          <cell r="D59" t="str">
            <v>화공ㆍ섬유</v>
          </cell>
          <cell r="E59" t="str">
            <v>20만건 퍼스널컬러 진단 데이터를 기반으로 메이크업·패션 제품을 개인 맞춤 추천하는 AI 연계형 K-뷰티 글로벌 플랫폼</v>
          </cell>
          <cell r="F59" t="str">
            <v>1,563,403,436</v>
          </cell>
          <cell r="G59" t="str">
            <v>11</v>
          </cell>
          <cell r="H59" t="str">
            <v>초기</v>
          </cell>
          <cell r="I59" t="str">
            <v>중장년</v>
          </cell>
          <cell r="J59">
            <v>0</v>
          </cell>
          <cell r="K59">
            <v>9</v>
          </cell>
          <cell r="L59">
            <v>8</v>
          </cell>
          <cell r="M59">
            <v>18</v>
          </cell>
          <cell r="N59">
            <v>15</v>
          </cell>
          <cell r="O59">
            <v>6</v>
          </cell>
          <cell r="P59">
            <v>6</v>
          </cell>
          <cell r="Q59">
            <v>12</v>
          </cell>
          <cell r="R59">
            <v>4</v>
          </cell>
          <cell r="S59">
            <v>78</v>
          </cell>
          <cell r="T59">
            <v>0</v>
          </cell>
          <cell r="U59">
            <v>78</v>
          </cell>
          <cell r="V59">
            <v>45</v>
          </cell>
          <cell r="W59" t="str">
            <v>기존시장의 면밀한 구조적 분석과 충분히 검증된 많은 data를 통해 솔루션을 제공하고자 한다는 부분의 내용이 전반적으로 잘 설명되어져 있다. 다만, 실제 구현되는 컬러와 온라인 상에서의 컬러가 차이가 있으며 이런 문제점들을 극복하기 위한 기술적 방안의 설명에 대해 보완이 필요하다.</v>
          </cell>
        </row>
        <row r="60">
          <cell r="B60">
            <v>20414538</v>
          </cell>
          <cell r="C60" t="str">
            <v>지역기반</v>
          </cell>
          <cell r="D60" t="str">
            <v>화공ㆍ섬유</v>
          </cell>
          <cell r="E60" t="str">
            <v>콘텐츠 반응 데이터 기반 소비자 니즈 분석을 통한 PB 제품 개발 및 운영 프로세스 기술 개발</v>
          </cell>
          <cell r="F60" t="str">
            <v>2,714,536,481</v>
          </cell>
          <cell r="G60" t="str">
            <v>11</v>
          </cell>
          <cell r="H60" t="str">
            <v>초기</v>
          </cell>
          <cell r="I60" t="str">
            <v>청년</v>
          </cell>
          <cell r="J60">
            <v>0</v>
          </cell>
          <cell r="K60">
            <v>8</v>
          </cell>
          <cell r="L60">
            <v>9</v>
          </cell>
          <cell r="M60">
            <v>18</v>
          </cell>
          <cell r="N60">
            <v>18</v>
          </cell>
          <cell r="O60">
            <v>8</v>
          </cell>
          <cell r="P60">
            <v>9</v>
          </cell>
          <cell r="Q60">
            <v>14</v>
          </cell>
          <cell r="R60">
            <v>5</v>
          </cell>
          <cell r="S60">
            <v>89</v>
          </cell>
          <cell r="T60">
            <v>0</v>
          </cell>
          <cell r="U60">
            <v>89</v>
          </cell>
          <cell r="V60">
            <v>7</v>
          </cell>
          <cell r="W60" t="str">
            <v>창업동기와 문제인식은 비교적 명확하게 제시되어 있다. 시장에 대한 규모와 통합된 일원화 솔루션으로 시장의 feedback이 즉시 반영될 수 있는 기반도 잘 구축되어져 있다. 다만 뷰티 제품인만큼 안정성과 위해성에 대한 객관적인 검증에 대한 보완이 필요하다</v>
          </cell>
        </row>
        <row r="61">
          <cell r="B61">
            <v>20414836</v>
          </cell>
          <cell r="C61" t="str">
            <v>지역기반</v>
          </cell>
          <cell r="D61" t="str">
            <v>화공ㆍ섬유</v>
          </cell>
          <cell r="E61" t="str">
            <v>백리향 기반 pH 중화 기술을 적용한 친환경 섬유유연제</v>
          </cell>
          <cell r="F61" t="str">
            <v>90,000,000</v>
          </cell>
          <cell r="G61" t="str">
            <v>0</v>
          </cell>
          <cell r="H61" t="str">
            <v>초기</v>
          </cell>
          <cell r="I61" t="str">
            <v>중장년</v>
          </cell>
          <cell r="J61">
            <v>0</v>
          </cell>
          <cell r="K61">
            <v>9</v>
          </cell>
          <cell r="L61">
            <v>3</v>
          </cell>
          <cell r="M61">
            <v>13</v>
          </cell>
          <cell r="N61">
            <v>15</v>
          </cell>
          <cell r="O61">
            <v>7</v>
          </cell>
          <cell r="P61">
            <v>5</v>
          </cell>
          <cell r="Q61">
            <v>13</v>
          </cell>
          <cell r="R61">
            <v>3</v>
          </cell>
          <cell r="S61">
            <v>68</v>
          </cell>
          <cell r="T61">
            <v>0</v>
          </cell>
          <cell r="U61">
            <v>68</v>
          </cell>
          <cell r="V61">
            <v>86</v>
          </cell>
          <cell r="W61" t="str">
            <v>다양한 알레르기 및 피부질환등을 야기할 수 있는 화학세제 및 섬유유연제를 대체하기 위한 창업아이템으로 개발하고자 하는 부분의 정의와 기존 제품들과의 차이점, 시장성 등에 대해 잘 설명되어져 있다. 다만, 기존 제품들과의 차별성을 가지는 개발제품이 어느정도 효용성이 있는지 나타나 있지 않아 보완할 필요가 있으며, 현재 매출이 있는 제품과의 연계성이 충분치 못해 보이는 아쉬움이 있다</v>
          </cell>
        </row>
        <row r="62">
          <cell r="B62">
            <v>20415499</v>
          </cell>
          <cell r="C62" t="str">
            <v>지역기반</v>
          </cell>
          <cell r="D62" t="str">
            <v>화공ㆍ섬유</v>
          </cell>
          <cell r="E62" t="str">
            <v>초고속 냉연/도금 강판 생산 라인을 위한 반응형 초계면(Super-Interface) 탈지제</v>
          </cell>
          <cell r="F62" t="str">
            <v>504,000,000</v>
          </cell>
          <cell r="G62" t="str">
            <v>1</v>
          </cell>
          <cell r="H62" t="str">
            <v>초기</v>
          </cell>
          <cell r="I62" t="str">
            <v>청년</v>
          </cell>
          <cell r="J62">
            <v>0</v>
          </cell>
          <cell r="K62">
            <v>10</v>
          </cell>
          <cell r="L62">
            <v>10</v>
          </cell>
          <cell r="M62">
            <v>20</v>
          </cell>
          <cell r="N62">
            <v>18</v>
          </cell>
          <cell r="O62">
            <v>9</v>
          </cell>
          <cell r="P62">
            <v>9</v>
          </cell>
          <cell r="Q62">
            <v>15</v>
          </cell>
          <cell r="R62">
            <v>3</v>
          </cell>
          <cell r="S62">
            <v>94</v>
          </cell>
          <cell r="T62">
            <v>0</v>
          </cell>
          <cell r="U62">
            <v>94</v>
          </cell>
          <cell r="V62">
            <v>1</v>
          </cell>
          <cell r="W62" t="str">
            <v>기존 탈지 공정의 한계를 명확히 제시하고 이를 극복하기 위한 세부기술의 부분까지 상세히 설명되어져 있으며, 대표자의 기술력과 개발하고자 하는 기술의 시장성을 충분히 설명하고 있다. 초단시간 탈지 기술을 활용하여 기존 기술의 한계인 생산성을 혁신할 수 있는 기술력이 있음이 잘 나타나 있는 사업계획서이다</v>
          </cell>
        </row>
        <row r="63">
          <cell r="B63">
            <v>20416443</v>
          </cell>
          <cell r="C63" t="str">
            <v>지역기반</v>
          </cell>
          <cell r="D63" t="str">
            <v>화공ㆍ섬유</v>
          </cell>
          <cell r="E63" t="str">
            <v>고해상도 DFSR(Dry Film Solder Resist) 제조기술 개발</v>
          </cell>
          <cell r="F63" t="str">
            <v>250,000,000</v>
          </cell>
          <cell r="G63" t="str">
            <v>2</v>
          </cell>
          <cell r="H63" t="str">
            <v>초기</v>
          </cell>
          <cell r="I63" t="str">
            <v>중장년</v>
          </cell>
          <cell r="J63">
            <v>0</v>
          </cell>
          <cell r="K63">
            <v>9</v>
          </cell>
          <cell r="L63">
            <v>9</v>
          </cell>
          <cell r="M63">
            <v>18</v>
          </cell>
          <cell r="N63">
            <v>19</v>
          </cell>
          <cell r="O63">
            <v>9</v>
          </cell>
          <cell r="P63">
            <v>9</v>
          </cell>
          <cell r="Q63">
            <v>14</v>
          </cell>
          <cell r="R63">
            <v>5</v>
          </cell>
          <cell r="S63">
            <v>92</v>
          </cell>
          <cell r="T63">
            <v>0</v>
          </cell>
          <cell r="U63">
            <v>92</v>
          </cell>
          <cell r="V63">
            <v>3</v>
          </cell>
          <cell r="W63" t="str">
            <v>기존 2액형으로 사용되어 사용직전 배합해 사용해야 하는 불편함과 냉장보관해야 하는 문제점 등에 대해 정확히 인지하고, 이를 극복하기 위한 1액형 제품에 대한 검증까지 이루어진 단계로 그 기술력과 사업성에 대해 충분히 설명하고 있다. 다만 1액형의 특성상 초기 대비 사용기한(ex.6개월)이 다가올수록 품질의 저하가 예상되며, 이에 대한 검증이 필요하다</v>
          </cell>
        </row>
        <row r="64">
          <cell r="B64">
            <v>20416549</v>
          </cell>
          <cell r="C64" t="str">
            <v>지역기반</v>
          </cell>
          <cell r="D64" t="str">
            <v>화공ㆍ섬유</v>
          </cell>
          <cell r="E64" t="str">
            <v>특허 기반 3중 레이어 기술 적용 보습 패드팩 개발 및 글로벌 진출</v>
          </cell>
          <cell r="F64" t="str">
            <v>203,000,000</v>
          </cell>
          <cell r="G64" t="str">
            <v>3</v>
          </cell>
          <cell r="H64" t="str">
            <v>초기</v>
          </cell>
          <cell r="I64" t="str">
            <v>청년</v>
          </cell>
          <cell r="J64">
            <v>0</v>
          </cell>
          <cell r="K64">
            <v>8</v>
          </cell>
          <cell r="L64">
            <v>7</v>
          </cell>
          <cell r="M64">
            <v>18</v>
          </cell>
          <cell r="N64">
            <v>18</v>
          </cell>
          <cell r="O64">
            <v>8</v>
          </cell>
          <cell r="P64">
            <v>7</v>
          </cell>
          <cell r="Q64">
            <v>13</v>
          </cell>
          <cell r="R64">
            <v>4</v>
          </cell>
          <cell r="S64">
            <v>83</v>
          </cell>
          <cell r="T64">
            <v>2</v>
          </cell>
          <cell r="U64">
            <v>85</v>
          </cell>
          <cell r="V64">
            <v>27</v>
          </cell>
          <cell r="W64" t="str">
            <v>건성피부 관리 솔루션을 위해 토너패드와 마스크팩을 결합한 제품에 충분한 시장반응과 특허 및 상표권의 획득이고 임상평가를 앞두고 있는 창업아이템에 대해 충분히 잘 설명되어져 있음. 다만, 미국 FDA승인이 협약기간내 진행될수 있을지 불투명하며, 2026년 매출 5억 달성을 위한 구체적인 방안이 특정되어져 있지 않아 보완이 필요하다</v>
          </cell>
        </row>
        <row r="65">
          <cell r="B65">
            <v>20417276</v>
          </cell>
          <cell r="C65" t="str">
            <v>지역기반</v>
          </cell>
          <cell r="D65" t="str">
            <v>화공ㆍ섬유</v>
          </cell>
          <cell r="E65" t="str">
            <v>AI기술이 적용된 수면 피부 맞춤 침구 솔루션 제품 서비스</v>
          </cell>
          <cell r="F65" t="str">
            <v>20,000,000</v>
          </cell>
          <cell r="G65" t="str">
            <v>2</v>
          </cell>
          <cell r="H65" t="str">
            <v>초기</v>
          </cell>
          <cell r="I65" t="str">
            <v>중장년</v>
          </cell>
          <cell r="J65">
            <v>0</v>
          </cell>
          <cell r="K65">
            <v>7</v>
          </cell>
          <cell r="L65">
            <v>7</v>
          </cell>
          <cell r="M65">
            <v>15</v>
          </cell>
          <cell r="N65">
            <v>13</v>
          </cell>
          <cell r="O65">
            <v>6</v>
          </cell>
          <cell r="P65">
            <v>5</v>
          </cell>
          <cell r="Q65">
            <v>10</v>
          </cell>
          <cell r="R65">
            <v>4</v>
          </cell>
          <cell r="S65">
            <v>67</v>
          </cell>
          <cell r="T65">
            <v>0</v>
          </cell>
          <cell r="U65">
            <v>67</v>
          </cell>
          <cell r="V65">
            <v>95</v>
          </cell>
          <cell r="W65" t="str">
            <v>AI관찰 및 분석기술과 침구 소재를 연결하여 개인맞춤형 침구 솔루션 서비스를 제공하기 위한 창업아이템으로 현재의 문제점과 개발아이템의 시장성 등에 대한 분석이 잘 이루어져 있다. 다만, 설문과 촬영을 통한 분석은 AI를 활용하더라도 통계처리 이상의 효과를 보기 어려우며, 이를 통한 개인맞춤형 솔루션과의 로직이 충분하지 않아 보이는 부분등의 보완이 필요하다</v>
          </cell>
        </row>
        <row r="66">
          <cell r="B66">
            <v>20417321</v>
          </cell>
          <cell r="C66" t="str">
            <v>지역기반</v>
          </cell>
          <cell r="D66" t="str">
            <v>화공ㆍ섬유</v>
          </cell>
          <cell r="E66" t="str">
            <v>롤러형먼지크리너겸용방충포집기</v>
          </cell>
          <cell r="F66" t="str">
            <v>10,880,000</v>
          </cell>
          <cell r="G66" t="str">
            <v>0</v>
          </cell>
          <cell r="H66" t="str">
            <v>초기</v>
          </cell>
          <cell r="I66" t="str">
            <v>중장년</v>
          </cell>
          <cell r="J66">
            <v>0</v>
          </cell>
          <cell r="K66">
            <v>5</v>
          </cell>
          <cell r="L66">
            <v>5</v>
          </cell>
          <cell r="M66">
            <v>18</v>
          </cell>
          <cell r="N66">
            <v>17</v>
          </cell>
          <cell r="O66">
            <v>6</v>
          </cell>
          <cell r="P66">
            <v>6</v>
          </cell>
          <cell r="Q66">
            <v>13</v>
          </cell>
          <cell r="R66">
            <v>3</v>
          </cell>
          <cell r="S66">
            <v>73</v>
          </cell>
          <cell r="T66">
            <v>0</v>
          </cell>
          <cell r="U66">
            <v>73</v>
          </cell>
          <cell r="V66">
            <v>71</v>
          </cell>
          <cell r="W66" t="str">
            <v>롤러형 먼지크리너를 겸한 방충 포집기를 창업아이템으로 하여 개발아이템에 대한 성능과 기술을 충분히 설명하고 있다. 다만, 기존 제품들과의 성능적인 비교 또는 상시관리를 위한 지속성 등의 기술비교 우위에 관련한 부분이 설명되어 있지 못하고, 실제 벌레가 포집된 상태가 그대로 외부로 노출되어 혐오가 발생할 수 있는 문제등은 개선의 여지가 있다.</v>
          </cell>
        </row>
        <row r="67">
          <cell r="B67">
            <v>20417527</v>
          </cell>
          <cell r="C67" t="str">
            <v>지역기반</v>
          </cell>
          <cell r="D67" t="str">
            <v>화공ㆍ섬유</v>
          </cell>
          <cell r="E67" t="str">
            <v>초보자도 손쉽게 제모 가능한 고기능성 슈가페이스트 및 자동 충진 제조 시스템의 사업화</v>
          </cell>
          <cell r="F67" t="str">
            <v>100,000,000</v>
          </cell>
          <cell r="G67" t="str">
            <v>1</v>
          </cell>
          <cell r="H67" t="str">
            <v>초기</v>
          </cell>
          <cell r="I67" t="str">
            <v>중장년</v>
          </cell>
          <cell r="J67">
            <v>0</v>
          </cell>
          <cell r="K67">
            <v>7</v>
          </cell>
          <cell r="L67">
            <v>6</v>
          </cell>
          <cell r="M67">
            <v>18</v>
          </cell>
          <cell r="N67">
            <v>17</v>
          </cell>
          <cell r="O67">
            <v>7</v>
          </cell>
          <cell r="P67">
            <v>5</v>
          </cell>
          <cell r="Q67">
            <v>13</v>
          </cell>
          <cell r="R67">
            <v>3</v>
          </cell>
          <cell r="S67">
            <v>76</v>
          </cell>
          <cell r="T67">
            <v>0</v>
          </cell>
          <cell r="U67">
            <v>76</v>
          </cell>
          <cell r="V67">
            <v>54</v>
          </cell>
          <cell r="W67" t="str">
            <v>손쉽게 사용할 수 있는 체모 제거용 화장품(슈가페이스트)를 창업아이템으로 하여 개발아이템에 대한 성능과 기술을 충분히 설명하고 있다. 다만, 기존 제품들과의 성능적인 비교 및 시장우위를 점하기 위한 차별적 전략등이 나타나 있지 않아 보완이 필요하며, 해당 제품의 개발은 이미 마친것으로 보이나 협약기간내에는 이미 완료된 개발제품만 산출물로 제시되어 있어 다소 아쉬운 부분이 있다.</v>
          </cell>
        </row>
        <row r="68">
          <cell r="B68">
            <v>20417598</v>
          </cell>
          <cell r="C68" t="str">
            <v>지역기반</v>
          </cell>
          <cell r="D68" t="str">
            <v>화공ㆍ섬유</v>
          </cell>
          <cell r="E68" t="str">
            <v>편리한 위생관리를 위한 건조형 음식물처리기 전용세제</v>
          </cell>
          <cell r="F68" t="str">
            <v>0</v>
          </cell>
          <cell r="G68" t="str">
            <v>0</v>
          </cell>
          <cell r="H68" t="str">
            <v>초기</v>
          </cell>
          <cell r="I68" t="str">
            <v>청년</v>
          </cell>
          <cell r="J68">
            <v>0</v>
          </cell>
          <cell r="K68">
            <v>8</v>
          </cell>
          <cell r="L68">
            <v>6</v>
          </cell>
          <cell r="M68">
            <v>15</v>
          </cell>
          <cell r="N68">
            <v>12</v>
          </cell>
          <cell r="O68">
            <v>6</v>
          </cell>
          <cell r="P68">
            <v>4</v>
          </cell>
          <cell r="Q68">
            <v>12</v>
          </cell>
          <cell r="R68">
            <v>4</v>
          </cell>
          <cell r="S68">
            <v>67</v>
          </cell>
          <cell r="T68">
            <v>0</v>
          </cell>
          <cell r="U68">
            <v>67</v>
          </cell>
          <cell r="V68">
            <v>95</v>
          </cell>
          <cell r="W68" t="str">
            <v>기존 음식물처리기 등에서 불가피하게 발생하는 기름때, 잔여물등을 세정하기 위한 전용 세정액을 창업아이템으로 하여 그 필요성이나 사업성등에 대해 잘 설명되어져 있다. 다만, 음식물처리기 판매회사와 연계하여 실제 환경을 모사한 세정능력 등에 대한 결과물들이 나타나 있지 않으며, 음식물 처리기 별로도 그 성능이 달라 동일한 세제로 동일한 성능을 구현할 수 있을지에 대한 기술적 의문에 대해 보완이 필요하다.</v>
          </cell>
        </row>
        <row r="69">
          <cell r="B69">
            <v>20417853</v>
          </cell>
          <cell r="C69" t="str">
            <v>지역기반</v>
          </cell>
          <cell r="D69" t="str">
            <v>화공ㆍ섬유</v>
          </cell>
          <cell r="E69" t="str">
            <v>AI 가상피팅 기반의 데이터 검증 및 고객 반응형 생산 D2C 패션 브랜드</v>
          </cell>
          <cell r="F69" t="str">
            <v>2,800,000</v>
          </cell>
          <cell r="G69" t="str">
            <v>0</v>
          </cell>
          <cell r="H69" t="str">
            <v>초기</v>
          </cell>
          <cell r="I69" t="str">
            <v>중장년</v>
          </cell>
          <cell r="J69">
            <v>0</v>
          </cell>
          <cell r="K69">
            <v>6</v>
          </cell>
          <cell r="L69">
            <v>6</v>
          </cell>
          <cell r="M69">
            <v>15</v>
          </cell>
          <cell r="N69">
            <v>15</v>
          </cell>
          <cell r="O69">
            <v>5</v>
          </cell>
          <cell r="P69">
            <v>5</v>
          </cell>
          <cell r="Q69">
            <v>11</v>
          </cell>
          <cell r="R69">
            <v>3</v>
          </cell>
          <cell r="S69">
            <v>66</v>
          </cell>
          <cell r="T69">
            <v>0</v>
          </cell>
          <cell r="U69">
            <v>66</v>
          </cell>
          <cell r="V69">
            <v>100</v>
          </cell>
          <cell r="W69" t="str">
            <v>AI를 활용한 가상피팅 콘텐츠를 이용하여 친환경 의류사업을 위한 창업아이템에 대해 개발을 위한 배경과 현재 시장의 문제점 등에 대해 잘 설명되어져 있다. 다만, AI 가상피팅이나 3D 모델링 등에 대한 기술들은 이미 광고, 모델시장 등에 충분히 공급되어져 가고 있으며, 본 보고서에서는 이들과의 차이점이나 시장을 극복하기 위한 기술적인 부분에 대해 설명되어져 있지 않아 보완이 필요하다.</v>
          </cell>
        </row>
        <row r="70">
          <cell r="B70">
            <v>20417978</v>
          </cell>
          <cell r="C70" t="str">
            <v>지역기반</v>
          </cell>
          <cell r="D70" t="str">
            <v>화공ㆍ섬유</v>
          </cell>
          <cell r="E70" t="str">
            <v>캡 자동닫힘 물티슈 수분건조 방지, 위생, 편의, 실용성, 혜택 서비스를 제공</v>
          </cell>
          <cell r="F70" t="str">
            <v>22,000,000</v>
          </cell>
          <cell r="G70" t="str">
            <v>3</v>
          </cell>
          <cell r="H70" t="str">
            <v>초기</v>
          </cell>
          <cell r="I70" t="str">
            <v>중장년</v>
          </cell>
          <cell r="J70">
            <v>0</v>
          </cell>
          <cell r="K70">
            <v>8</v>
          </cell>
          <cell r="L70">
            <v>8</v>
          </cell>
          <cell r="M70">
            <v>14</v>
          </cell>
          <cell r="N70">
            <v>16</v>
          </cell>
          <cell r="O70">
            <v>7</v>
          </cell>
          <cell r="P70">
            <v>6</v>
          </cell>
          <cell r="Q70">
            <v>13</v>
          </cell>
          <cell r="R70">
            <v>4</v>
          </cell>
          <cell r="S70">
            <v>76</v>
          </cell>
          <cell r="T70">
            <v>0</v>
          </cell>
          <cell r="U70">
            <v>76</v>
          </cell>
          <cell r="V70">
            <v>54</v>
          </cell>
          <cell r="W70" t="str">
            <v>기존 물티슈 시장에서 발생하기 쉬운 다양한 문제를 자동닫힘 캡을 이용하여 사업화를 하기위한 창업아이템으로 기존제품들의 문제점과 한계성에 대해 잘 설명되어져 있으며, 이미 개발관련 특허를 보유하는 등 개발역량도 충분한 것으로 보인다. 다만, 자동이라는 한계가 가지는 내구성에 대한 검증이나 닫힘시 발생할 수 있는 위해성 등에 대해 검증이 필요할 것으로 보여 보완이 필요할 것으로 보인다.</v>
          </cell>
        </row>
        <row r="71">
          <cell r="B71">
            <v>20419492</v>
          </cell>
          <cell r="C71" t="str">
            <v>지역기반</v>
          </cell>
          <cell r="D71" t="str">
            <v>화공ㆍ섬유</v>
          </cell>
          <cell r="E71" t="str">
            <v>스마트 소재와 인체공학적 보정 패턴 기술이 융합된  5060 시니어 여성 특화 데일리 캐주얼 &amp;lt;헤이린드&amp;gt;</v>
          </cell>
          <cell r="F71" t="str">
            <v>10,000,000</v>
          </cell>
          <cell r="G71" t="str">
            <v>0</v>
          </cell>
          <cell r="H71" t="str">
            <v>초기</v>
          </cell>
          <cell r="I71" t="str">
            <v>중장년</v>
          </cell>
          <cell r="J71">
            <v>0</v>
          </cell>
          <cell r="K71">
            <v>8</v>
          </cell>
          <cell r="L71">
            <v>9</v>
          </cell>
          <cell r="M71">
            <v>15</v>
          </cell>
          <cell r="N71">
            <v>15</v>
          </cell>
          <cell r="O71">
            <v>5</v>
          </cell>
          <cell r="P71">
            <v>6</v>
          </cell>
          <cell r="Q71">
            <v>13</v>
          </cell>
          <cell r="R71">
            <v>3</v>
          </cell>
          <cell r="S71">
            <v>74</v>
          </cell>
          <cell r="T71">
            <v>0</v>
          </cell>
          <cell r="U71">
            <v>74</v>
          </cell>
          <cell r="V71">
            <v>68</v>
          </cell>
          <cell r="W71" t="str">
            <v>기존의 패션시장에서 소외받는 5060갱년기 여성들을 위한 맞춤형 데일리 캐주얼 의상을 창업아이템으로 하여 기능성 소재를 결합하는 등 시장에서 요구하는 필요성과 기존 기성복들과의 차이점 등에 대해 잘 설명이 되어져 있다. 다만, 개발아이템에서 지향하고 있는 고품격 기능성 데일리 패션과 신체의 문제점을 극복하여 심미적 만족감을 주기 위한 방안으로 제시된 부분이 3D입체설계와 가봉기술로 표현되어 있으나, 이러한 방향은 기존 기성복에서 구현이 되는 기술로 차별성이 있다고 보여지지 않는 부분이 있고, customized가 제시되고 있는 시장환경에서 이를 극복할수 있는 기술적 방향이 요구되는 부분에 대해 보완이 필요하다</v>
          </cell>
        </row>
        <row r="72">
          <cell r="B72">
            <v>20419677</v>
          </cell>
          <cell r="C72" t="str">
            <v>지역기반</v>
          </cell>
          <cell r="D72" t="str">
            <v>화공ㆍ섬유</v>
          </cell>
          <cell r="E72" t="str">
            <v>오토와인더 기술이 적용된  폴리프로필렌(PP) 원사 제조 및 인공지능 공정 제어를 위한 DX</v>
          </cell>
          <cell r="F72" t="str">
            <v>237,000,000</v>
          </cell>
          <cell r="G72" t="str">
            <v>3</v>
          </cell>
          <cell r="H72" t="str">
            <v>초기</v>
          </cell>
          <cell r="I72" t="str">
            <v>청년</v>
          </cell>
          <cell r="J72">
            <v>0</v>
          </cell>
          <cell r="K72">
            <v>7</v>
          </cell>
          <cell r="L72">
            <v>6</v>
          </cell>
          <cell r="M72">
            <v>14</v>
          </cell>
          <cell r="N72">
            <v>13</v>
          </cell>
          <cell r="O72">
            <v>5</v>
          </cell>
          <cell r="P72">
            <v>6</v>
          </cell>
          <cell r="Q72">
            <v>13</v>
          </cell>
          <cell r="R72">
            <v>3</v>
          </cell>
          <cell r="S72">
            <v>67</v>
          </cell>
          <cell r="T72">
            <v>0</v>
          </cell>
          <cell r="U72">
            <v>67</v>
          </cell>
          <cell r="V72">
            <v>95</v>
          </cell>
          <cell r="W72" t="str">
            <v>기존 섬유시장에서 발생되는 문제점과 이를 극복하기 위한 오토와인더와 MES시스템의 연계를 통해 생산성 향상을 위한 창업아이템으로 전반적인 내용이 잘 설명되어져 있다. 다만, 기존에 보유중인 오토와인더 외에 이를 위한 MES 및 AI시스템들과의 연계성에서 보완이 필요하며, 수집한 공정data를 어떤방식으로 활용할지에 대해서도 불투명하게 명기되어 있는 부분이 다소 아쉽다.</v>
          </cell>
        </row>
        <row r="73">
          <cell r="B73">
            <v>20420130</v>
          </cell>
          <cell r="C73" t="str">
            <v>지역기반</v>
          </cell>
          <cell r="D73" t="str">
            <v>화공ㆍ섬유</v>
          </cell>
          <cell r="E73" t="str">
            <v>AI 지능형 위생 진단 기반의 고기능성 스마트 세정 솔루션</v>
          </cell>
          <cell r="F73" t="str">
            <v>74,945,377</v>
          </cell>
          <cell r="G73" t="str">
            <v>1</v>
          </cell>
          <cell r="H73" t="str">
            <v>초기</v>
          </cell>
          <cell r="I73" t="str">
            <v>청년</v>
          </cell>
          <cell r="J73">
            <v>0</v>
          </cell>
          <cell r="K73">
            <v>8</v>
          </cell>
          <cell r="L73">
            <v>6</v>
          </cell>
          <cell r="M73">
            <v>17</v>
          </cell>
          <cell r="N73">
            <v>15</v>
          </cell>
          <cell r="O73">
            <v>6</v>
          </cell>
          <cell r="P73">
            <v>6</v>
          </cell>
          <cell r="Q73">
            <v>14</v>
          </cell>
          <cell r="R73">
            <v>4</v>
          </cell>
          <cell r="S73">
            <v>76</v>
          </cell>
          <cell r="T73">
            <v>2</v>
          </cell>
          <cell r="U73">
            <v>78</v>
          </cell>
          <cell r="V73">
            <v>45</v>
          </cell>
          <cell r="W73" t="str">
            <v>AI위생진단 시스템과 미세입자 제어 기술 기반의 고기능성 발포세정제의 조합으로 개인별 위생관리 플랫폼을 창업아이템으로 하는 부분의 전반적인 내용이 잘 설명되어져 있다. 다만, 사업계획서 부분에는 발포세정제 개발에 대한 부분이 구체적 극복방안이 나타나 있지 않아 보완이 필요하다.</v>
          </cell>
        </row>
        <row r="74">
          <cell r="B74">
            <v>20420533</v>
          </cell>
          <cell r="C74" t="str">
            <v>지역기반</v>
          </cell>
          <cell r="D74" t="str">
            <v>화공ㆍ섬유</v>
          </cell>
          <cell r="E74" t="str">
            <v>소가죽 용접복의 문제점 해결 가능한 &amp;quot;재생가죽 용접복&amp;quot;</v>
          </cell>
          <cell r="F74" t="str">
            <v>35,000,000</v>
          </cell>
          <cell r="G74" t="str">
            <v>0</v>
          </cell>
          <cell r="H74" t="str">
            <v>초기</v>
          </cell>
          <cell r="I74" t="str">
            <v>중장년</v>
          </cell>
          <cell r="J74">
            <v>0</v>
          </cell>
          <cell r="K74">
            <v>8</v>
          </cell>
          <cell r="L74">
            <v>6</v>
          </cell>
          <cell r="M74">
            <v>18</v>
          </cell>
          <cell r="N74">
            <v>14</v>
          </cell>
          <cell r="O74">
            <v>6</v>
          </cell>
          <cell r="P74">
            <v>6</v>
          </cell>
          <cell r="Q74">
            <v>14</v>
          </cell>
          <cell r="R74">
            <v>4</v>
          </cell>
          <cell r="S74">
            <v>76</v>
          </cell>
          <cell r="T74">
            <v>0</v>
          </cell>
          <cell r="U74">
            <v>76</v>
          </cell>
          <cell r="V74">
            <v>54</v>
          </cell>
          <cell r="W74" t="str">
            <v>기존의 소가죽으로 된 용접복의 한계와 대체가 필요한 부분에 대해 잘 설명되어져 있다. 다만, 재생가죽 원단으로 구성된 작업복의 성능이나 효용성이 기존제품대비 어떠한지, 개발아이템의 주 원료인 재생가죽의 확보방안은 무엇인지 등에 대해 구체적으로 설명되어져 있지 않아 이에 대해 보완이 필요하다</v>
          </cell>
        </row>
        <row r="75">
          <cell r="B75">
            <v>20420970</v>
          </cell>
          <cell r="C75" t="str">
            <v>지역기반</v>
          </cell>
          <cell r="D75" t="str">
            <v>화공ㆍ섬유</v>
          </cell>
          <cell r="E75" t="str">
            <v>Zero-Sticky 왁싱 리페어 에센스</v>
          </cell>
          <cell r="F75" t="str">
            <v>0</v>
          </cell>
          <cell r="G75" t="str">
            <v>1</v>
          </cell>
          <cell r="H75" t="str">
            <v>초기</v>
          </cell>
          <cell r="I75" t="str">
            <v>청년</v>
          </cell>
          <cell r="J75">
            <v>0</v>
          </cell>
          <cell r="K75">
            <v>8</v>
          </cell>
          <cell r="L75">
            <v>5</v>
          </cell>
          <cell r="M75">
            <v>14</v>
          </cell>
          <cell r="N75">
            <v>13</v>
          </cell>
          <cell r="O75">
            <v>6</v>
          </cell>
          <cell r="P75">
            <v>5</v>
          </cell>
          <cell r="Q75">
            <v>12</v>
          </cell>
          <cell r="R75">
            <v>3</v>
          </cell>
          <cell r="S75">
            <v>66</v>
          </cell>
          <cell r="T75">
            <v>2</v>
          </cell>
          <cell r="U75">
            <v>68</v>
          </cell>
          <cell r="V75">
            <v>86</v>
          </cell>
          <cell r="W75" t="str">
            <v>기존 제모시장에서 발생할 수 있는 피부 문제와 트러블을 해결하기 위한 왁싱 에센스의 개발을 창업아이템으로 하여 그 시장성과 필요성 등에 대해 잘 설명되어져 있다. 다만, 기존에 사용중인 다양한 제품들에 대한 비교군의 설정 및 품질의 비교, 실제 왁싱시장에서 발생하는 문제점에 대한 data수집 등 보완할 필요가 있다.</v>
          </cell>
        </row>
        <row r="76">
          <cell r="B76">
            <v>20421819</v>
          </cell>
          <cell r="C76" t="str">
            <v>지역기반</v>
          </cell>
          <cell r="D76" t="str">
            <v>화공ㆍ섬유</v>
          </cell>
          <cell r="E76" t="str">
            <v>노령견 피부장벽 예방 기능성 케어 크림 개발</v>
          </cell>
          <cell r="F76" t="str">
            <v>385,902</v>
          </cell>
          <cell r="G76" t="str">
            <v>0</v>
          </cell>
          <cell r="H76" t="str">
            <v>초기</v>
          </cell>
          <cell r="I76" t="str">
            <v>청년</v>
          </cell>
          <cell r="J76">
            <v>0</v>
          </cell>
          <cell r="K76">
            <v>8</v>
          </cell>
          <cell r="L76">
            <v>8</v>
          </cell>
          <cell r="M76">
            <v>17</v>
          </cell>
          <cell r="N76">
            <v>17</v>
          </cell>
          <cell r="O76">
            <v>8</v>
          </cell>
          <cell r="P76">
            <v>8</v>
          </cell>
          <cell r="Q76">
            <v>13</v>
          </cell>
          <cell r="R76">
            <v>4</v>
          </cell>
          <cell r="S76">
            <v>83</v>
          </cell>
          <cell r="T76">
            <v>0</v>
          </cell>
          <cell r="U76">
            <v>83</v>
          </cell>
          <cell r="V76">
            <v>33</v>
          </cell>
          <cell r="W76" t="str">
            <v>반려동물을 위한 헬스케어 제품을 창업 아이템으로 하여 기존 견들의 피부예방 기능성 크림과의 비교를 통해 개발하는 제품의 성능을 명확히 제시하고 있으며, 가격과 시장성에 대해서도 잘 설명되어져 있다. 다만, 혁신적인 가격을 제시하기 위한 근거의 내용이 다소 부족해 보이며, 제시된 경쟁사대비의 피부안정화 효과에 대해서도 충분한 검증이 필요해 보이는 부분은 보완이 필요하다.</v>
          </cell>
        </row>
        <row r="77">
          <cell r="B77">
            <v>20422094</v>
          </cell>
          <cell r="C77" t="str">
            <v>지역기반</v>
          </cell>
          <cell r="D77" t="str">
            <v>화공ㆍ섬유</v>
          </cell>
          <cell r="E77" t="str">
            <v>피부를 숨기지 않아도 되는 안심 베이스</v>
          </cell>
          <cell r="F77" t="str">
            <v>150,000,000</v>
          </cell>
          <cell r="G77" t="str">
            <v>1</v>
          </cell>
          <cell r="H77" t="str">
            <v>초기</v>
          </cell>
          <cell r="I77" t="str">
            <v>청년</v>
          </cell>
          <cell r="J77">
            <v>0</v>
          </cell>
          <cell r="K77">
            <v>10</v>
          </cell>
          <cell r="L77">
            <v>9</v>
          </cell>
          <cell r="M77">
            <v>16</v>
          </cell>
          <cell r="N77">
            <v>18</v>
          </cell>
          <cell r="O77">
            <v>7</v>
          </cell>
          <cell r="P77">
            <v>8</v>
          </cell>
          <cell r="Q77">
            <v>14</v>
          </cell>
          <cell r="R77">
            <v>3</v>
          </cell>
          <cell r="S77">
            <v>85</v>
          </cell>
          <cell r="T77">
            <v>0</v>
          </cell>
          <cell r="U77">
            <v>85</v>
          </cell>
          <cell r="V77">
            <v>27</v>
          </cell>
          <cell r="W77" t="str">
            <v>피부민감성을 낮추고 다양한 기능성을 부여한 기초 화장품을 창업아이템으로 하는 부분으로 사업의 배경과 필요성 그리고 이를 극복하기 위한 기술적 바안까지 잘 설명되어져 있다. 기존 창업아이템을 통해 기술력과 시장도 충분히 확보된것으로 보이나, 유해성과 인체위해성에 대한 검증과 근거가 필요하다.</v>
          </cell>
        </row>
        <row r="78">
          <cell r="B78">
            <v>20422688</v>
          </cell>
          <cell r="C78" t="str">
            <v>지역기반</v>
          </cell>
          <cell r="D78" t="str">
            <v>화공ㆍ섬유</v>
          </cell>
          <cell r="E78" t="str">
            <v>산업현장 지속가능성 강화를 위한 업사이클 섬유, 모듈형 설계 기술을 활용한 다기능 워크웨어 서비스</v>
          </cell>
          <cell r="F78" t="str">
            <v>130,000,000</v>
          </cell>
          <cell r="G78" t="str">
            <v>0</v>
          </cell>
          <cell r="H78" t="str">
            <v>초기</v>
          </cell>
          <cell r="I78" t="str">
            <v>중장년</v>
          </cell>
          <cell r="J78">
            <v>0</v>
          </cell>
          <cell r="K78">
            <v>8</v>
          </cell>
          <cell r="L78">
            <v>8</v>
          </cell>
          <cell r="M78">
            <v>16</v>
          </cell>
          <cell r="N78">
            <v>18</v>
          </cell>
          <cell r="O78">
            <v>7</v>
          </cell>
          <cell r="P78">
            <v>5</v>
          </cell>
          <cell r="Q78">
            <v>12</v>
          </cell>
          <cell r="R78">
            <v>4</v>
          </cell>
          <cell r="S78">
            <v>78</v>
          </cell>
          <cell r="T78">
            <v>0</v>
          </cell>
          <cell r="U78">
            <v>78</v>
          </cell>
          <cell r="V78">
            <v>45</v>
          </cell>
          <cell r="W78" t="str">
            <v>기존 작업복이 가지는 한계를 명확히 인식하고 고내구성 및 고마모부위를 모듈화하여 교체가 가능하게 만드는 구조 및 그 사업성에 대해서 잘 설명되어져 있다. 다만, 다양한 작업환경에 노출되는 작업복의 특성상 내구성을 강화한다고 하더라도 내오염성에 관련문제를 동시에 해결해야 하나 이에 대한 내용이 다소 부족하며, 실 구매보다는 렌탈로 이어지는 작업복의 시장에서 구매 및 모듈교체가 어떤식으로 시장에 접근할지에 대해 보완이 필요하다.</v>
          </cell>
        </row>
        <row r="79">
          <cell r="B79">
            <v>20423688</v>
          </cell>
          <cell r="C79" t="str">
            <v>지역기반</v>
          </cell>
          <cell r="D79" t="str">
            <v>화공ㆍ섬유</v>
          </cell>
          <cell r="E79" t="str">
            <v>즉각적 피부 심미성 개선 효과를 부여하는 스킨케어 브랜드</v>
          </cell>
          <cell r="F79" t="str">
            <v>0</v>
          </cell>
          <cell r="G79" t="str">
            <v>1</v>
          </cell>
          <cell r="H79" t="str">
            <v>초기</v>
          </cell>
          <cell r="I79" t="str">
            <v>중장년</v>
          </cell>
          <cell r="J79">
            <v>0</v>
          </cell>
          <cell r="K79">
            <v>7</v>
          </cell>
          <cell r="L79">
            <v>7</v>
          </cell>
          <cell r="M79">
            <v>17</v>
          </cell>
          <cell r="N79">
            <v>16</v>
          </cell>
          <cell r="O79">
            <v>8</v>
          </cell>
          <cell r="P79">
            <v>6</v>
          </cell>
          <cell r="Q79">
            <v>13</v>
          </cell>
          <cell r="R79">
            <v>3</v>
          </cell>
          <cell r="S79">
            <v>77</v>
          </cell>
          <cell r="T79">
            <v>0</v>
          </cell>
          <cell r="U79">
            <v>77</v>
          </cell>
          <cell r="V79">
            <v>50</v>
          </cell>
          <cell r="W79" t="str">
            <v>기초와 색조를 결합한 hybrid 뷰티 제품의 창업아이템을 중심으로 기존 제품들의 한계와 신규제품의 필요성에 대해서 잘 설명되어져 있다. 다만, 피부가 좋아지는 화장품에 대한 기술적 근거와 효용성에 대해서 충분한 검증이 필요할것으로 보이며, 이러한 부분에 대해 보완이 필요할것으로 판단된다.</v>
          </cell>
        </row>
        <row r="80">
          <cell r="B80">
            <v>20424839</v>
          </cell>
          <cell r="C80" t="str">
            <v>지역기반</v>
          </cell>
          <cell r="D80" t="str">
            <v>화공ㆍ섬유</v>
          </cell>
          <cell r="E80" t="str">
            <v>옷장 속 미술관 : 입는 예술, 글로벌 아트웨어 브랜드 사업화</v>
          </cell>
          <cell r="F80" t="str">
            <v>71,776,812</v>
          </cell>
          <cell r="G80" t="str">
            <v>3</v>
          </cell>
          <cell r="H80" t="str">
            <v>초기</v>
          </cell>
          <cell r="I80" t="str">
            <v>청년</v>
          </cell>
          <cell r="J80" t="str">
            <v>면제</v>
          </cell>
          <cell r="S80" t="str">
            <v/>
          </cell>
          <cell r="T80">
            <v>0</v>
          </cell>
          <cell r="U80">
            <v>100</v>
          </cell>
          <cell r="V80" t="str">
            <v/>
          </cell>
          <cell r="W80" t="str">
            <v>서류평가 면제</v>
          </cell>
        </row>
        <row r="81">
          <cell r="B81">
            <v>20424847</v>
          </cell>
          <cell r="C81" t="str">
            <v>지역기반</v>
          </cell>
          <cell r="D81" t="str">
            <v>화공ㆍ섬유</v>
          </cell>
          <cell r="E81" t="str">
            <v>Ag⁺/Zn²⁺ 항균 기술이 적용된IAD 억제 기능의4층 무봉제 요실금팬티</v>
          </cell>
          <cell r="F81" t="str">
            <v>2,500,000</v>
          </cell>
          <cell r="G81" t="str">
            <v>1</v>
          </cell>
          <cell r="H81" t="str">
            <v>초기</v>
          </cell>
          <cell r="I81" t="str">
            <v>중장년</v>
          </cell>
          <cell r="J81">
            <v>0</v>
          </cell>
          <cell r="K81">
            <v>6</v>
          </cell>
          <cell r="L81">
            <v>6</v>
          </cell>
          <cell r="M81">
            <v>15</v>
          </cell>
          <cell r="N81">
            <v>14</v>
          </cell>
          <cell r="O81">
            <v>6</v>
          </cell>
          <cell r="P81">
            <v>5</v>
          </cell>
          <cell r="Q81">
            <v>13</v>
          </cell>
          <cell r="R81">
            <v>3</v>
          </cell>
          <cell r="S81">
            <v>68</v>
          </cell>
          <cell r="T81">
            <v>0</v>
          </cell>
          <cell r="U81">
            <v>68</v>
          </cell>
          <cell r="V81">
            <v>86</v>
          </cell>
          <cell r="W81" t="str">
            <v>초고령사회에 맞는 향균, 기능성 언더웨어를 창업아이템으로 하여 창업하고자 하는 아이템과 현재 시장의 배경등에 대해 잘 설명되어져 있다. 다만, IAD 억제 기능을 가진 기술에 대해 근거자료 등이 제시되어 있지 않아 확인이 어려우며, 실제 기존 요실금 언더웨어 들이 어떻게 구성되어져 있는지에 대해서도 보다 세밀한 분석이 요구되어 보완이 필요하다.</v>
          </cell>
        </row>
        <row r="82">
          <cell r="B82">
            <v>20424877</v>
          </cell>
          <cell r="C82" t="str">
            <v>지역기반</v>
          </cell>
          <cell r="D82" t="str">
            <v>화공ㆍ섬유</v>
          </cell>
          <cell r="E82" t="str">
            <v>2,000만 반려인의 동물병원 방문 1순위 ‘피부질환’ 문제를 해결하기 위해3D 유해성분 제로, 강아지 피부세포 실험으로 검증 특허 성분 함유 저자극 기능성 펫 스킨케어 ‘너티포비'</v>
          </cell>
          <cell r="F82" t="str">
            <v>3,585,411</v>
          </cell>
          <cell r="G82" t="str">
            <v>0</v>
          </cell>
          <cell r="H82" t="str">
            <v>초기</v>
          </cell>
          <cell r="I82" t="str">
            <v>청년</v>
          </cell>
          <cell r="J82">
            <v>0</v>
          </cell>
          <cell r="K82">
            <v>8</v>
          </cell>
          <cell r="L82">
            <v>9</v>
          </cell>
          <cell r="M82">
            <v>17</v>
          </cell>
          <cell r="N82">
            <v>19</v>
          </cell>
          <cell r="O82">
            <v>8</v>
          </cell>
          <cell r="P82">
            <v>8</v>
          </cell>
          <cell r="Q82">
            <v>14</v>
          </cell>
          <cell r="R82">
            <v>4</v>
          </cell>
          <cell r="S82">
            <v>87</v>
          </cell>
          <cell r="T82">
            <v>0</v>
          </cell>
          <cell r="U82">
            <v>87</v>
          </cell>
          <cell r="V82">
            <v>14</v>
          </cell>
          <cell r="W82" t="str">
            <v>펫 시장에서 발생하기 쉬운 피부질환 및 이를 극복하기 위한 기존제품들과 차별성으로 창업아이템에 대해서 잘 설명해주고 있다. 또한 창업을 위한 핵심기술에 대해 In vitro 검증을 통해 증명하고 있으며, 반려동물 피부 기준으로의 효능도 설명되고 있어 사업성이 충분히 있다고 판단된다. 다만, 개발하고자 하는 목적이 치료인지, 예방인지 이에 대한 설명이 혼용되어 있어 다소 보완이 필요하다.</v>
          </cell>
        </row>
        <row r="83">
          <cell r="B83">
            <v>20425984</v>
          </cell>
          <cell r="C83" t="str">
            <v>지역기반</v>
          </cell>
          <cell r="D83" t="str">
            <v>화공ㆍ섬유</v>
          </cell>
          <cell r="E83" t="str">
            <v>수요는 있고 브랜드는 없는 율무 화장품의 글로벌 직진출 사업화</v>
          </cell>
          <cell r="F83" t="str">
            <v>1,759,756</v>
          </cell>
          <cell r="G83" t="str">
            <v>0</v>
          </cell>
          <cell r="H83" t="str">
            <v>초기</v>
          </cell>
          <cell r="I83" t="str">
            <v>청년</v>
          </cell>
          <cell r="J83">
            <v>0</v>
          </cell>
          <cell r="K83">
            <v>8</v>
          </cell>
          <cell r="L83">
            <v>9</v>
          </cell>
          <cell r="M83">
            <v>16</v>
          </cell>
          <cell r="N83">
            <v>18</v>
          </cell>
          <cell r="O83">
            <v>9</v>
          </cell>
          <cell r="P83">
            <v>8</v>
          </cell>
          <cell r="Q83">
            <v>15</v>
          </cell>
          <cell r="R83">
            <v>3</v>
          </cell>
          <cell r="S83">
            <v>86</v>
          </cell>
          <cell r="T83">
            <v>0</v>
          </cell>
          <cell r="U83">
            <v>86</v>
          </cell>
          <cell r="V83">
            <v>20</v>
          </cell>
          <cell r="W83" t="str">
            <v>비건 및 클린뷰티 인증을 받은 창업아이템을 중심으로 개발의 필요성부터 개발진행 및 사업화 전략까지 전반적으로 잘 설명되어져 있다. 제품개발이 어느정도 완성 단계로 보이며, 사업화 확장을 위한 창업지금이 필요한 부분으로 보이며, 충분한 사업화 능력과 마케팅 능력이 갖추어져 있는것으로 판단된다.</v>
          </cell>
        </row>
        <row r="84">
          <cell r="B84">
            <v>20426074</v>
          </cell>
          <cell r="C84" t="str">
            <v>지역기반</v>
          </cell>
          <cell r="D84" t="str">
            <v>화공ㆍ섬유</v>
          </cell>
          <cell r="E84" t="str">
            <v>피부 트러블 및 소재 손상 방지를 위한 중성 포뮬러 기반  아이웨어 전용 폼 워시</v>
          </cell>
          <cell r="F84" t="str">
            <v>0</v>
          </cell>
          <cell r="G84" t="str">
            <v>0</v>
          </cell>
          <cell r="H84" t="str">
            <v>초기</v>
          </cell>
          <cell r="I84" t="str">
            <v>청년</v>
          </cell>
          <cell r="J84">
            <v>0</v>
          </cell>
          <cell r="K84">
            <v>9</v>
          </cell>
          <cell r="L84">
            <v>9</v>
          </cell>
          <cell r="M84">
            <v>15</v>
          </cell>
          <cell r="N84">
            <v>12</v>
          </cell>
          <cell r="O84">
            <v>8</v>
          </cell>
          <cell r="P84">
            <v>6</v>
          </cell>
          <cell r="Q84">
            <v>13</v>
          </cell>
          <cell r="R84">
            <v>3</v>
          </cell>
          <cell r="S84">
            <v>75</v>
          </cell>
          <cell r="T84">
            <v>2</v>
          </cell>
          <cell r="U84">
            <v>77</v>
          </cell>
          <cell r="V84">
            <v>50</v>
          </cell>
          <cell r="W84" t="str">
            <v>기존 렌즈세정에서 벗어난 안경전체를 세정할 수 있는 세정제를 창업아이템으로 하여 시장에서의 필요성과 사업성에 대해 전반적으로 설명되어져 있다. 다만, 해당 세정제에 관련된 세정력 또는 위해성, 친환경성등에 대한 부분이 나타나 있지 않아 보완이 필요할 것으로 판단된다.</v>
          </cell>
        </row>
        <row r="85">
          <cell r="B85">
            <v>20426252</v>
          </cell>
          <cell r="C85" t="str">
            <v>지역기반</v>
          </cell>
          <cell r="D85" t="str">
            <v>화공ㆍ섬유</v>
          </cell>
          <cell r="E85" t="str">
            <v>지속적인 음용이 가능하도록 기획된 라이프스타일형 소용량 블렌드 과·채즙</v>
          </cell>
          <cell r="F85" t="str">
            <v>48,000,000</v>
          </cell>
          <cell r="G85" t="str">
            <v>0</v>
          </cell>
          <cell r="H85" t="str">
            <v>초기</v>
          </cell>
          <cell r="I85" t="str">
            <v>중장년</v>
          </cell>
          <cell r="J85">
            <v>0</v>
          </cell>
          <cell r="K85">
            <v>7</v>
          </cell>
          <cell r="L85">
            <v>5</v>
          </cell>
          <cell r="M85">
            <v>14</v>
          </cell>
          <cell r="N85">
            <v>13</v>
          </cell>
          <cell r="O85">
            <v>6</v>
          </cell>
          <cell r="P85">
            <v>5</v>
          </cell>
          <cell r="Q85">
            <v>13</v>
          </cell>
          <cell r="R85">
            <v>3</v>
          </cell>
          <cell r="S85">
            <v>66</v>
          </cell>
          <cell r="T85">
            <v>0</v>
          </cell>
          <cell r="U85">
            <v>66</v>
          </cell>
          <cell r="V85">
            <v>100</v>
          </cell>
          <cell r="W85" t="str">
            <v>일상음용을 고려한 블랜딩 과,채즙에 대한 창업아이템을 기반으로 배경과 그 사업성에 대해 설명이 되어져 있다. 다만, 과,채즙 음용시장에 대해 제시된 문제점이나 그 원인에 대해 명확하지 못하며, 창업아이템에 대해 인체 유해성이나 품질에 대한 전반적인 검증과정이 나타내져 있지 않아 보완이 필요하다</v>
          </cell>
        </row>
        <row r="86">
          <cell r="B86">
            <v>20426411</v>
          </cell>
          <cell r="C86" t="str">
            <v>지역기반</v>
          </cell>
          <cell r="D86" t="str">
            <v>화공ㆍ섬유</v>
          </cell>
          <cell r="E86" t="str">
            <v>해조류 청각 기반 메탄저감 사료첨가제</v>
          </cell>
          <cell r="F86" t="str">
            <v>37,915,000</v>
          </cell>
          <cell r="G86" t="str">
            <v>2</v>
          </cell>
          <cell r="H86" t="str">
            <v>초기</v>
          </cell>
          <cell r="I86" t="str">
            <v>청년</v>
          </cell>
          <cell r="J86">
            <v>0</v>
          </cell>
          <cell r="K86">
            <v>10</v>
          </cell>
          <cell r="L86">
            <v>9</v>
          </cell>
          <cell r="M86">
            <v>18</v>
          </cell>
          <cell r="N86">
            <v>19</v>
          </cell>
          <cell r="O86">
            <v>10</v>
          </cell>
          <cell r="P86">
            <v>8</v>
          </cell>
          <cell r="Q86">
            <v>13</v>
          </cell>
          <cell r="R86">
            <v>4</v>
          </cell>
          <cell r="S86">
            <v>91</v>
          </cell>
          <cell r="T86">
            <v>0</v>
          </cell>
          <cell r="U86">
            <v>91</v>
          </cell>
          <cell r="V86">
            <v>6</v>
          </cell>
          <cell r="W86" t="str">
            <v>바이오자원인 청각 해조류를 사용하여 그린바이오 사료첨가제를 창업아이템으로 하는 사업으로 사업전반의 내용과 기존제품의 한게 및 필요성에 대해 잘 설명하고 있다. 전반적으로 사업방향과 수익화 모델의 제시를 통한 사업성은 적절하나 객관적 근거에 대한 보완이 필요하다</v>
          </cell>
        </row>
        <row r="87">
          <cell r="B87">
            <v>20426725</v>
          </cell>
          <cell r="C87" t="str">
            <v>지역기반</v>
          </cell>
          <cell r="D87" t="str">
            <v>화공ㆍ섬유</v>
          </cell>
          <cell r="E87" t="str">
            <v>농산 폐기물(유자 폐껍질·잣송이 외피) 업사이클링 원료 기반의 멘톨·유칼립투스 완전 배제 영유아·민감성 체질 안심 비염 완화 밤 '숲결'</v>
          </cell>
          <cell r="F87" t="str">
            <v>0</v>
          </cell>
          <cell r="G87" t="str">
            <v>1</v>
          </cell>
          <cell r="H87" t="str">
            <v>초기</v>
          </cell>
          <cell r="I87" t="str">
            <v>청년</v>
          </cell>
          <cell r="J87">
            <v>0</v>
          </cell>
          <cell r="K87">
            <v>8</v>
          </cell>
          <cell r="L87">
            <v>7</v>
          </cell>
          <cell r="M87">
            <v>14</v>
          </cell>
          <cell r="N87">
            <v>16</v>
          </cell>
          <cell r="O87">
            <v>6</v>
          </cell>
          <cell r="P87">
            <v>6</v>
          </cell>
          <cell r="Q87">
            <v>11</v>
          </cell>
          <cell r="R87">
            <v>5</v>
          </cell>
          <cell r="S87">
            <v>73</v>
          </cell>
          <cell r="T87">
            <v>0</v>
          </cell>
          <cell r="U87">
            <v>73</v>
          </cell>
          <cell r="V87">
            <v>71</v>
          </cell>
          <cell r="W87" t="str">
            <v>만성 비염 및 민감성 비염 완화를 위한 기능성 화장품을 통한 창업아이템으로 사업전반의 내용과 목표시장을 위한 전략등 상세한 내용이 설명되어져 있다. 다만, 기존 제품들의 한계점을 명시하고 객관적인 data를 통해 개발하고자 하는 제품과의 차별성을 어필하는데 보완이 필요하다.</v>
          </cell>
        </row>
        <row r="88">
          <cell r="B88">
            <v>20426887</v>
          </cell>
          <cell r="C88" t="str">
            <v>지역기반</v>
          </cell>
          <cell r="D88" t="str">
            <v>화공ㆍ섬유</v>
          </cell>
          <cell r="E88" t="str">
            <v>NIDT 변형 리포좀 기술을 적용하여 피부 열감과 속건조를 동시 해결하는 ‘기후 대응형(Zero-Heat) 고기능성 스킨케어’</v>
          </cell>
          <cell r="F88" t="str">
            <v>77,000,000</v>
          </cell>
          <cell r="G88" t="str">
            <v>4</v>
          </cell>
          <cell r="H88" t="str">
            <v>초기</v>
          </cell>
          <cell r="I88" t="str">
            <v>청년</v>
          </cell>
          <cell r="J88">
            <v>0</v>
          </cell>
          <cell r="K88">
            <v>9</v>
          </cell>
          <cell r="L88">
            <v>8</v>
          </cell>
          <cell r="M88">
            <v>19</v>
          </cell>
          <cell r="N88">
            <v>18</v>
          </cell>
          <cell r="O88">
            <v>9</v>
          </cell>
          <cell r="P88">
            <v>9</v>
          </cell>
          <cell r="Q88">
            <v>15</v>
          </cell>
          <cell r="R88">
            <v>5</v>
          </cell>
          <cell r="S88">
            <v>92</v>
          </cell>
          <cell r="T88">
            <v>0</v>
          </cell>
          <cell r="U88">
            <v>92</v>
          </cell>
          <cell r="V88">
            <v>3</v>
          </cell>
          <cell r="W88" t="str">
            <v>고온다습한 기후를 가진 동남아시아 시장을 대상으로한 민감기후 대응형 기능성 스킨케어 제품을 창업아이템으로 하여 사업전반의 내용은 물론 초도기술에 대한 구매의향서를 첨부하여 신뢰도가 높게 작성되었다. 일률적인 기존 스킨케어 시장의 한계를 명확히 제시함으로서 사업아이템의 가치와 차별성을 부여한 부분이 잘 드러나 있으며, 양산 scale up 경험으로 역량이 충분히 확보된것으로 판단된다.</v>
          </cell>
        </row>
        <row r="89">
          <cell r="B89">
            <v>20427195</v>
          </cell>
          <cell r="C89" t="str">
            <v>지역기반</v>
          </cell>
          <cell r="D89" t="str">
            <v>화공ㆍ섬유</v>
          </cell>
          <cell r="E89" t="str">
            <v>제올라이트를 활용한 어싱길 포장재 개발</v>
          </cell>
          <cell r="F89" t="str">
            <v>86,000,000</v>
          </cell>
          <cell r="G89" t="str">
            <v>4</v>
          </cell>
          <cell r="H89" t="str">
            <v>초기</v>
          </cell>
          <cell r="I89" t="str">
            <v>청년</v>
          </cell>
          <cell r="J89">
            <v>0</v>
          </cell>
          <cell r="K89">
            <v>7</v>
          </cell>
          <cell r="L89">
            <v>8</v>
          </cell>
          <cell r="M89">
            <v>16</v>
          </cell>
          <cell r="N89">
            <v>14</v>
          </cell>
          <cell r="O89">
            <v>6</v>
          </cell>
          <cell r="P89">
            <v>6</v>
          </cell>
          <cell r="Q89">
            <v>11</v>
          </cell>
          <cell r="R89">
            <v>4</v>
          </cell>
          <cell r="S89">
            <v>72</v>
          </cell>
          <cell r="T89">
            <v>0</v>
          </cell>
          <cell r="U89">
            <v>72</v>
          </cell>
          <cell r="V89">
            <v>75</v>
          </cell>
          <cell r="W89" t="str">
            <v>기능성 원료인 제올라이트를 활용한 어싱길 포장재를 창업아이템으로 하여 기존 어싱길의 한계와 본 사업성을 잘 설명하고 있다. 다만, 제올라이트를 활용하여 본 사업계획서에서 제시한 향균, 흡습, 배수의 다양한 기능을 동시에 구현할 수 있는 기술력에 대해 보완이 필요할 것으로 보인다.</v>
          </cell>
        </row>
        <row r="90">
          <cell r="B90">
            <v>20427388</v>
          </cell>
          <cell r="C90" t="str">
            <v>지역기반</v>
          </cell>
          <cell r="D90" t="str">
            <v>화공ㆍ섬유</v>
          </cell>
          <cell r="E90" t="str">
            <v>pH5.5 이중 배합 기술 기반 두피세정·모발코팅 듀얼 케어 샴푸</v>
          </cell>
          <cell r="F90" t="str">
            <v>0</v>
          </cell>
          <cell r="G90" t="str">
            <v>0</v>
          </cell>
          <cell r="H90" t="str">
            <v>초기</v>
          </cell>
          <cell r="I90" t="str">
            <v>청년</v>
          </cell>
          <cell r="J90">
            <v>0</v>
          </cell>
          <cell r="K90">
            <v>7</v>
          </cell>
          <cell r="L90">
            <v>8</v>
          </cell>
          <cell r="M90">
            <v>14</v>
          </cell>
          <cell r="N90">
            <v>13</v>
          </cell>
          <cell r="O90">
            <v>6</v>
          </cell>
          <cell r="P90">
            <v>5</v>
          </cell>
          <cell r="Q90">
            <v>11</v>
          </cell>
          <cell r="R90">
            <v>4</v>
          </cell>
          <cell r="S90">
            <v>68</v>
          </cell>
          <cell r="T90">
            <v>0</v>
          </cell>
          <cell r="U90">
            <v>68</v>
          </cell>
          <cell r="V90">
            <v>86</v>
          </cell>
          <cell r="W90" t="str">
            <v>두피세정 및 모발코팅을 동시에 구현한 기능성 헤어케어 제품을 창업아이템으로 하는 사업의 필요성과 사업의 타당성에 대해 잘 설명되어져 있다. 다만, 실제 구현한 제품의 효용성과 기존 제품들과의 비교를 통해 얻어지는 기술의 우위성 부분이 드러나 있지 않아 보완이 필요하다.</v>
          </cell>
        </row>
        <row r="91">
          <cell r="B91">
            <v>20427576</v>
          </cell>
          <cell r="C91" t="str">
            <v>지역기반</v>
          </cell>
          <cell r="D91" t="str">
            <v>화공ㆍ섬유</v>
          </cell>
          <cell r="E91" t="str">
            <v>락토피치 바이옴 독자 성분과 기능성 복합 포뮬러를 적용하여 팩 한 통의 효과를 간편하게 구현하는 고효능 모공 케어 앰플</v>
          </cell>
          <cell r="F91" t="str">
            <v>35,381,900</v>
          </cell>
          <cell r="G91" t="str">
            <v>0</v>
          </cell>
          <cell r="H91" t="str">
            <v>초기</v>
          </cell>
          <cell r="I91" t="str">
            <v>청년</v>
          </cell>
          <cell r="J91">
            <v>0</v>
          </cell>
          <cell r="K91">
            <v>7</v>
          </cell>
          <cell r="L91">
            <v>8</v>
          </cell>
          <cell r="M91">
            <v>15</v>
          </cell>
          <cell r="N91">
            <v>17</v>
          </cell>
          <cell r="O91">
            <v>8</v>
          </cell>
          <cell r="P91">
            <v>4</v>
          </cell>
          <cell r="Q91">
            <v>13</v>
          </cell>
          <cell r="R91">
            <v>3</v>
          </cell>
          <cell r="S91">
            <v>75</v>
          </cell>
          <cell r="T91">
            <v>0</v>
          </cell>
          <cell r="U91">
            <v>75</v>
          </cell>
          <cell r="V91">
            <v>63</v>
          </cell>
          <cell r="W91" t="str">
            <v>사용편의성을 높이고 기능성을 부여한 헤어모공 제품을 창업아이템으로 하는 사업으로 기존 문제점과 현재 개발된 기술등에 대해 잘 설명되어져 있다. 특히 타사 제품들과의 비교를 통해 차별화된 기능을 가지고 있음이 어필되어져 있다. 다만, 실제 얼마나 성능이 있는지에 대한 객관적인 data가 제시되지 않아 이에 대한 보완이 필요하다.</v>
          </cell>
        </row>
        <row r="92">
          <cell r="B92">
            <v>20427594</v>
          </cell>
          <cell r="C92" t="str">
            <v>지역기반</v>
          </cell>
          <cell r="D92" t="str">
            <v>화공ㆍ섬유</v>
          </cell>
          <cell r="E92" t="str">
            <v>“나노 하이브리드 코팅 기술이 적용된 선크림 차단막 보존 기능의  SWEIN 테크니컬 스킨 타월”</v>
          </cell>
          <cell r="F92" t="str">
            <v>27,898,000</v>
          </cell>
          <cell r="G92" t="str">
            <v>1</v>
          </cell>
          <cell r="H92" t="str">
            <v>초기</v>
          </cell>
          <cell r="I92" t="str">
            <v>청년</v>
          </cell>
          <cell r="J92">
            <v>0</v>
          </cell>
          <cell r="K92">
            <v>7</v>
          </cell>
          <cell r="L92">
            <v>8</v>
          </cell>
          <cell r="M92">
            <v>15</v>
          </cell>
          <cell r="N92">
            <v>16</v>
          </cell>
          <cell r="O92">
            <v>7</v>
          </cell>
          <cell r="P92">
            <v>6</v>
          </cell>
          <cell r="Q92">
            <v>12</v>
          </cell>
          <cell r="R92">
            <v>3</v>
          </cell>
          <cell r="S92">
            <v>74</v>
          </cell>
          <cell r="T92">
            <v>0</v>
          </cell>
          <cell r="U92">
            <v>74</v>
          </cell>
          <cell r="V92">
            <v>68</v>
          </cell>
          <cell r="W92" t="str">
            <v>피부보호제품은 남기고 땀을 효과적으로 제거할 수 있는 초저마찰 나노스킨 타월을 창업아이템으로 하여 사업전반의 내용이 잘 설명되어져 있으며, 기존 수영 전용 습식 타월을 통해 코어 기술력은 확보된 것이 잘 설명되어져 있다. 전반적으로 사업의 구성이나 실행력등이 잘 설명되어져 있으나, 그 효용성에 대해 객관성이 있는 근거를 제시하고 타 타월들과의 차별성을 나타냄으로서 보완할 필요가 있다.</v>
          </cell>
        </row>
        <row r="93">
          <cell r="B93">
            <v>20427695</v>
          </cell>
          <cell r="C93" t="str">
            <v>지역기반</v>
          </cell>
          <cell r="D93" t="str">
            <v>화공ㆍ섬유</v>
          </cell>
          <cell r="E93" t="str">
            <v>국내외 중소 브랜드를 위한 MOQ 100 기반 K-Denim End-to-End OEM 플랫폼</v>
          </cell>
          <cell r="F93" t="str">
            <v>3,192,172,185</v>
          </cell>
          <cell r="G93" t="str">
            <v>11</v>
          </cell>
          <cell r="H93" t="str">
            <v>초기</v>
          </cell>
          <cell r="I93" t="str">
            <v>중장년</v>
          </cell>
          <cell r="J93">
            <v>0</v>
          </cell>
          <cell r="K93">
            <v>6</v>
          </cell>
          <cell r="L93">
            <v>6</v>
          </cell>
          <cell r="M93">
            <v>16</v>
          </cell>
          <cell r="N93">
            <v>18</v>
          </cell>
          <cell r="O93">
            <v>8</v>
          </cell>
          <cell r="P93">
            <v>7</v>
          </cell>
          <cell r="Q93">
            <v>12</v>
          </cell>
          <cell r="R93">
            <v>3</v>
          </cell>
          <cell r="S93">
            <v>76</v>
          </cell>
          <cell r="T93">
            <v>0</v>
          </cell>
          <cell r="U93">
            <v>76</v>
          </cell>
          <cell r="V93">
            <v>54</v>
          </cell>
          <cell r="W93" t="str">
            <v>의류산업에서의 기획부터 주문, 생산, 수출을 위한 End-to-End 사업 플랫폼을 창업아이템으로 하여 기존 의류시장의 불균형 구조와 필요성에 대해 충분히 잘 설명되어져 있다. 다만, OEM방식이 만연한 의류시장에서 성공적인 사업을 위한 타 기술력들과의 차별적인 부분에 대해 보완이 필요하다.</v>
          </cell>
        </row>
        <row r="94">
          <cell r="B94">
            <v>20427962</v>
          </cell>
          <cell r="C94" t="str">
            <v>지역기반</v>
          </cell>
          <cell r="D94" t="str">
            <v>화공ㆍ섬유</v>
          </cell>
          <cell r="E94" t="str">
            <v>천연 염색 기술이 적용된 영유아 프리미엄 친환경 아동복</v>
          </cell>
          <cell r="F94" t="str">
            <v>151,982,715</v>
          </cell>
          <cell r="G94" t="str">
            <v>0</v>
          </cell>
          <cell r="H94" t="str">
            <v>초기</v>
          </cell>
          <cell r="I94" t="str">
            <v>청년</v>
          </cell>
          <cell r="J94">
            <v>0</v>
          </cell>
          <cell r="K94">
            <v>8</v>
          </cell>
          <cell r="L94">
            <v>9</v>
          </cell>
          <cell r="M94">
            <v>17</v>
          </cell>
          <cell r="N94">
            <v>17</v>
          </cell>
          <cell r="O94">
            <v>6</v>
          </cell>
          <cell r="P94">
            <v>8</v>
          </cell>
          <cell r="Q94">
            <v>14</v>
          </cell>
          <cell r="R94">
            <v>3</v>
          </cell>
          <cell r="S94">
            <v>82</v>
          </cell>
          <cell r="T94">
            <v>0</v>
          </cell>
          <cell r="U94">
            <v>82</v>
          </cell>
          <cell r="V94">
            <v>37</v>
          </cell>
          <cell r="W94" t="str">
            <v>독자적인 천연 염색기술을 활용하여 자극을 최소로 한 영,유아 아동복을 창업아이템으로 하는 사업과제로 사업의 전반적인 부분과 필요성에 대해 잘 설명되어져 있다. 다만, 천연 염색기술을 활용했을 예상되는 비용의 문제나 이들의 가격경쟁력을 확보하기 위한 부분이 충분히 설명되어져 있지 않아 보완이 필요하다.</v>
          </cell>
        </row>
        <row r="95">
          <cell r="B95">
            <v>20428180</v>
          </cell>
          <cell r="C95" t="str">
            <v>지역기반</v>
          </cell>
          <cell r="D95" t="str">
            <v>화공ㆍ섬유</v>
          </cell>
          <cell r="E95" t="str">
            <v>소각되는 우유팩을 고부가가치 ‘비건 레더’로 재탄생시켜, 공공기관의녹색제품 구매 딜레마를 해결하는 ‘실속형 ESG 오피스 키트’ 제품</v>
          </cell>
          <cell r="F95" t="str">
            <v>50,000,000</v>
          </cell>
          <cell r="G95" t="str">
            <v>1</v>
          </cell>
          <cell r="H95" t="str">
            <v>초기</v>
          </cell>
          <cell r="I95" t="str">
            <v>청년</v>
          </cell>
          <cell r="J95">
            <v>0</v>
          </cell>
          <cell r="K95">
            <v>7</v>
          </cell>
          <cell r="L95">
            <v>8</v>
          </cell>
          <cell r="M95">
            <v>18</v>
          </cell>
          <cell r="N95">
            <v>17</v>
          </cell>
          <cell r="O95">
            <v>7</v>
          </cell>
          <cell r="P95">
            <v>6</v>
          </cell>
          <cell r="Q95">
            <v>12</v>
          </cell>
          <cell r="R95">
            <v>4</v>
          </cell>
          <cell r="S95">
            <v>79</v>
          </cell>
          <cell r="T95">
            <v>0</v>
          </cell>
          <cell r="U95">
            <v>79</v>
          </cell>
          <cell r="V95">
            <v>43</v>
          </cell>
          <cell r="W95" t="str">
            <v>폐식품 포장재 업사이크을 활용한 굿즈 및 사무용품을 활용한 창업아이템으로 사업전반의 내용과 기술력 확보에 대한 부분을 충분히 잘 설명하고 있다. 다만, 친환경성을 지니고 있다고 하더라도 굿즈 특성상 해당 아이템들의 가격 경쟁력이 충분히 확보되어져 있는지 객관적인 자료가 나타나 있지 않으며, 폐자원의 확보 방안에 대해서도 구체화 할 필요가 있다.</v>
          </cell>
        </row>
        <row r="96">
          <cell r="B96">
            <v>20428258</v>
          </cell>
          <cell r="C96" t="str">
            <v>지역기반</v>
          </cell>
          <cell r="D96" t="str">
            <v>화공ㆍ섬유</v>
          </cell>
          <cell r="E96" t="str">
            <v>친환경 원천 소재 기술 기반의 제로 웨이스트 브랜드 고도화 솔루션</v>
          </cell>
          <cell r="F96" t="str">
            <v>27,818,182</v>
          </cell>
          <cell r="G96" t="str">
            <v>1</v>
          </cell>
          <cell r="H96" t="str">
            <v>초기</v>
          </cell>
          <cell r="I96" t="str">
            <v>청년</v>
          </cell>
          <cell r="J96" t="str">
            <v>면제</v>
          </cell>
          <cell r="S96" t="str">
            <v/>
          </cell>
          <cell r="T96">
            <v>0</v>
          </cell>
          <cell r="U96">
            <v>100</v>
          </cell>
          <cell r="V96" t="str">
            <v/>
          </cell>
          <cell r="W96" t="str">
            <v>서류평가 면제</v>
          </cell>
        </row>
        <row r="97">
          <cell r="B97">
            <v>20428424</v>
          </cell>
          <cell r="C97" t="str">
            <v>지역기반</v>
          </cell>
          <cell r="D97" t="str">
            <v>화공ㆍ섬유</v>
          </cell>
          <cell r="E97" t="str">
            <v>다층 압축 기술이 적용된 일상의 샤워를 특별하게 만드는 샤워 향기 태블릿, '딘트 샤워팝'</v>
          </cell>
          <cell r="F97" t="str">
            <v>28,000,000</v>
          </cell>
          <cell r="G97" t="str">
            <v>0</v>
          </cell>
          <cell r="H97" t="str">
            <v>초기</v>
          </cell>
          <cell r="I97" t="str">
            <v>청년</v>
          </cell>
          <cell r="J97">
            <v>0</v>
          </cell>
          <cell r="K97">
            <v>7</v>
          </cell>
          <cell r="L97">
            <v>6</v>
          </cell>
          <cell r="M97">
            <v>15</v>
          </cell>
          <cell r="N97">
            <v>14</v>
          </cell>
          <cell r="O97">
            <v>6</v>
          </cell>
          <cell r="P97">
            <v>6</v>
          </cell>
          <cell r="Q97">
            <v>11</v>
          </cell>
          <cell r="R97">
            <v>3</v>
          </cell>
          <cell r="S97">
            <v>68</v>
          </cell>
          <cell r="T97">
            <v>0</v>
          </cell>
          <cell r="U97">
            <v>68</v>
          </cell>
          <cell r="V97">
            <v>86</v>
          </cell>
          <cell r="W97" t="str">
            <v>창업아이템의 목표시장과 수익모델은 비교적 명확하게 제시되어있다. 다만, 해당 개발제품이 가지는 경쟁제품들과의 포지셔닝이나 현재개발수준이 목표를 도달하기에 높지 않은 부분이 다소 부족하였다. 기술추진의지는 확인되나 실현가능성에 대해 추가검토가 필요하다</v>
          </cell>
        </row>
        <row r="98">
          <cell r="B98">
            <v>20429392</v>
          </cell>
          <cell r="C98" t="str">
            <v>지역기반</v>
          </cell>
          <cell r="D98" t="str">
            <v>화공ㆍ섬유</v>
          </cell>
          <cell r="E98" t="str">
            <v>초저온 실링 및 수분차단성을 갖춘 친환경 단일소재 폴리에틸렌 연포장 필름</v>
          </cell>
          <cell r="F98" t="str">
            <v>35,000,000</v>
          </cell>
          <cell r="G98" t="str">
            <v>0</v>
          </cell>
          <cell r="H98" t="str">
            <v>초기</v>
          </cell>
          <cell r="I98" t="str">
            <v>중장년</v>
          </cell>
          <cell r="J98">
            <v>0</v>
          </cell>
          <cell r="K98">
            <v>8</v>
          </cell>
          <cell r="L98">
            <v>9</v>
          </cell>
          <cell r="M98">
            <v>17</v>
          </cell>
          <cell r="N98">
            <v>17</v>
          </cell>
          <cell r="O98">
            <v>8</v>
          </cell>
          <cell r="P98">
            <v>9</v>
          </cell>
          <cell r="Q98">
            <v>13</v>
          </cell>
          <cell r="R98">
            <v>3</v>
          </cell>
          <cell r="S98">
            <v>84</v>
          </cell>
          <cell r="T98">
            <v>0</v>
          </cell>
          <cell r="U98">
            <v>84</v>
          </cell>
          <cell r="V98">
            <v>30</v>
          </cell>
          <cell r="W98" t="str">
            <v>목표시장과 수익모델이 비교적 명확하게 제시되어 있으며, 시장에 대한 판단과 차별화 요소를 잘 설명하였다. 다만, 26년8월 기준으로 규제되는 유럽연합의 규정에 대해 경쟁제품이 없는 상황이라면 목표시장 및 매출금액이 너무 제한적으로 설정되어 있는 부분이고, 경쟁제품이 없다는 부분에 대해서도 신뢰성 있는 근거가 제시될 필요가 있다.</v>
          </cell>
        </row>
        <row r="99">
          <cell r="B99">
            <v>20429506</v>
          </cell>
          <cell r="C99" t="str">
            <v>지역기반</v>
          </cell>
          <cell r="D99" t="str">
            <v>화공ㆍ섬유</v>
          </cell>
          <cell r="E99" t="str">
            <v>멜라노사이트 표적 리포좀 기술이 적용된 임산부 색소침착 개선 기능을 제공하는 피트산 리포좀 립 마스크</v>
          </cell>
          <cell r="F99" t="str">
            <v>20,995,197</v>
          </cell>
          <cell r="G99" t="str">
            <v>0</v>
          </cell>
          <cell r="H99" t="str">
            <v>초기</v>
          </cell>
          <cell r="I99" t="str">
            <v>청년</v>
          </cell>
          <cell r="J99">
            <v>0</v>
          </cell>
          <cell r="K99">
            <v>6</v>
          </cell>
          <cell r="L99">
            <v>9</v>
          </cell>
          <cell r="M99">
            <v>16</v>
          </cell>
          <cell r="N99">
            <v>14</v>
          </cell>
          <cell r="O99">
            <v>6</v>
          </cell>
          <cell r="P99">
            <v>6</v>
          </cell>
          <cell r="Q99">
            <v>12</v>
          </cell>
          <cell r="R99">
            <v>3</v>
          </cell>
          <cell r="S99">
            <v>72</v>
          </cell>
          <cell r="T99">
            <v>0</v>
          </cell>
          <cell r="U99">
            <v>72</v>
          </cell>
          <cell r="V99">
            <v>75</v>
          </cell>
          <cell r="W99" t="str">
            <v>창업동기와 문제인식은 비교적 명확하게 제시되어 있다. 다만 전반적으로 사업 방향은 적절하나 경쟁제품들과 종합적인 분석이나 객관적인 data가 제시 되지 못하여 보완 확인이 필요하다</v>
          </cell>
        </row>
        <row r="100">
          <cell r="B100">
            <v>20430628</v>
          </cell>
          <cell r="C100" t="str">
            <v>지역기반</v>
          </cell>
          <cell r="D100" t="str">
            <v>화공ㆍ섬유</v>
          </cell>
          <cell r="E100" t="str">
            <v>째피 저속노화 바디 루틴</v>
          </cell>
          <cell r="F100" t="str">
            <v>0</v>
          </cell>
          <cell r="G100" t="str">
            <v>0</v>
          </cell>
          <cell r="H100" t="str">
            <v>초기</v>
          </cell>
          <cell r="I100" t="str">
            <v>중장년</v>
          </cell>
          <cell r="J100">
            <v>0</v>
          </cell>
          <cell r="K100">
            <v>9</v>
          </cell>
          <cell r="L100">
            <v>6</v>
          </cell>
          <cell r="M100">
            <v>14</v>
          </cell>
          <cell r="N100">
            <v>16</v>
          </cell>
          <cell r="O100">
            <v>6</v>
          </cell>
          <cell r="P100">
            <v>6</v>
          </cell>
          <cell r="Q100">
            <v>11</v>
          </cell>
          <cell r="R100">
            <v>3</v>
          </cell>
          <cell r="S100">
            <v>71</v>
          </cell>
          <cell r="T100">
            <v>0</v>
          </cell>
          <cell r="U100">
            <v>71</v>
          </cell>
          <cell r="V100">
            <v>80</v>
          </cell>
          <cell r="W100" t="str">
            <v xml:space="preserve">전반적인 사업의 필요성과 시장분석등이 잘 이루어져 있다. 다만, 창업아이템의 품질 효용성 및 시장기술력 우위등을 위한 객관적인 근거마련이 필요하다. </v>
          </cell>
        </row>
        <row r="101">
          <cell r="B101">
            <v>20431143</v>
          </cell>
          <cell r="C101" t="str">
            <v>지역기반</v>
          </cell>
          <cell r="D101" t="str">
            <v>화공ㆍ섬유</v>
          </cell>
          <cell r="E101" t="str">
            <v>멀티유즈 프리미엄 라이프케어 제품 개발 및 브랜드 사업화</v>
          </cell>
          <cell r="F101" t="str">
            <v>0</v>
          </cell>
          <cell r="G101" t="str">
            <v>0</v>
          </cell>
          <cell r="H101" t="str">
            <v>초기</v>
          </cell>
          <cell r="I101" t="str">
            <v>청년</v>
          </cell>
          <cell r="J101">
            <v>0</v>
          </cell>
          <cell r="K101">
            <v>7</v>
          </cell>
          <cell r="L101">
            <v>5</v>
          </cell>
          <cell r="M101">
            <v>15</v>
          </cell>
          <cell r="N101">
            <v>15</v>
          </cell>
          <cell r="O101">
            <v>7</v>
          </cell>
          <cell r="P101">
            <v>6</v>
          </cell>
          <cell r="Q101">
            <v>15</v>
          </cell>
          <cell r="R101">
            <v>5</v>
          </cell>
          <cell r="S101">
            <v>75</v>
          </cell>
          <cell r="T101">
            <v>0</v>
          </cell>
          <cell r="U101">
            <v>75</v>
          </cell>
          <cell r="V101">
            <v>63</v>
          </cell>
          <cell r="W101" t="str">
            <v>창업아이템에 대한 기술개요와 개발방향은 이해하기 쉽게 작성되어졌으며, 기존 제품과의 연관성도 잘 서술되어져 있다. 전반적으로 기술추진의지를 포함한 사업방향은 적절하나 효능성과 기존 시장제품들과 비교를 통한 객관성을 확보하는데에 보완이 필요하다</v>
          </cell>
        </row>
        <row r="102">
          <cell r="B102">
            <v>20432269</v>
          </cell>
          <cell r="C102" t="str">
            <v>지역기반</v>
          </cell>
          <cell r="D102" t="str">
            <v>화공ㆍ섬유</v>
          </cell>
          <cell r="E102" t="str">
            <v>나노리포좀 기술이 적용된 해양 바이오 K뷰티 스킨케어 브랜드 : 해올</v>
          </cell>
          <cell r="F102" t="str">
            <v>19,000,000</v>
          </cell>
          <cell r="G102" t="str">
            <v>4</v>
          </cell>
          <cell r="H102" t="str">
            <v>초기</v>
          </cell>
          <cell r="I102" t="str">
            <v>청년</v>
          </cell>
          <cell r="J102">
            <v>0</v>
          </cell>
          <cell r="K102">
            <v>7</v>
          </cell>
          <cell r="L102">
            <v>7</v>
          </cell>
          <cell r="M102">
            <v>14</v>
          </cell>
          <cell r="N102">
            <v>13</v>
          </cell>
          <cell r="O102">
            <v>6</v>
          </cell>
          <cell r="P102">
            <v>6</v>
          </cell>
          <cell r="Q102">
            <v>13</v>
          </cell>
          <cell r="R102">
            <v>4</v>
          </cell>
          <cell r="S102">
            <v>70</v>
          </cell>
          <cell r="T102">
            <v>2</v>
          </cell>
          <cell r="U102">
            <v>72</v>
          </cell>
          <cell r="V102">
            <v>75</v>
          </cell>
          <cell r="W102" t="str">
            <v>기존시장에서의 문제점과 이를 해결하고자 하는 사업방향은 잘 설명되어져 있다. 다만, 기존 기능성 제품들과의 비교에서 기능에 대한 분석보다는 주관적인 소비자 인식에 그치고 있으며, 차별화 포지셔닝을 위한 객관적인 데이터가 필요하다.</v>
          </cell>
        </row>
        <row r="103">
          <cell r="B103">
            <v>20432460</v>
          </cell>
          <cell r="C103" t="str">
            <v>지역기반</v>
          </cell>
          <cell r="D103" t="str">
            <v>화공ㆍ섬유</v>
          </cell>
          <cell r="E103" t="str">
            <v>여성 선수 체형 설계 데이터베이스 기반 퍼포먼스 스포츠웨어 '주키트(JUKIT) 우먼스 라인'</v>
          </cell>
          <cell r="F103" t="str">
            <v>77,000,000</v>
          </cell>
          <cell r="G103" t="str">
            <v>2</v>
          </cell>
          <cell r="H103" t="str">
            <v>초기</v>
          </cell>
          <cell r="I103" t="str">
            <v>청년</v>
          </cell>
          <cell r="J103">
            <v>0</v>
          </cell>
          <cell r="K103">
            <v>9</v>
          </cell>
          <cell r="L103">
            <v>8</v>
          </cell>
          <cell r="M103">
            <v>18</v>
          </cell>
          <cell r="N103">
            <v>16</v>
          </cell>
          <cell r="O103">
            <v>6</v>
          </cell>
          <cell r="P103">
            <v>8</v>
          </cell>
          <cell r="Q103">
            <v>14</v>
          </cell>
          <cell r="R103">
            <v>4</v>
          </cell>
          <cell r="S103">
            <v>83</v>
          </cell>
          <cell r="T103">
            <v>0</v>
          </cell>
          <cell r="U103">
            <v>83</v>
          </cell>
          <cell r="V103">
            <v>33</v>
          </cell>
          <cell r="W103" t="str">
            <v>창업아이템에 대한 정의와 기술적 개요를 포함하여 잘 정리되어 있다. 또한 기존 출시된 v1제품과의 연관성도 창업아이템과 잘 매칭되어 있는 점이 돋보인다. 다만, 기존 기능성 시장 제품들과의 차별성이나 기술적 포지셔닝이 명확히 제시되지 않아 이에 대한 보완이 필요하다.</v>
          </cell>
        </row>
        <row r="104">
          <cell r="B104">
            <v>20432575</v>
          </cell>
          <cell r="C104" t="str">
            <v>지역기반</v>
          </cell>
          <cell r="D104" t="str">
            <v>화공ㆍ섬유</v>
          </cell>
          <cell r="E104" t="str">
            <v>비건·할랄 기준을 적용한 피부장벽·탄력 개선 기능의 글로벌 스킨케어 제품</v>
          </cell>
          <cell r="F104" t="str">
            <v>150,000,000</v>
          </cell>
          <cell r="G104" t="str">
            <v>3</v>
          </cell>
          <cell r="H104" t="str">
            <v>초기</v>
          </cell>
          <cell r="I104" t="str">
            <v>청년</v>
          </cell>
          <cell r="J104">
            <v>0</v>
          </cell>
          <cell r="K104">
            <v>9</v>
          </cell>
          <cell r="L104">
            <v>9</v>
          </cell>
          <cell r="M104">
            <v>15</v>
          </cell>
          <cell r="N104">
            <v>13</v>
          </cell>
          <cell r="O104">
            <v>7</v>
          </cell>
          <cell r="P104">
            <v>6</v>
          </cell>
          <cell r="Q104">
            <v>11</v>
          </cell>
          <cell r="R104">
            <v>5</v>
          </cell>
          <cell r="S104">
            <v>75</v>
          </cell>
          <cell r="T104">
            <v>0</v>
          </cell>
          <cell r="U104">
            <v>75</v>
          </cell>
          <cell r="V104">
            <v>63</v>
          </cell>
          <cell r="W104" t="str">
            <v>비건 할랄을 중심으로 한 기능성 화장품을 창업아이템으로 하여 시장에서의 요구성과 고객을 통한 필요성 등에 대해 잘 설명되어져 있다. 다만 기존 시장의 기능성 제품들과의 객관성 있는 비교나 효용성에 대한 분석자료가 보완이 필요할 것으로 보인다.</v>
          </cell>
        </row>
        <row r="105">
          <cell r="B105">
            <v>20433253</v>
          </cell>
          <cell r="C105" t="str">
            <v>지역기반</v>
          </cell>
          <cell r="D105" t="str">
            <v>화공ㆍ섬유</v>
          </cell>
          <cell r="E105" t="str">
            <v>효과와 자극의 딜레마 극복, '초단기 턴오버 회복' K-뷰티 라인업</v>
          </cell>
          <cell r="F105" t="str">
            <v>133,110,166</v>
          </cell>
          <cell r="G105" t="str">
            <v>0</v>
          </cell>
          <cell r="H105" t="str">
            <v>초기</v>
          </cell>
          <cell r="I105" t="str">
            <v>청년</v>
          </cell>
          <cell r="J105">
            <v>0</v>
          </cell>
          <cell r="K105">
            <v>8</v>
          </cell>
          <cell r="L105">
            <v>9</v>
          </cell>
          <cell r="M105">
            <v>17</v>
          </cell>
          <cell r="N105">
            <v>16</v>
          </cell>
          <cell r="O105">
            <v>8</v>
          </cell>
          <cell r="P105">
            <v>7</v>
          </cell>
          <cell r="Q105">
            <v>13</v>
          </cell>
          <cell r="R105">
            <v>4</v>
          </cell>
          <cell r="S105">
            <v>82</v>
          </cell>
          <cell r="T105">
            <v>0</v>
          </cell>
          <cell r="U105">
            <v>82</v>
          </cell>
          <cell r="V105">
            <v>37</v>
          </cell>
          <cell r="W105" t="str">
            <v>기존 시장에 대한 분석을 통해 효용성과 안정성을 구현하고자 하는 기능성 화장품을 창업아이템으로 하여 이에 대한 전반적인 설명이 잘 이루어져 있다. 특히 실제 효능을 표한하는데 있어 임상연구센터를 통해 객관성이 있는 근거를 제시하는 등 기술력도 검증이 이루어져 있어 보인다. 다만, 시장경쟁 제품 대비 놀라운 효능을 보이는 제품에 대해 충분한 가격경쟁력을 확보하는 구체적 방안에 대해 명시되어 있지 않아 제품에 대한 신뢰성 판단에 보완이 필요하다.</v>
          </cell>
        </row>
        <row r="106">
          <cell r="B106">
            <v>20440248</v>
          </cell>
          <cell r="C106" t="str">
            <v>지역기반</v>
          </cell>
          <cell r="D106" t="str">
            <v>화공ㆍ섬유</v>
          </cell>
          <cell r="E106" t="str">
            <v>버려지는 부산물을 활용한 주름개선용 식물성 펩타이드 소재 사업화</v>
          </cell>
          <cell r="F106" t="str">
            <v>63,000,000</v>
          </cell>
          <cell r="G106" t="str">
            <v>0</v>
          </cell>
          <cell r="H106" t="str">
            <v>초기</v>
          </cell>
          <cell r="I106" t="str">
            <v>중장년</v>
          </cell>
          <cell r="J106">
            <v>0</v>
          </cell>
          <cell r="K106">
            <v>6</v>
          </cell>
          <cell r="L106">
            <v>7</v>
          </cell>
          <cell r="M106">
            <v>15</v>
          </cell>
          <cell r="N106">
            <v>13</v>
          </cell>
          <cell r="O106">
            <v>5</v>
          </cell>
          <cell r="P106">
            <v>5</v>
          </cell>
          <cell r="Q106">
            <v>11</v>
          </cell>
          <cell r="R106">
            <v>4</v>
          </cell>
          <cell r="S106">
            <v>66</v>
          </cell>
          <cell r="T106">
            <v>0</v>
          </cell>
          <cell r="U106">
            <v>66</v>
          </cell>
          <cell r="V106">
            <v>100</v>
          </cell>
          <cell r="W106" t="str">
            <v>폐 천연자료를 통해 기능성 화장품을 구현하는 창업아이템을 중심으로 기술의 우수성과 실현가능성이 잘 설명되어져 있다. 다만, 천연자료를 활용하는 경쟁 기능성 제품들과의 비교나 효용성에 대한 객관성이 있는 근거자료등에 대해 추가 검토가 필요하다.</v>
          </cell>
        </row>
        <row r="107">
          <cell r="B107">
            <v>20416668</v>
          </cell>
          <cell r="C107" t="str">
            <v>대학발</v>
          </cell>
          <cell r="D107" t="str">
            <v>화공ㆍ섬유</v>
          </cell>
          <cell r="E107" t="str">
            <v>여름철 민감·트러블 진정용 스킨케어 샤워기용 타블렛 개발</v>
          </cell>
          <cell r="F107" t="str">
            <v>52,678,928</v>
          </cell>
          <cell r="G107" t="str">
            <v>4</v>
          </cell>
          <cell r="H107" t="str">
            <v>초기</v>
          </cell>
          <cell r="I107" t="str">
            <v>청년</v>
          </cell>
          <cell r="J107">
            <v>0</v>
          </cell>
          <cell r="K107">
            <v>6</v>
          </cell>
          <cell r="L107">
            <v>6</v>
          </cell>
          <cell r="M107">
            <v>15</v>
          </cell>
          <cell r="N107">
            <v>14</v>
          </cell>
          <cell r="O107">
            <v>7</v>
          </cell>
          <cell r="P107">
            <v>5</v>
          </cell>
          <cell r="Q107">
            <v>12</v>
          </cell>
          <cell r="R107">
            <v>3</v>
          </cell>
          <cell r="S107">
            <v>68</v>
          </cell>
          <cell r="T107">
            <v>0</v>
          </cell>
          <cell r="U107">
            <v>68</v>
          </cell>
          <cell r="V107">
            <v>86</v>
          </cell>
          <cell r="W107" t="str">
            <v>열감완화를 위한 샤워기용 기능성 타블렛을 창업아이템으로 하여 사업전반에 대한 설명이나 목표시장에 대한 사업화에 잘 설명되어져 있으나, 실제 개발하고자 하는 제품에 대한 성능평가가 타 기능성 샤워기용 제품들과의 차별성에 대한 구체적, 객관적 근거가 부족하며 이에 대해 보완이 필요할 것으로 판단된다.</v>
          </cell>
          <cell r="X107" t="str">
            <v>일치</v>
          </cell>
          <cell r="Y107" t="str">
            <v>사업화 부분의 주력산업내용 포함여부에 대해 추가 검토가 필요함</v>
          </cell>
        </row>
        <row r="108">
          <cell r="B108">
            <v>20423311</v>
          </cell>
          <cell r="C108" t="str">
            <v>대학발</v>
          </cell>
          <cell r="D108" t="str">
            <v>화공ㆍ섬유</v>
          </cell>
          <cell r="E108" t="str">
            <v>리사이클 팩토리 AI</v>
          </cell>
          <cell r="F108" t="str">
            <v>155,756,130</v>
          </cell>
          <cell r="G108" t="str">
            <v>1</v>
          </cell>
          <cell r="H108" t="str">
            <v>초기</v>
          </cell>
          <cell r="I108" t="str">
            <v>중장년</v>
          </cell>
          <cell r="J108">
            <v>0</v>
          </cell>
          <cell r="K108">
            <v>9</v>
          </cell>
          <cell r="L108">
            <v>10</v>
          </cell>
          <cell r="M108">
            <v>18</v>
          </cell>
          <cell r="N108">
            <v>17</v>
          </cell>
          <cell r="O108">
            <v>9</v>
          </cell>
          <cell r="P108">
            <v>8</v>
          </cell>
          <cell r="Q108">
            <v>13</v>
          </cell>
          <cell r="R108">
            <v>5</v>
          </cell>
          <cell r="S108">
            <v>89</v>
          </cell>
          <cell r="T108">
            <v>0</v>
          </cell>
          <cell r="U108">
            <v>89</v>
          </cell>
          <cell r="V108">
            <v>7</v>
          </cell>
          <cell r="W108" t="str">
            <v>의류시장에서의 재고 기반 생산아이템에 대한 기획을 자체적으로 판단할 수 있는 의류팩토리 AI사업을 창업아이템으로 하여 기존시장에서의 재고관리 문제나 이를 활용하기 위한 다양한 문제점들을 잘 분석하였고, 사업방향에 대해 비교적 명확하게 제시되어 있다. 다만 기술의 구현에 대한 부분은 추가적으로 검증이 필요할 것으로 보인다.</v>
          </cell>
          <cell r="X108" t="str">
            <v>일치</v>
          </cell>
          <cell r="Y108" t="str">
            <v>과제 구성에 AI요소가 포함되어 있어 일치로 판단됨</v>
          </cell>
        </row>
        <row r="109">
          <cell r="B109">
            <v>20425251</v>
          </cell>
          <cell r="C109" t="str">
            <v>대학발</v>
          </cell>
          <cell r="D109" t="str">
            <v>화공ㆍ섬유</v>
          </cell>
          <cell r="E109" t="str">
            <v>AI 안면 분석 기반 개인 맞춤형 눈썹 스타일링 키트</v>
          </cell>
          <cell r="F109" t="str">
            <v>0</v>
          </cell>
          <cell r="G109" t="str">
            <v>0</v>
          </cell>
          <cell r="H109" t="str">
            <v>초기</v>
          </cell>
          <cell r="I109" t="str">
            <v>중장년</v>
          </cell>
          <cell r="J109">
            <v>0</v>
          </cell>
          <cell r="K109">
            <v>6</v>
          </cell>
          <cell r="L109">
            <v>6</v>
          </cell>
          <cell r="M109">
            <v>14</v>
          </cell>
          <cell r="N109">
            <v>13</v>
          </cell>
          <cell r="O109">
            <v>7</v>
          </cell>
          <cell r="P109">
            <v>5</v>
          </cell>
          <cell r="Q109">
            <v>11</v>
          </cell>
          <cell r="R109">
            <v>3</v>
          </cell>
          <cell r="S109">
            <v>65</v>
          </cell>
          <cell r="T109">
            <v>0</v>
          </cell>
          <cell r="U109">
            <v>65</v>
          </cell>
          <cell r="V109">
            <v>108</v>
          </cell>
          <cell r="W109" t="str">
            <v>개인맞춤형 얼굴인식 앱을 통한 눈썹 키트의 customized 디바이스를 창업아이템으로 하는 사업에 대해 전반적인 설명과 기존 시장제품들과의 차별성에 대해 잘 설명이 이루어져 있다. 다만, 창업아이템에 대한 핵심적인 기술들이 모두 특허 출원 계획단계에 머물러 있어 실질적인 사업화에 대한 실현가능성이 다소 부족해 보인다.</v>
          </cell>
          <cell r="X109" t="str">
            <v>일치</v>
          </cell>
          <cell r="Y109" t="str">
            <v>과제 구성에 AI요소가 포함되어 있어 일치로 판단됨</v>
          </cell>
        </row>
        <row r="110">
          <cell r="B110">
            <v>20429258</v>
          </cell>
          <cell r="C110" t="str">
            <v>대학발</v>
          </cell>
          <cell r="D110" t="str">
            <v>화공ㆍ섬유</v>
          </cell>
          <cell r="E110" t="str">
            <v>피부를 숨기지 않아도 되는 안심 베이스</v>
          </cell>
          <cell r="F110" t="str">
            <v>150,000,000</v>
          </cell>
          <cell r="G110" t="str">
            <v>1</v>
          </cell>
          <cell r="H110" t="str">
            <v>초기</v>
          </cell>
          <cell r="I110" t="str">
            <v>청년</v>
          </cell>
          <cell r="J110" t="str">
            <v>요건탈락</v>
          </cell>
          <cell r="S110" t="str">
            <v/>
          </cell>
          <cell r="T110">
            <v>0</v>
          </cell>
          <cell r="U110" t="str">
            <v/>
          </cell>
          <cell r="V110" t="str">
            <v/>
          </cell>
        </row>
        <row r="111">
          <cell r="B111">
            <v>20421742</v>
          </cell>
          <cell r="C111" t="str">
            <v>실험실</v>
          </cell>
          <cell r="D111" t="str">
            <v>화공ㆍ섬유</v>
          </cell>
          <cell r="E111" t="str">
            <v>고난도 첨단 연구용 유기화합물 맞춤형 합성·공급 플랫폼</v>
          </cell>
          <cell r="F111" t="str">
            <v>26,081,000</v>
          </cell>
          <cell r="G111" t="str">
            <v>1</v>
          </cell>
          <cell r="H111" t="str">
            <v>초기</v>
          </cell>
          <cell r="I111" t="str">
            <v>청년</v>
          </cell>
          <cell r="J111" t="str">
            <v/>
          </cell>
          <cell r="K111">
            <v>8</v>
          </cell>
          <cell r="L111">
            <v>9</v>
          </cell>
          <cell r="M111">
            <v>17</v>
          </cell>
          <cell r="N111">
            <v>18</v>
          </cell>
          <cell r="O111">
            <v>9</v>
          </cell>
          <cell r="P111">
            <v>8</v>
          </cell>
          <cell r="Q111">
            <v>15</v>
          </cell>
          <cell r="R111">
            <v>5</v>
          </cell>
          <cell r="S111">
            <v>89</v>
          </cell>
          <cell r="T111">
            <v>0</v>
          </cell>
          <cell r="U111">
            <v>89</v>
          </cell>
          <cell r="V111">
            <v>7</v>
          </cell>
          <cell r="W111" t="str">
            <v>다양한 분야에서 활용될 수 있는 고부가가ㅊ치 특수 유기화합물을 고객요구에 맞추어 설계, 합성, 공급할 수있는 플랫폼을 마련하는 창업아이템을 기반으로 전반적인 내용이 명확하게 제시되어 있다. 기술에 대한 설명과 사업계획의 방향성도 잘 매칭되어 완성도가 적절한 것으로 보인다.</v>
          </cell>
        </row>
        <row r="112">
          <cell r="B112">
            <v>20401633</v>
          </cell>
          <cell r="C112" t="str">
            <v>지역기반</v>
          </cell>
          <cell r="D112" t="str">
            <v>화공ㆍ섬유</v>
          </cell>
          <cell r="E112" t="str">
            <v>수면 시간을 관리하는 수면 뷰티 솔루션 네루미인 제품 사업화</v>
          </cell>
          <cell r="F112" t="str">
            <v>20,000,000</v>
          </cell>
          <cell r="G112" t="str">
            <v>2</v>
          </cell>
          <cell r="H112" t="str">
            <v>도약</v>
          </cell>
          <cell r="I112" t="str">
            <v>청년</v>
          </cell>
          <cell r="J112">
            <v>0</v>
          </cell>
          <cell r="K112">
            <v>7</v>
          </cell>
          <cell r="L112">
            <v>7</v>
          </cell>
          <cell r="M112">
            <v>12</v>
          </cell>
          <cell r="N112">
            <v>18</v>
          </cell>
          <cell r="O112">
            <v>5</v>
          </cell>
          <cell r="P112">
            <v>5</v>
          </cell>
          <cell r="Q112">
            <v>10</v>
          </cell>
          <cell r="R112">
            <v>3</v>
          </cell>
          <cell r="S112">
            <v>67</v>
          </cell>
          <cell r="T112">
            <v>0</v>
          </cell>
          <cell r="U112">
            <v>67</v>
          </cell>
          <cell r="V112">
            <v>95</v>
          </cell>
          <cell r="W112" t="str">
            <v>기 출시된 창업제품의 고도화 모델 개발을 위한 사업계획으로 시장성 및 매출능력에 대해 잘 설명되어져 있다. 다만, 실질적인 기술개발은 외주용역으로 진행하고 주관사에서는 판매권만을 가지고 진행하는 사업형태에 대해서는 적절하지 않으며, 주관사에서 기술력이 있다고 판단하기 어렵게 보인다.</v>
          </cell>
        </row>
        <row r="113">
          <cell r="B113">
            <v>20404514</v>
          </cell>
          <cell r="C113" t="str">
            <v>지역기반</v>
          </cell>
          <cell r="D113" t="str">
            <v>화공ㆍ섬유</v>
          </cell>
          <cell r="E113" t="str">
            <v>건조기/스타일러 겸용 로컬라이징 천연 섬유유연제 시트 개발</v>
          </cell>
          <cell r="F113" t="str">
            <v>559,870,000</v>
          </cell>
          <cell r="G113" t="str">
            <v>9</v>
          </cell>
          <cell r="H113" t="str">
            <v>도약</v>
          </cell>
          <cell r="I113" t="str">
            <v>중장년</v>
          </cell>
          <cell r="J113">
            <v>0</v>
          </cell>
          <cell r="K113">
            <v>9</v>
          </cell>
          <cell r="L113">
            <v>8</v>
          </cell>
          <cell r="M113">
            <v>18</v>
          </cell>
          <cell r="N113">
            <v>17</v>
          </cell>
          <cell r="O113">
            <v>8</v>
          </cell>
          <cell r="P113">
            <v>7</v>
          </cell>
          <cell r="Q113">
            <v>14</v>
          </cell>
          <cell r="R113">
            <v>3</v>
          </cell>
          <cell r="S113">
            <v>84</v>
          </cell>
          <cell r="T113">
            <v>0</v>
          </cell>
          <cell r="U113">
            <v>84</v>
          </cell>
          <cell r="V113">
            <v>30</v>
          </cell>
          <cell r="W113" t="str">
            <v>기 개발된 창업아이템의 개발과 최적화 및 다양한 성능, 안전성 검증을 진행한 상태로 시장진입 능력 및 연구내용이 검증되어져 있다. 전반적으로 추진계획의 완성도는 양호한 것으로 보이나, 양산을 위한 팀 역량 측면에서는 추가 검토가 필요할 것으로 보인다.</v>
          </cell>
        </row>
        <row r="114">
          <cell r="B114">
            <v>20408236</v>
          </cell>
          <cell r="C114" t="str">
            <v>지역기반</v>
          </cell>
          <cell r="D114" t="str">
            <v>화공ㆍ섬유</v>
          </cell>
          <cell r="E114" t="str">
            <v>니치퍼퓸, 아로마 해외 수출 전문 화장품</v>
          </cell>
          <cell r="F114" t="str">
            <v>60,000,000</v>
          </cell>
          <cell r="G114" t="str">
            <v>1</v>
          </cell>
          <cell r="H114" t="str">
            <v>도약</v>
          </cell>
          <cell r="I114" t="str">
            <v>청년</v>
          </cell>
          <cell r="J114">
            <v>0</v>
          </cell>
          <cell r="K114">
            <v>6</v>
          </cell>
          <cell r="L114">
            <v>6</v>
          </cell>
          <cell r="M114">
            <v>15</v>
          </cell>
          <cell r="N114">
            <v>13</v>
          </cell>
          <cell r="O114">
            <v>6</v>
          </cell>
          <cell r="P114">
            <v>5</v>
          </cell>
          <cell r="Q114">
            <v>11</v>
          </cell>
          <cell r="R114">
            <v>4</v>
          </cell>
          <cell r="S114">
            <v>66</v>
          </cell>
          <cell r="T114">
            <v>0</v>
          </cell>
          <cell r="U114">
            <v>66</v>
          </cell>
          <cell r="V114">
            <v>100</v>
          </cell>
          <cell r="W114" t="str">
            <v>시장의 트렌드에 맞춘 니치향수, 아로마 기능성 화장품을 창업 아이템으로 하는 부분에 전반적인 현황이 잘 설명되어져 있으나, 제품을 구체적으로 포지셔닝 하여 고객을 타켓팅 하려는 마케팅 면에서 내용이 많이 부족하여 이에 대한 보완이 필요하다.</v>
          </cell>
        </row>
        <row r="115">
          <cell r="B115">
            <v>20410202</v>
          </cell>
          <cell r="C115" t="str">
            <v>지역기반</v>
          </cell>
          <cell r="D115" t="str">
            <v>화공ㆍ섬유</v>
          </cell>
          <cell r="E115" t="str">
            <v>AI 기반 고급 가죽 잡화 맞춤 제작 솔루션</v>
          </cell>
          <cell r="F115" t="str">
            <v>210,766,110</v>
          </cell>
          <cell r="G115" t="str">
            <v>4</v>
          </cell>
          <cell r="H115" t="str">
            <v>도약</v>
          </cell>
          <cell r="I115" t="str">
            <v>청년</v>
          </cell>
          <cell r="J115" t="str">
            <v>면제</v>
          </cell>
          <cell r="S115" t="str">
            <v/>
          </cell>
          <cell r="T115">
            <v>0</v>
          </cell>
          <cell r="U115">
            <v>100</v>
          </cell>
          <cell r="V115" t="str">
            <v/>
          </cell>
          <cell r="W115" t="str">
            <v>서류평가 면제</v>
          </cell>
        </row>
        <row r="116">
          <cell r="B116">
            <v>20412068</v>
          </cell>
          <cell r="C116" t="str">
            <v>지역기반</v>
          </cell>
          <cell r="D116" t="str">
            <v>화공ㆍ섬유</v>
          </cell>
          <cell r="E116" t="str">
            <v>계면활성제 10% 이하 초저계면 세정 기술이 적용된  탄산 마이크로버블 브랜드 ‘beurth’ 양산화 및 글로벌(아마존) 스케일업</v>
          </cell>
          <cell r="F116" t="str">
            <v>209,000,000</v>
          </cell>
          <cell r="G116" t="str">
            <v>3</v>
          </cell>
          <cell r="H116" t="str">
            <v>도약</v>
          </cell>
          <cell r="I116" t="str">
            <v>청년</v>
          </cell>
          <cell r="J116">
            <v>0</v>
          </cell>
          <cell r="K116">
            <v>8</v>
          </cell>
          <cell r="L116">
            <v>8</v>
          </cell>
          <cell r="M116">
            <v>16</v>
          </cell>
          <cell r="N116">
            <v>13</v>
          </cell>
          <cell r="O116">
            <v>7</v>
          </cell>
          <cell r="P116">
            <v>6</v>
          </cell>
          <cell r="Q116">
            <v>13</v>
          </cell>
          <cell r="R116">
            <v>4</v>
          </cell>
          <cell r="S116">
            <v>75</v>
          </cell>
          <cell r="T116">
            <v>0</v>
          </cell>
          <cell r="U116">
            <v>75</v>
          </cell>
          <cell r="V116">
            <v>63</v>
          </cell>
          <cell r="W116" t="str">
            <v>저자극을 위한 저계면활성제 화장품을 창업아이템으로 하여 그 필요성과 기존 시장제품들과의 차별성에 대해 잘 설명되어져 있다. 전반적으로 추진 기반은 있는 것으로 보이나, 비즈니스 모델을 통한 사업화나 scale up을 통한 품질 검증 시스템 등이 마련되어 있지 않아 이에 대한 보완이 필요하다</v>
          </cell>
        </row>
        <row r="117">
          <cell r="B117">
            <v>20413097</v>
          </cell>
          <cell r="C117" t="str">
            <v>지역기반</v>
          </cell>
          <cell r="D117" t="str">
            <v>화공ㆍ섬유</v>
          </cell>
          <cell r="E117" t="str">
            <v>AI 기반 제조 공정 혁신 기술이 적용된 글로벌 타겟 프리미엄 K-디저트 개발 및 사업화</v>
          </cell>
          <cell r="F117" t="str">
            <v>1,000,000,000</v>
          </cell>
          <cell r="G117" t="str">
            <v>13</v>
          </cell>
          <cell r="H117" t="str">
            <v>도약</v>
          </cell>
          <cell r="I117" t="str">
            <v>청년</v>
          </cell>
          <cell r="J117">
            <v>0</v>
          </cell>
          <cell r="K117">
            <v>9</v>
          </cell>
          <cell r="L117">
            <v>9</v>
          </cell>
          <cell r="M117">
            <v>17</v>
          </cell>
          <cell r="N117">
            <v>17</v>
          </cell>
          <cell r="O117">
            <v>8</v>
          </cell>
          <cell r="P117">
            <v>8</v>
          </cell>
          <cell r="Q117">
            <v>14</v>
          </cell>
          <cell r="R117">
            <v>4</v>
          </cell>
          <cell r="S117">
            <v>86</v>
          </cell>
          <cell r="T117">
            <v>0</v>
          </cell>
          <cell r="U117">
            <v>86</v>
          </cell>
          <cell r="V117">
            <v>20</v>
          </cell>
          <cell r="W117" t="str">
            <v>기존에 수행중인 창업 아이템에 대해 충분히 사업화 능력과 신규시장 개척을 위한 의지를 확인할 수 있다. 다만 해외진출을 위해 유해성 검증과 인증 문제를 선행해서 해결해야 할 것으로 판단되며, 이에 대한 객관적인 자료가 제시되어야 한다.</v>
          </cell>
        </row>
        <row r="118">
          <cell r="B118">
            <v>20414167</v>
          </cell>
          <cell r="C118" t="str">
            <v>지역기반</v>
          </cell>
          <cell r="D118" t="str">
            <v>화공ㆍ섬유</v>
          </cell>
          <cell r="E118" t="str">
            <v>다층 복합 구조 레이저 방호 원단을 활용한 경량형 레이저 보호복</v>
          </cell>
          <cell r="F118" t="str">
            <v>1,177,000,000</v>
          </cell>
          <cell r="G118" t="str">
            <v>8</v>
          </cell>
          <cell r="H118" t="str">
            <v>도약</v>
          </cell>
          <cell r="I118" t="str">
            <v>청년</v>
          </cell>
          <cell r="J118" t="str">
            <v>면제</v>
          </cell>
          <cell r="S118" t="str">
            <v/>
          </cell>
          <cell r="T118">
            <v>0</v>
          </cell>
          <cell r="U118">
            <v>100</v>
          </cell>
          <cell r="V118" t="str">
            <v/>
          </cell>
          <cell r="W118" t="str">
            <v>서류평가 면제</v>
          </cell>
        </row>
        <row r="119">
          <cell r="B119">
            <v>20417179</v>
          </cell>
          <cell r="C119" t="str">
            <v>지역기반</v>
          </cell>
          <cell r="D119" t="str">
            <v>화공ㆍ섬유</v>
          </cell>
          <cell r="E119" t="str">
            <v>VOCs 저감 및 재활용 분리가 가능한 무접착 열라미네이팅 기반 친환경 합지소재 기술개발</v>
          </cell>
          <cell r="F119" t="str">
            <v>30,000,000</v>
          </cell>
          <cell r="G119" t="str">
            <v>1</v>
          </cell>
          <cell r="H119" t="str">
            <v>도약</v>
          </cell>
          <cell r="I119" t="str">
            <v>중장년</v>
          </cell>
          <cell r="J119">
            <v>0</v>
          </cell>
          <cell r="K119">
            <v>7</v>
          </cell>
          <cell r="L119">
            <v>9</v>
          </cell>
          <cell r="M119">
            <v>17</v>
          </cell>
          <cell r="N119">
            <v>15</v>
          </cell>
          <cell r="O119">
            <v>7</v>
          </cell>
          <cell r="P119">
            <v>6</v>
          </cell>
          <cell r="Q119">
            <v>13</v>
          </cell>
          <cell r="R119">
            <v>4</v>
          </cell>
          <cell r="S119">
            <v>78</v>
          </cell>
          <cell r="T119">
            <v>0</v>
          </cell>
          <cell r="U119">
            <v>78</v>
          </cell>
          <cell r="V119">
            <v>45</v>
          </cell>
          <cell r="W119" t="str">
            <v>무접착 열라미네이팅 공정기술을 활용한 친환경 포장소재를 창업아이템으로 하는 사업계획으로 전반적인 구성이 우수하며 잘 설명되어져 있다. 기초연구를 통해 기술력은 확보한 것으로 보이나, 기존 시장에서의 제품대비 가격경쟁력이나 시장성 등에 대한 객관적 검증이 추가로 보완되어야 할 것으로 보인다.</v>
          </cell>
        </row>
        <row r="120">
          <cell r="B120">
            <v>20425558</v>
          </cell>
          <cell r="C120" t="str">
            <v>지역기반</v>
          </cell>
          <cell r="D120" t="str">
            <v>화공ㆍ섬유</v>
          </cell>
          <cell r="E120" t="str">
            <v>국내산 집성재의 이익극대화를 위한 상온 경화형 집성재 제조 공정 개발</v>
          </cell>
          <cell r="F120" t="str">
            <v>31,000,000</v>
          </cell>
          <cell r="G120" t="str">
            <v>1</v>
          </cell>
          <cell r="H120" t="str">
            <v>도약</v>
          </cell>
          <cell r="I120" t="str">
            <v>중장년</v>
          </cell>
          <cell r="J120">
            <v>0</v>
          </cell>
          <cell r="K120">
            <v>5</v>
          </cell>
          <cell r="L120">
            <v>6</v>
          </cell>
          <cell r="M120">
            <v>13</v>
          </cell>
          <cell r="N120">
            <v>15</v>
          </cell>
          <cell r="O120">
            <v>6</v>
          </cell>
          <cell r="P120">
            <v>5</v>
          </cell>
          <cell r="Q120">
            <v>12</v>
          </cell>
          <cell r="R120">
            <v>4</v>
          </cell>
          <cell r="S120">
            <v>66</v>
          </cell>
          <cell r="T120">
            <v>0</v>
          </cell>
          <cell r="U120">
            <v>66</v>
          </cell>
          <cell r="V120">
            <v>100</v>
          </cell>
          <cell r="W120" t="str">
            <v>경쟁사대비 차별화 요소를 제시하여 기술력이 보이는 점은 긍정적으로 평가된다. 다만 차별성이 실제 기술 우위로 연결될 수 있는 객관적인 근거는 다소 부족하였으며, 이를 통해 독자성에 대한 보완이 필요하다.</v>
          </cell>
        </row>
        <row r="121">
          <cell r="B121">
            <v>20426450</v>
          </cell>
          <cell r="C121" t="str">
            <v>지역기반</v>
          </cell>
          <cell r="D121" t="str">
            <v>화공ㆍ섬유</v>
          </cell>
          <cell r="E121" t="str">
            <v>아우라 오브 조선 (Aura of Joseon)</v>
          </cell>
          <cell r="F121" t="str">
            <v>1,042,366,276</v>
          </cell>
          <cell r="G121" t="str">
            <v>1</v>
          </cell>
          <cell r="H121" t="str">
            <v>도약</v>
          </cell>
          <cell r="I121" t="str">
            <v>청년</v>
          </cell>
          <cell r="J121">
            <v>0</v>
          </cell>
          <cell r="K121">
            <v>6</v>
          </cell>
          <cell r="L121">
            <v>6</v>
          </cell>
          <cell r="M121">
            <v>16</v>
          </cell>
          <cell r="N121">
            <v>15</v>
          </cell>
          <cell r="O121">
            <v>6</v>
          </cell>
          <cell r="P121">
            <v>6</v>
          </cell>
          <cell r="Q121">
            <v>11</v>
          </cell>
          <cell r="R121">
            <v>4</v>
          </cell>
          <cell r="S121">
            <v>70</v>
          </cell>
          <cell r="T121">
            <v>0</v>
          </cell>
          <cell r="U121">
            <v>70</v>
          </cell>
          <cell r="V121">
            <v>83</v>
          </cell>
          <cell r="W121" t="str">
            <v>니치향수 시향 보장형 플랫폼 개발에 대한 창업아이템에 대해 소비자 니즈를 반영한 필요성과 시장진입을 위한 전략이 잘 서술되어져 있다. 다만 시제품이 향수 본품과 샘플키트가 결합된 패키지로 시장진출을 위한 기술부분이 반영되어 있다고 보기에는 어려우며, 보다 다른방향으로 구체화 하여 보완할 필요가 있다.</v>
          </cell>
        </row>
        <row r="122">
          <cell r="B122">
            <v>20426581</v>
          </cell>
          <cell r="C122" t="str">
            <v>지역기반</v>
          </cell>
          <cell r="D122" t="str">
            <v>화공ㆍ섬유</v>
          </cell>
          <cell r="E122" t="str">
            <v>황벽나무 및 쇠비름 유효성분의 효능 최대화 기술이 적용된 가려움 완화  비도포 분사형 제품</v>
          </cell>
          <cell r="F122" t="str">
            <v>160,000,000</v>
          </cell>
          <cell r="G122" t="str">
            <v>0</v>
          </cell>
          <cell r="H122" t="str">
            <v>도약</v>
          </cell>
          <cell r="I122" t="str">
            <v>청년</v>
          </cell>
          <cell r="J122">
            <v>0</v>
          </cell>
          <cell r="K122">
            <v>7</v>
          </cell>
          <cell r="L122">
            <v>8</v>
          </cell>
          <cell r="M122">
            <v>15</v>
          </cell>
          <cell r="N122">
            <v>14</v>
          </cell>
          <cell r="O122">
            <v>7</v>
          </cell>
          <cell r="P122">
            <v>8</v>
          </cell>
          <cell r="Q122">
            <v>13</v>
          </cell>
          <cell r="R122">
            <v>4</v>
          </cell>
          <cell r="S122">
            <v>76</v>
          </cell>
          <cell r="T122">
            <v>0</v>
          </cell>
          <cell r="U122">
            <v>76</v>
          </cell>
          <cell r="V122">
            <v>54</v>
          </cell>
          <cell r="W122" t="str">
            <v>천연 진정 복합물 기반으로 분사형 피부 안정 화장품을 창업아이템으로 하는 사업으로 시장의 배경과 이를 해결하기 위한 해결방안 등이 잘 도출되어져 있다. 다만, 다양한 분사형 제품 대비 기술적 차별성이나 시장에서의 경쟁력 확보등을 위한 객관적인 근거자료가 부족하여 이에 대한 보완이 필요하며, 조직구성 및 운영면에서도 추가 검토가 필요하다.</v>
          </cell>
        </row>
        <row r="123">
          <cell r="B123">
            <v>20427672</v>
          </cell>
          <cell r="C123" t="str">
            <v>지역기반</v>
          </cell>
          <cell r="D123" t="str">
            <v>화공ㆍ섬유</v>
          </cell>
          <cell r="E123" t="str">
            <v>연화소재 기반 K-유자껍질 업사이클링 원료와 PLA 친환경 패키징을 활용하여 국내외로 지속가능 웰니스 경험을 선사하는 바디케어(바디로션) 제품 개발</v>
          </cell>
          <cell r="F123" t="str">
            <v>99,561,204</v>
          </cell>
          <cell r="G123" t="str">
            <v>2</v>
          </cell>
          <cell r="H123" t="str">
            <v>도약</v>
          </cell>
          <cell r="I123" t="str">
            <v>청년</v>
          </cell>
          <cell r="J123">
            <v>0</v>
          </cell>
          <cell r="K123">
            <v>8</v>
          </cell>
          <cell r="L123">
            <v>8</v>
          </cell>
          <cell r="M123">
            <v>15</v>
          </cell>
          <cell r="N123">
            <v>13</v>
          </cell>
          <cell r="O123">
            <v>5</v>
          </cell>
          <cell r="P123">
            <v>7</v>
          </cell>
          <cell r="Q123">
            <v>13</v>
          </cell>
          <cell r="R123">
            <v>4</v>
          </cell>
          <cell r="S123">
            <v>73</v>
          </cell>
          <cell r="T123">
            <v>0</v>
          </cell>
          <cell r="U123">
            <v>73</v>
          </cell>
          <cell r="V123">
            <v>71</v>
          </cell>
          <cell r="W123" t="str">
            <v>친환경 바디케어 제품에 대한 창업아이템을 기반으로 하여 아이템에 대한 상세한 설명과 그 시장성에 대해서 잘 설명되어져 있다. 다만, 실질적인 인체위해성에 대한 검증이나 이를 위한 기술적 방안들에 대한 설명이 미흡한 부분은 아쉽다 하겠다</v>
          </cell>
        </row>
        <row r="124">
          <cell r="B124">
            <v>20429160</v>
          </cell>
          <cell r="C124" t="str">
            <v>지역기반</v>
          </cell>
          <cell r="D124" t="str">
            <v>화공ㆍ섬유</v>
          </cell>
          <cell r="E124" t="str">
            <v>국산 과일 소재화 기술 기반 데이터·AI 연계 K-Fruit 동결건조 식품소재 개발 및 글로벌 사업화</v>
          </cell>
          <cell r="F124" t="str">
            <v>1,344,472,947</v>
          </cell>
          <cell r="G124" t="str">
            <v>5</v>
          </cell>
          <cell r="H124" t="str">
            <v>도약</v>
          </cell>
          <cell r="I124" t="str">
            <v>중장년</v>
          </cell>
          <cell r="J124">
            <v>0</v>
          </cell>
          <cell r="K124">
            <v>8</v>
          </cell>
          <cell r="L124">
            <v>5</v>
          </cell>
          <cell r="M124">
            <v>15</v>
          </cell>
          <cell r="N124">
            <v>14</v>
          </cell>
          <cell r="O124">
            <v>6</v>
          </cell>
          <cell r="P124">
            <v>7</v>
          </cell>
          <cell r="Q124">
            <v>12</v>
          </cell>
          <cell r="R124">
            <v>3</v>
          </cell>
          <cell r="S124">
            <v>70</v>
          </cell>
          <cell r="T124">
            <v>0</v>
          </cell>
          <cell r="U124">
            <v>70</v>
          </cell>
          <cell r="V124">
            <v>83</v>
          </cell>
          <cell r="W124" t="str">
            <v>과일을 동결건조 및 파우더화 하는 식품 가공형태의 창업아이템에 대해 전반적인 내용이 잘 기술되어 있으나, 동결건조를 위한 차별화된 기술이 제시되어 있지 않으며, 이를 유통하기 위한 부분도 보완이 필요할 것으로 판단됨</v>
          </cell>
        </row>
        <row r="125">
          <cell r="B125">
            <v>20429165</v>
          </cell>
          <cell r="C125" t="str">
            <v>지역기반</v>
          </cell>
          <cell r="D125" t="str">
            <v>화공ㆍ섬유</v>
          </cell>
          <cell r="E125" t="str">
            <v>AI x IoT 기반 Off-Grid 재난·안전 대응 스마트 모바일 쉘터</v>
          </cell>
          <cell r="F125" t="str">
            <v>608,370,260</v>
          </cell>
          <cell r="G125" t="str">
            <v>2</v>
          </cell>
          <cell r="H125" t="str">
            <v>도약</v>
          </cell>
          <cell r="I125" t="str">
            <v>중장년</v>
          </cell>
          <cell r="J125">
            <v>0</v>
          </cell>
          <cell r="K125">
            <v>8</v>
          </cell>
          <cell r="L125">
            <v>7</v>
          </cell>
          <cell r="M125">
            <v>14</v>
          </cell>
          <cell r="N125">
            <v>11</v>
          </cell>
          <cell r="O125">
            <v>6</v>
          </cell>
          <cell r="P125">
            <v>6</v>
          </cell>
          <cell r="Q125">
            <v>11</v>
          </cell>
          <cell r="R125">
            <v>2</v>
          </cell>
          <cell r="S125">
            <v>65</v>
          </cell>
          <cell r="T125">
            <v>0</v>
          </cell>
          <cell r="U125">
            <v>65</v>
          </cell>
          <cell r="V125">
            <v>108</v>
          </cell>
          <cell r="W125" t="str">
            <v>AI와 IOT가 연계된 안전 대응 스마트 모바일 쉘터 사업을 기반으로 재난 대응 및 안전을 위한 방안들이 잘 기술되어져 있으나, 실제 안전성이나 이를 검증하기 위한 방안들이 제시되어 있지 않아 보완이 필요함</v>
          </cell>
        </row>
        <row r="126">
          <cell r="B126">
            <v>20429774</v>
          </cell>
          <cell r="C126" t="str">
            <v>지역기반</v>
          </cell>
          <cell r="D126" t="str">
            <v>화공ㆍ섬유</v>
          </cell>
          <cell r="E126" t="str">
            <v>주짓수 도복 및 스포츠웨어 스마트 제조 및 제작</v>
          </cell>
          <cell r="F126" t="str">
            <v>650,000,000</v>
          </cell>
          <cell r="G126" t="str">
            <v>1</v>
          </cell>
          <cell r="H126" t="str">
            <v>도약</v>
          </cell>
          <cell r="I126" t="str">
            <v>중장년</v>
          </cell>
          <cell r="J126">
            <v>0</v>
          </cell>
          <cell r="K126">
            <v>7</v>
          </cell>
          <cell r="L126">
            <v>7</v>
          </cell>
          <cell r="M126">
            <v>16</v>
          </cell>
          <cell r="N126">
            <v>10</v>
          </cell>
          <cell r="O126">
            <v>5</v>
          </cell>
          <cell r="P126">
            <v>7</v>
          </cell>
          <cell r="Q126">
            <v>13</v>
          </cell>
          <cell r="R126">
            <v>3</v>
          </cell>
          <cell r="S126">
            <v>68</v>
          </cell>
          <cell r="T126">
            <v>0</v>
          </cell>
          <cell r="U126">
            <v>68</v>
          </cell>
          <cell r="V126">
            <v>86</v>
          </cell>
          <cell r="W126" t="str">
            <v>주짓수 의복 사업에 대해 기 경험을 가지고 있어 이와 관련한 사업구조에 대해서 잘 설명하고 있으나, 스포츠 특성상 관련 의복규정 및 규격화에 대한 근거마련이 우선시 되어야 할 것으로 판단된다.</v>
          </cell>
        </row>
        <row r="127">
          <cell r="B127">
            <v>20430395</v>
          </cell>
          <cell r="C127" t="str">
            <v>지역기반</v>
          </cell>
          <cell r="D127" t="str">
            <v>화공ㆍ섬유</v>
          </cell>
          <cell r="E127" t="str">
            <v>고양이와 안전하게 외출할 수 있는 슬개골‧디스크 케어 이동가방</v>
          </cell>
          <cell r="F127" t="str">
            <v>488,321,219</v>
          </cell>
          <cell r="G127" t="str">
            <v>1</v>
          </cell>
          <cell r="H127" t="str">
            <v>도약</v>
          </cell>
          <cell r="I127" t="str">
            <v>청년</v>
          </cell>
          <cell r="J127">
            <v>0</v>
          </cell>
          <cell r="K127">
            <v>7</v>
          </cell>
          <cell r="L127">
            <v>5</v>
          </cell>
          <cell r="M127">
            <v>15</v>
          </cell>
          <cell r="N127">
            <v>12</v>
          </cell>
          <cell r="O127">
            <v>6</v>
          </cell>
          <cell r="P127">
            <v>6</v>
          </cell>
          <cell r="Q127">
            <v>11</v>
          </cell>
          <cell r="R127">
            <v>2</v>
          </cell>
          <cell r="S127">
            <v>64</v>
          </cell>
          <cell r="T127">
            <v>2</v>
          </cell>
          <cell r="U127">
            <v>66</v>
          </cell>
          <cell r="V127">
            <v>100</v>
          </cell>
          <cell r="W127" t="str">
            <v xml:space="preserve">제시된 사업아이템은 객관성 있는 근거보다는 고객의 feedback을 중심으로 이루어져 있어 명확하지 않은 부분이 다소 있다. 펫의 위해성이나 안전성에 대해서 프리미엄급 품질을 언급하고 있으나 이에 대한 객관화 검증된 근거가 없다. </v>
          </cell>
        </row>
        <row r="128">
          <cell r="B128">
            <v>20431705</v>
          </cell>
          <cell r="C128" t="str">
            <v>지역기반</v>
          </cell>
          <cell r="D128" t="str">
            <v>화공ㆍ섬유</v>
          </cell>
          <cell r="E128" t="str">
            <v>스피큘 비드 코팅 기술 및 PDRN 시각화 기능이 적용된 B2B 화장품 원료 'Crystal Spicule Bead V4.0'</v>
          </cell>
          <cell r="F128" t="str">
            <v>2,000,000,000</v>
          </cell>
          <cell r="G128" t="str">
            <v>6</v>
          </cell>
          <cell r="H128" t="str">
            <v>도약</v>
          </cell>
          <cell r="I128" t="str">
            <v>중장년</v>
          </cell>
          <cell r="J128">
            <v>0</v>
          </cell>
          <cell r="K128">
            <v>9</v>
          </cell>
          <cell r="L128">
            <v>9</v>
          </cell>
          <cell r="M128">
            <v>17</v>
          </cell>
          <cell r="N128">
            <v>17</v>
          </cell>
          <cell r="O128">
            <v>9</v>
          </cell>
          <cell r="P128">
            <v>10</v>
          </cell>
          <cell r="Q128">
            <v>12</v>
          </cell>
          <cell r="R128">
            <v>4</v>
          </cell>
          <cell r="S128">
            <v>87</v>
          </cell>
          <cell r="T128">
            <v>0</v>
          </cell>
          <cell r="U128">
            <v>87</v>
          </cell>
          <cell r="V128">
            <v>14</v>
          </cell>
          <cell r="W128" t="str">
            <v>창업아이템의 개발배경부터 그 목적이 비교적 명화하게 제시되어져 있으며, 기술의 구현 방향과 사업화 연계간의 연결성도 자연스럽게 구현되어져 있다. 다만 인체유해성이나 효용성에 대한 검증이 필요할 것으로 판단된다</v>
          </cell>
        </row>
        <row r="129">
          <cell r="B129">
            <v>20422189</v>
          </cell>
          <cell r="C129" t="str">
            <v>대학발</v>
          </cell>
          <cell r="D129" t="str">
            <v>화공ㆍ섬유</v>
          </cell>
          <cell r="E129" t="str">
            <v>피부 장벽 개선 및 복합적 피부 고민 관리를 위한 스킨케어 솔루션</v>
          </cell>
          <cell r="F129" t="str">
            <v>2,000,000</v>
          </cell>
          <cell r="G129" t="str">
            <v>1</v>
          </cell>
          <cell r="H129" t="str">
            <v>도약</v>
          </cell>
          <cell r="I129" t="str">
            <v>중장년</v>
          </cell>
          <cell r="J129">
            <v>0</v>
          </cell>
          <cell r="K129">
            <v>7</v>
          </cell>
          <cell r="L129">
            <v>7</v>
          </cell>
          <cell r="M129">
            <v>15</v>
          </cell>
          <cell r="N129">
            <v>17</v>
          </cell>
          <cell r="O129">
            <v>8</v>
          </cell>
          <cell r="P129">
            <v>8</v>
          </cell>
          <cell r="Q129">
            <v>11</v>
          </cell>
          <cell r="R129">
            <v>3</v>
          </cell>
          <cell r="S129">
            <v>76</v>
          </cell>
          <cell r="T129">
            <v>0</v>
          </cell>
          <cell r="U129">
            <v>76</v>
          </cell>
          <cell r="V129">
            <v>54</v>
          </cell>
          <cell r="W129" t="str">
            <v>기능성 스킨케어 화장품을 창업아이템으로 하여 민감성 피부를 고려한 필요성과 그시장에 대해서 잘설명되어져 있다. 다만, 현재시장의 문제점이나 경쟁제품들에 대해서는 검증된 근거가 제시되지 못하고 있어 이에대한 보완이 필요하다.</v>
          </cell>
          <cell r="X129" t="str">
            <v>일치</v>
          </cell>
          <cell r="Y129" t="str">
            <v>사업화 부분의 주력산업내용 포함여부에 대해 추가 검토가 필요함</v>
          </cell>
        </row>
        <row r="130">
          <cell r="C130" t="str">
            <v/>
          </cell>
          <cell r="D130" t="str">
            <v/>
          </cell>
          <cell r="E130" t="str">
            <v/>
          </cell>
          <cell r="F130" t="str">
            <v/>
          </cell>
          <cell r="G130" t="str">
            <v/>
          </cell>
          <cell r="H130" t="str">
            <v/>
          </cell>
          <cell r="I130" t="str">
            <v/>
          </cell>
          <cell r="J130" t="str">
            <v/>
          </cell>
          <cell r="S130">
            <v>0</v>
          </cell>
          <cell r="T130" t="str">
            <v/>
          </cell>
          <cell r="U130" t="str">
            <v/>
          </cell>
          <cell r="V130" t="str">
            <v/>
          </cell>
        </row>
        <row r="131">
          <cell r="C131" t="str">
            <v/>
          </cell>
          <cell r="D131" t="str">
            <v/>
          </cell>
          <cell r="E131" t="str">
            <v/>
          </cell>
          <cell r="F131" t="str">
            <v/>
          </cell>
          <cell r="G131" t="str">
            <v/>
          </cell>
          <cell r="H131" t="str">
            <v/>
          </cell>
          <cell r="I131" t="str">
            <v/>
          </cell>
          <cell r="J131" t="str">
            <v/>
          </cell>
          <cell r="S131">
            <v>0</v>
          </cell>
          <cell r="T131" t="str">
            <v/>
          </cell>
          <cell r="U131" t="str">
            <v/>
          </cell>
          <cell r="V131" t="str">
            <v/>
          </cell>
        </row>
        <row r="132">
          <cell r="C132" t="str">
            <v/>
          </cell>
          <cell r="D132" t="str">
            <v/>
          </cell>
          <cell r="E132" t="str">
            <v/>
          </cell>
          <cell r="F132" t="str">
            <v/>
          </cell>
          <cell r="G132" t="str">
            <v/>
          </cell>
          <cell r="H132" t="str">
            <v/>
          </cell>
          <cell r="I132" t="str">
            <v/>
          </cell>
          <cell r="J132" t="str">
            <v/>
          </cell>
          <cell r="S132">
            <v>0</v>
          </cell>
          <cell r="T132" t="str">
            <v/>
          </cell>
          <cell r="U132" t="str">
            <v/>
          </cell>
          <cell r="V132" t="str">
            <v/>
          </cell>
        </row>
        <row r="133">
          <cell r="C133" t="str">
            <v/>
          </cell>
          <cell r="D133" t="str">
            <v/>
          </cell>
          <cell r="E133" t="str">
            <v/>
          </cell>
          <cell r="F133" t="str">
            <v/>
          </cell>
          <cell r="G133" t="str">
            <v/>
          </cell>
          <cell r="H133" t="str">
            <v/>
          </cell>
          <cell r="I133" t="str">
            <v/>
          </cell>
          <cell r="J133" t="str">
            <v/>
          </cell>
          <cell r="S133">
            <v>0</v>
          </cell>
          <cell r="T133" t="str">
            <v/>
          </cell>
          <cell r="U133" t="str">
            <v/>
          </cell>
          <cell r="V133" t="str">
            <v/>
          </cell>
        </row>
        <row r="134">
          <cell r="C134" t="str">
            <v/>
          </cell>
          <cell r="D134" t="str">
            <v/>
          </cell>
          <cell r="E134" t="str">
            <v/>
          </cell>
          <cell r="F134" t="str">
            <v/>
          </cell>
          <cell r="G134" t="str">
            <v/>
          </cell>
          <cell r="H134" t="str">
            <v/>
          </cell>
          <cell r="I134" t="str">
            <v/>
          </cell>
          <cell r="J134" t="str">
            <v/>
          </cell>
          <cell r="S134">
            <v>0</v>
          </cell>
          <cell r="T134" t="str">
            <v/>
          </cell>
          <cell r="U134" t="str">
            <v/>
          </cell>
          <cell r="V134" t="str">
            <v/>
          </cell>
        </row>
        <row r="135">
          <cell r="C135" t="str">
            <v/>
          </cell>
          <cell r="D135" t="str">
            <v/>
          </cell>
          <cell r="E135" t="str">
            <v/>
          </cell>
          <cell r="F135" t="str">
            <v/>
          </cell>
          <cell r="G135" t="str">
            <v/>
          </cell>
          <cell r="H135" t="str">
            <v/>
          </cell>
          <cell r="I135" t="str">
            <v/>
          </cell>
          <cell r="J135" t="str">
            <v/>
          </cell>
          <cell r="S135">
            <v>0</v>
          </cell>
          <cell r="T135" t="str">
            <v/>
          </cell>
          <cell r="U135" t="str">
            <v/>
          </cell>
          <cell r="V135" t="str">
            <v/>
          </cell>
        </row>
        <row r="136">
          <cell r="C136" t="str">
            <v/>
          </cell>
          <cell r="D136" t="str">
            <v/>
          </cell>
          <cell r="E136" t="str">
            <v/>
          </cell>
          <cell r="F136" t="str">
            <v/>
          </cell>
          <cell r="G136" t="str">
            <v/>
          </cell>
          <cell r="H136" t="str">
            <v/>
          </cell>
          <cell r="I136" t="str">
            <v/>
          </cell>
          <cell r="J136" t="str">
            <v/>
          </cell>
          <cell r="S136">
            <v>0</v>
          </cell>
          <cell r="T136" t="str">
            <v/>
          </cell>
          <cell r="U136" t="str">
            <v/>
          </cell>
          <cell r="V136" t="str">
            <v/>
          </cell>
        </row>
        <row r="137">
          <cell r="C137" t="str">
            <v/>
          </cell>
          <cell r="D137" t="str">
            <v/>
          </cell>
          <cell r="E137" t="str">
            <v/>
          </cell>
          <cell r="F137" t="str">
            <v/>
          </cell>
          <cell r="G137" t="str">
            <v/>
          </cell>
          <cell r="H137" t="str">
            <v/>
          </cell>
          <cell r="I137" t="str">
            <v/>
          </cell>
          <cell r="J137" t="str">
            <v/>
          </cell>
          <cell r="S137">
            <v>0</v>
          </cell>
          <cell r="T137" t="str">
            <v/>
          </cell>
          <cell r="U137" t="str">
            <v/>
          </cell>
          <cell r="V137" t="str">
            <v/>
          </cell>
        </row>
        <row r="138">
          <cell r="C138" t="str">
            <v/>
          </cell>
          <cell r="D138" t="str">
            <v/>
          </cell>
          <cell r="E138" t="str">
            <v/>
          </cell>
          <cell r="F138" t="str">
            <v/>
          </cell>
          <cell r="G138" t="str">
            <v/>
          </cell>
          <cell r="H138" t="str">
            <v/>
          </cell>
          <cell r="I138" t="str">
            <v/>
          </cell>
          <cell r="J138" t="str">
            <v/>
          </cell>
          <cell r="S138">
            <v>0</v>
          </cell>
          <cell r="T138" t="str">
            <v/>
          </cell>
          <cell r="U138" t="str">
            <v/>
          </cell>
          <cell r="V138" t="str">
            <v/>
          </cell>
        </row>
        <row r="139">
          <cell r="C139" t="str">
            <v/>
          </cell>
          <cell r="D139" t="str">
            <v/>
          </cell>
          <cell r="E139" t="str">
            <v/>
          </cell>
          <cell r="F139" t="str">
            <v/>
          </cell>
          <cell r="G139" t="str">
            <v/>
          </cell>
          <cell r="H139" t="str">
            <v/>
          </cell>
          <cell r="I139" t="str">
            <v/>
          </cell>
          <cell r="J139" t="str">
            <v/>
          </cell>
          <cell r="S139">
            <v>0</v>
          </cell>
          <cell r="T139" t="str">
            <v/>
          </cell>
          <cell r="U139" t="str">
            <v/>
          </cell>
          <cell r="V139" t="str">
            <v/>
          </cell>
        </row>
        <row r="140">
          <cell r="C140" t="str">
            <v/>
          </cell>
          <cell r="D140" t="str">
            <v/>
          </cell>
          <cell r="E140" t="str">
            <v/>
          </cell>
          <cell r="F140" t="str">
            <v/>
          </cell>
          <cell r="G140" t="str">
            <v/>
          </cell>
          <cell r="H140" t="str">
            <v/>
          </cell>
          <cell r="I140" t="str">
            <v/>
          </cell>
          <cell r="J140" t="str">
            <v/>
          </cell>
          <cell r="S140">
            <v>0</v>
          </cell>
          <cell r="T140" t="str">
            <v/>
          </cell>
          <cell r="U140" t="str">
            <v/>
          </cell>
          <cell r="V140" t="str">
            <v/>
          </cell>
        </row>
        <row r="141">
          <cell r="C141" t="str">
            <v/>
          </cell>
          <cell r="D141" t="str">
            <v/>
          </cell>
          <cell r="E141" t="str">
            <v/>
          </cell>
          <cell r="F141" t="str">
            <v/>
          </cell>
          <cell r="G141" t="str">
            <v/>
          </cell>
          <cell r="H141" t="str">
            <v/>
          </cell>
          <cell r="I141" t="str">
            <v/>
          </cell>
          <cell r="J141" t="str">
            <v/>
          </cell>
          <cell r="S141">
            <v>0</v>
          </cell>
          <cell r="T141" t="str">
            <v/>
          </cell>
          <cell r="U141" t="str">
            <v/>
          </cell>
          <cell r="V141" t="str">
            <v/>
          </cell>
        </row>
        <row r="142">
          <cell r="C142" t="str">
            <v/>
          </cell>
          <cell r="D142" t="str">
            <v/>
          </cell>
          <cell r="E142" t="str">
            <v/>
          </cell>
          <cell r="F142" t="str">
            <v/>
          </cell>
          <cell r="G142" t="str">
            <v/>
          </cell>
          <cell r="H142" t="str">
            <v/>
          </cell>
          <cell r="I142" t="str">
            <v/>
          </cell>
          <cell r="J142" t="str">
            <v/>
          </cell>
          <cell r="S142">
            <v>0</v>
          </cell>
          <cell r="T142" t="str">
            <v/>
          </cell>
          <cell r="U142" t="str">
            <v/>
          </cell>
          <cell r="V142" t="str">
            <v/>
          </cell>
        </row>
        <row r="143">
          <cell r="C143" t="str">
            <v/>
          </cell>
          <cell r="D143" t="str">
            <v/>
          </cell>
          <cell r="E143" t="str">
            <v/>
          </cell>
          <cell r="F143" t="str">
            <v/>
          </cell>
          <cell r="G143" t="str">
            <v/>
          </cell>
          <cell r="H143" t="str">
            <v/>
          </cell>
          <cell r="I143" t="str">
            <v/>
          </cell>
          <cell r="J143" t="str">
            <v/>
          </cell>
          <cell r="S143">
            <v>0</v>
          </cell>
          <cell r="T143" t="str">
            <v/>
          </cell>
          <cell r="U143" t="str">
            <v/>
          </cell>
          <cell r="V143" t="str">
            <v/>
          </cell>
        </row>
        <row r="144">
          <cell r="C144" t="str">
            <v/>
          </cell>
          <cell r="D144" t="str">
            <v/>
          </cell>
          <cell r="E144" t="str">
            <v/>
          </cell>
          <cell r="F144" t="str">
            <v/>
          </cell>
          <cell r="G144" t="str">
            <v/>
          </cell>
          <cell r="H144" t="str">
            <v/>
          </cell>
          <cell r="I144" t="str">
            <v/>
          </cell>
          <cell r="J144" t="str">
            <v/>
          </cell>
          <cell r="S144">
            <v>0</v>
          </cell>
          <cell r="T144" t="str">
            <v/>
          </cell>
          <cell r="U144" t="str">
            <v/>
          </cell>
          <cell r="V144" t="str">
            <v/>
          </cell>
        </row>
        <row r="145">
          <cell r="C145" t="str">
            <v/>
          </cell>
          <cell r="D145" t="str">
            <v/>
          </cell>
          <cell r="E145" t="str">
            <v/>
          </cell>
          <cell r="F145" t="str">
            <v/>
          </cell>
          <cell r="G145" t="str">
            <v/>
          </cell>
          <cell r="H145" t="str">
            <v/>
          </cell>
          <cell r="I145" t="str">
            <v/>
          </cell>
          <cell r="J145" t="str">
            <v/>
          </cell>
          <cell r="S145">
            <v>0</v>
          </cell>
          <cell r="T145" t="str">
            <v/>
          </cell>
          <cell r="U145" t="str">
            <v/>
          </cell>
          <cell r="V145" t="str">
            <v/>
          </cell>
        </row>
        <row r="146">
          <cell r="C146" t="str">
            <v/>
          </cell>
          <cell r="D146" t="str">
            <v/>
          </cell>
          <cell r="E146" t="str">
            <v/>
          </cell>
          <cell r="F146" t="str">
            <v/>
          </cell>
          <cell r="G146" t="str">
            <v/>
          </cell>
          <cell r="H146" t="str">
            <v/>
          </cell>
          <cell r="I146" t="str">
            <v/>
          </cell>
          <cell r="J146" t="str">
            <v/>
          </cell>
          <cell r="S146">
            <v>0</v>
          </cell>
          <cell r="T146" t="str">
            <v/>
          </cell>
          <cell r="U146" t="str">
            <v/>
          </cell>
          <cell r="V146" t="str">
            <v/>
          </cell>
        </row>
        <row r="147">
          <cell r="C147" t="str">
            <v/>
          </cell>
          <cell r="D147" t="str">
            <v/>
          </cell>
          <cell r="E147" t="str">
            <v/>
          </cell>
          <cell r="F147" t="str">
            <v/>
          </cell>
          <cell r="G147" t="str">
            <v/>
          </cell>
          <cell r="H147" t="str">
            <v/>
          </cell>
          <cell r="I147" t="str">
            <v/>
          </cell>
          <cell r="J147" t="str">
            <v/>
          </cell>
          <cell r="S147">
            <v>0</v>
          </cell>
          <cell r="T147" t="str">
            <v/>
          </cell>
          <cell r="U147" t="str">
            <v/>
          </cell>
          <cell r="V147" t="str">
            <v/>
          </cell>
        </row>
        <row r="148">
          <cell r="C148" t="str">
            <v/>
          </cell>
          <cell r="D148" t="str">
            <v/>
          </cell>
          <cell r="E148" t="str">
            <v/>
          </cell>
          <cell r="F148" t="str">
            <v/>
          </cell>
          <cell r="G148" t="str">
            <v/>
          </cell>
          <cell r="H148" t="str">
            <v/>
          </cell>
          <cell r="I148" t="str">
            <v/>
          </cell>
          <cell r="J148" t="str">
            <v/>
          </cell>
          <cell r="S148">
            <v>0</v>
          </cell>
          <cell r="T148" t="str">
            <v/>
          </cell>
          <cell r="U148" t="str">
            <v/>
          </cell>
          <cell r="V148" t="str">
            <v/>
          </cell>
        </row>
        <row r="149">
          <cell r="C149" t="str">
            <v/>
          </cell>
          <cell r="D149" t="str">
            <v/>
          </cell>
          <cell r="E149" t="str">
            <v/>
          </cell>
          <cell r="F149" t="str">
            <v/>
          </cell>
          <cell r="G149" t="str">
            <v/>
          </cell>
          <cell r="H149" t="str">
            <v/>
          </cell>
          <cell r="I149" t="str">
            <v/>
          </cell>
          <cell r="J149" t="str">
            <v/>
          </cell>
          <cell r="S149">
            <v>0</v>
          </cell>
          <cell r="T149" t="str">
            <v/>
          </cell>
          <cell r="U149" t="str">
            <v/>
          </cell>
          <cell r="V149" t="str">
            <v/>
          </cell>
        </row>
        <row r="150">
          <cell r="C150" t="str">
            <v/>
          </cell>
          <cell r="D150" t="str">
            <v/>
          </cell>
          <cell r="E150" t="str">
            <v/>
          </cell>
          <cell r="F150" t="str">
            <v/>
          </cell>
          <cell r="G150" t="str">
            <v/>
          </cell>
          <cell r="H150" t="str">
            <v/>
          </cell>
          <cell r="I150" t="str">
            <v/>
          </cell>
          <cell r="J150" t="str">
            <v/>
          </cell>
          <cell r="S150">
            <v>0</v>
          </cell>
          <cell r="T150" t="str">
            <v/>
          </cell>
          <cell r="U150" t="str">
            <v/>
          </cell>
          <cell r="V150" t="str">
            <v/>
          </cell>
        </row>
        <row r="151">
          <cell r="C151" t="str">
            <v/>
          </cell>
          <cell r="D151" t="str">
            <v/>
          </cell>
          <cell r="E151" t="str">
            <v/>
          </cell>
          <cell r="F151" t="str">
            <v/>
          </cell>
          <cell r="G151" t="str">
            <v/>
          </cell>
          <cell r="H151" t="str">
            <v/>
          </cell>
          <cell r="I151" t="str">
            <v/>
          </cell>
          <cell r="J151" t="str">
            <v/>
          </cell>
          <cell r="S151">
            <v>0</v>
          </cell>
          <cell r="T151" t="str">
            <v/>
          </cell>
          <cell r="U151" t="str">
            <v/>
          </cell>
          <cell r="V151" t="str">
            <v/>
          </cell>
        </row>
        <row r="152">
          <cell r="C152" t="str">
            <v/>
          </cell>
          <cell r="D152" t="str">
            <v/>
          </cell>
          <cell r="E152" t="str">
            <v/>
          </cell>
          <cell r="F152" t="str">
            <v/>
          </cell>
          <cell r="G152" t="str">
            <v/>
          </cell>
          <cell r="H152" t="str">
            <v/>
          </cell>
          <cell r="I152" t="str">
            <v/>
          </cell>
          <cell r="J152" t="str">
            <v/>
          </cell>
          <cell r="S152">
            <v>0</v>
          </cell>
          <cell r="T152" t="str">
            <v/>
          </cell>
          <cell r="U152" t="str">
            <v/>
          </cell>
          <cell r="V152" t="str">
            <v/>
          </cell>
        </row>
        <row r="153">
          <cell r="C153" t="str">
            <v/>
          </cell>
          <cell r="D153" t="str">
            <v/>
          </cell>
          <cell r="E153" t="str">
            <v/>
          </cell>
          <cell r="F153" t="str">
            <v/>
          </cell>
          <cell r="G153" t="str">
            <v/>
          </cell>
          <cell r="H153" t="str">
            <v/>
          </cell>
          <cell r="I153" t="str">
            <v/>
          </cell>
          <cell r="J153" t="str">
            <v/>
          </cell>
          <cell r="S153">
            <v>0</v>
          </cell>
          <cell r="T153" t="str">
            <v/>
          </cell>
          <cell r="U153" t="str">
            <v/>
          </cell>
          <cell r="V153" t="str">
            <v/>
          </cell>
        </row>
        <row r="154">
          <cell r="C154" t="str">
            <v/>
          </cell>
          <cell r="D154" t="str">
            <v/>
          </cell>
          <cell r="E154" t="str">
            <v/>
          </cell>
          <cell r="F154" t="str">
            <v/>
          </cell>
          <cell r="G154" t="str">
            <v/>
          </cell>
          <cell r="H154" t="str">
            <v/>
          </cell>
          <cell r="I154" t="str">
            <v/>
          </cell>
          <cell r="J154" t="str">
            <v/>
          </cell>
          <cell r="S154">
            <v>0</v>
          </cell>
          <cell r="T154" t="str">
            <v/>
          </cell>
          <cell r="U154" t="str">
            <v/>
          </cell>
          <cell r="V154" t="str">
            <v/>
          </cell>
        </row>
        <row r="155">
          <cell r="C155" t="str">
            <v/>
          </cell>
          <cell r="D155" t="str">
            <v/>
          </cell>
          <cell r="E155" t="str">
            <v/>
          </cell>
          <cell r="F155" t="str">
            <v/>
          </cell>
          <cell r="G155" t="str">
            <v/>
          </cell>
          <cell r="H155" t="str">
            <v/>
          </cell>
          <cell r="I155" t="str">
            <v/>
          </cell>
          <cell r="J155" t="str">
            <v/>
          </cell>
          <cell r="S155">
            <v>0</v>
          </cell>
          <cell r="T155" t="str">
            <v/>
          </cell>
          <cell r="U155" t="str">
            <v/>
          </cell>
          <cell r="V155" t="str">
            <v/>
          </cell>
        </row>
        <row r="156">
          <cell r="C156" t="str">
            <v/>
          </cell>
          <cell r="D156" t="str">
            <v/>
          </cell>
          <cell r="E156" t="str">
            <v/>
          </cell>
          <cell r="F156" t="str">
            <v/>
          </cell>
          <cell r="G156" t="str">
            <v/>
          </cell>
          <cell r="H156" t="str">
            <v/>
          </cell>
          <cell r="I156" t="str">
            <v/>
          </cell>
          <cell r="J156" t="str">
            <v/>
          </cell>
          <cell r="S156">
            <v>0</v>
          </cell>
          <cell r="T156" t="str">
            <v/>
          </cell>
          <cell r="U156" t="str">
            <v/>
          </cell>
          <cell r="V156" t="str">
            <v/>
          </cell>
        </row>
        <row r="157">
          <cell r="C157" t="str">
            <v/>
          </cell>
          <cell r="D157" t="str">
            <v/>
          </cell>
          <cell r="E157" t="str">
            <v/>
          </cell>
          <cell r="F157" t="str">
            <v/>
          </cell>
          <cell r="G157" t="str">
            <v/>
          </cell>
          <cell r="H157" t="str">
            <v/>
          </cell>
          <cell r="I157" t="str">
            <v/>
          </cell>
          <cell r="J157" t="str">
            <v/>
          </cell>
          <cell r="S157">
            <v>0</v>
          </cell>
          <cell r="T157" t="str">
            <v/>
          </cell>
          <cell r="U157" t="str">
            <v/>
          </cell>
          <cell r="V157" t="str">
            <v/>
          </cell>
        </row>
        <row r="158">
          <cell r="C158" t="str">
            <v/>
          </cell>
          <cell r="D158" t="str">
            <v/>
          </cell>
          <cell r="E158" t="str">
            <v/>
          </cell>
          <cell r="F158" t="str">
            <v/>
          </cell>
          <cell r="G158" t="str">
            <v/>
          </cell>
          <cell r="H158" t="str">
            <v/>
          </cell>
          <cell r="I158" t="str">
            <v/>
          </cell>
          <cell r="J158" t="str">
            <v/>
          </cell>
          <cell r="S158">
            <v>0</v>
          </cell>
          <cell r="T158" t="str">
            <v/>
          </cell>
          <cell r="U158" t="str">
            <v/>
          </cell>
          <cell r="V158" t="str">
            <v/>
          </cell>
        </row>
        <row r="159">
          <cell r="C159" t="str">
            <v/>
          </cell>
          <cell r="D159" t="str">
            <v/>
          </cell>
          <cell r="E159" t="str">
            <v/>
          </cell>
          <cell r="F159" t="str">
            <v/>
          </cell>
          <cell r="G159" t="str">
            <v/>
          </cell>
          <cell r="H159" t="str">
            <v/>
          </cell>
          <cell r="I159" t="str">
            <v/>
          </cell>
          <cell r="J159" t="str">
            <v/>
          </cell>
          <cell r="S159">
            <v>0</v>
          </cell>
          <cell r="T159" t="str">
            <v/>
          </cell>
          <cell r="U159" t="str">
            <v/>
          </cell>
          <cell r="V159" t="str">
            <v/>
          </cell>
        </row>
        <row r="160">
          <cell r="C160" t="str">
            <v/>
          </cell>
          <cell r="D160" t="str">
            <v/>
          </cell>
          <cell r="E160" t="str">
            <v/>
          </cell>
          <cell r="F160" t="str">
            <v/>
          </cell>
          <cell r="G160" t="str">
            <v/>
          </cell>
          <cell r="H160" t="str">
            <v/>
          </cell>
          <cell r="I160" t="str">
            <v/>
          </cell>
          <cell r="J160" t="str">
            <v/>
          </cell>
          <cell r="S160">
            <v>0</v>
          </cell>
          <cell r="T160" t="str">
            <v/>
          </cell>
          <cell r="U160" t="str">
            <v/>
          </cell>
          <cell r="V160" t="str">
            <v/>
          </cell>
        </row>
        <row r="161">
          <cell r="C161" t="str">
            <v/>
          </cell>
          <cell r="D161" t="str">
            <v/>
          </cell>
          <cell r="E161" t="str">
            <v/>
          </cell>
          <cell r="F161" t="str">
            <v/>
          </cell>
          <cell r="G161" t="str">
            <v/>
          </cell>
          <cell r="H161" t="str">
            <v/>
          </cell>
          <cell r="I161" t="str">
            <v/>
          </cell>
          <cell r="J161" t="str">
            <v/>
          </cell>
          <cell r="S161">
            <v>0</v>
          </cell>
          <cell r="T161" t="str">
            <v/>
          </cell>
          <cell r="U161" t="str">
            <v/>
          </cell>
          <cell r="V161" t="str">
            <v/>
          </cell>
        </row>
        <row r="162">
          <cell r="C162" t="str">
            <v/>
          </cell>
          <cell r="D162" t="str">
            <v/>
          </cell>
          <cell r="E162" t="str">
            <v/>
          </cell>
          <cell r="F162" t="str">
            <v/>
          </cell>
          <cell r="G162" t="str">
            <v/>
          </cell>
          <cell r="H162" t="str">
            <v/>
          </cell>
          <cell r="I162" t="str">
            <v/>
          </cell>
          <cell r="J162" t="str">
            <v/>
          </cell>
          <cell r="S162">
            <v>0</v>
          </cell>
          <cell r="T162" t="str">
            <v/>
          </cell>
          <cell r="U162" t="str">
            <v/>
          </cell>
          <cell r="V162" t="str">
            <v/>
          </cell>
        </row>
        <row r="163">
          <cell r="C163" t="str">
            <v/>
          </cell>
          <cell r="D163" t="str">
            <v/>
          </cell>
          <cell r="E163" t="str">
            <v/>
          </cell>
          <cell r="F163" t="str">
            <v/>
          </cell>
          <cell r="G163" t="str">
            <v/>
          </cell>
          <cell r="H163" t="str">
            <v/>
          </cell>
          <cell r="I163" t="str">
            <v/>
          </cell>
          <cell r="J163" t="str">
            <v/>
          </cell>
          <cell r="S163">
            <v>0</v>
          </cell>
          <cell r="T163" t="str">
            <v/>
          </cell>
          <cell r="U163" t="str">
            <v/>
          </cell>
          <cell r="V163" t="str">
            <v/>
          </cell>
        </row>
        <row r="164">
          <cell r="C164" t="str">
            <v/>
          </cell>
          <cell r="D164" t="str">
            <v/>
          </cell>
          <cell r="E164" t="str">
            <v/>
          </cell>
          <cell r="F164" t="str">
            <v/>
          </cell>
          <cell r="G164" t="str">
            <v/>
          </cell>
          <cell r="H164" t="str">
            <v/>
          </cell>
          <cell r="I164" t="str">
            <v/>
          </cell>
          <cell r="J164" t="str">
            <v/>
          </cell>
          <cell r="S164">
            <v>0</v>
          </cell>
          <cell r="T164" t="str">
            <v/>
          </cell>
          <cell r="U164" t="str">
            <v/>
          </cell>
          <cell r="V164" t="str">
            <v/>
          </cell>
        </row>
        <row r="165">
          <cell r="C165" t="str">
            <v/>
          </cell>
          <cell r="D165" t="str">
            <v/>
          </cell>
          <cell r="E165" t="str">
            <v/>
          </cell>
          <cell r="F165" t="str">
            <v/>
          </cell>
          <cell r="G165" t="str">
            <v/>
          </cell>
          <cell r="H165" t="str">
            <v/>
          </cell>
          <cell r="I165" t="str">
            <v/>
          </cell>
          <cell r="J165" t="str">
            <v/>
          </cell>
          <cell r="S165">
            <v>0</v>
          </cell>
          <cell r="T165" t="str">
            <v/>
          </cell>
          <cell r="U165" t="str">
            <v/>
          </cell>
          <cell r="V165" t="str">
            <v/>
          </cell>
        </row>
        <row r="166">
          <cell r="C166" t="str">
            <v/>
          </cell>
          <cell r="D166" t="str">
            <v/>
          </cell>
          <cell r="E166" t="str">
            <v/>
          </cell>
          <cell r="F166" t="str">
            <v/>
          </cell>
          <cell r="G166" t="str">
            <v/>
          </cell>
          <cell r="H166" t="str">
            <v/>
          </cell>
          <cell r="I166" t="str">
            <v/>
          </cell>
          <cell r="J166" t="str">
            <v/>
          </cell>
          <cell r="S166">
            <v>0</v>
          </cell>
          <cell r="T166" t="str">
            <v/>
          </cell>
          <cell r="U166" t="str">
            <v/>
          </cell>
          <cell r="V166" t="str">
            <v/>
          </cell>
        </row>
        <row r="167">
          <cell r="C167" t="str">
            <v/>
          </cell>
          <cell r="D167" t="str">
            <v/>
          </cell>
          <cell r="E167" t="str">
            <v/>
          </cell>
          <cell r="F167" t="str">
            <v/>
          </cell>
          <cell r="G167" t="str">
            <v/>
          </cell>
          <cell r="H167" t="str">
            <v/>
          </cell>
          <cell r="I167" t="str">
            <v/>
          </cell>
          <cell r="J167" t="str">
            <v/>
          </cell>
          <cell r="S167">
            <v>0</v>
          </cell>
          <cell r="T167" t="str">
            <v/>
          </cell>
          <cell r="U167" t="str">
            <v/>
          </cell>
          <cell r="V167" t="str">
            <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AC2789"/>
  <sheetViews>
    <sheetView showZeros="0" zoomScale="70" zoomScaleNormal="70" workbookViewId="0">
      <pane xSplit="3" ySplit="1" topLeftCell="M7" activePane="bottomRight" state="frozen"/>
      <selection pane="topRight" activeCell="D1" sqref="D1"/>
      <selection pane="bottomLeft" activeCell="A2" sqref="A2"/>
      <selection pane="bottomRight" activeCell="K242" sqref="K242"/>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46119</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46119</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46119</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46119</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46119</v>
      </c>
      <c r="R6" s="68">
        <v>0</v>
      </c>
      <c r="S6" s="85">
        <v>0</v>
      </c>
      <c r="T6" s="85">
        <v>0</v>
      </c>
      <c r="U6" s="85">
        <v>0</v>
      </c>
      <c r="V6" s="86">
        <f t="shared" si="1"/>
        <v>0</v>
      </c>
      <c r="W6" s="85">
        <v>0</v>
      </c>
      <c r="X6" s="85">
        <v>0</v>
      </c>
      <c r="Y6" s="85">
        <v>0</v>
      </c>
      <c r="Z6" s="85">
        <v>0</v>
      </c>
      <c r="AA6" s="85">
        <v>0</v>
      </c>
      <c r="AB6" s="87">
        <f t="shared" si="2"/>
        <v>0</v>
      </c>
      <c r="AC6" s="91" t="s">
        <v>8744</v>
      </c>
    </row>
    <row r="7" spans="1:29" ht="16.2"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46119</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46119</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46119</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46119</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46119</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46119</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46119</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46119</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46119</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46119</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46119</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46119</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46119</v>
      </c>
      <c r="R19" s="68">
        <v>0</v>
      </c>
      <c r="S19" s="85">
        <v>0</v>
      </c>
      <c r="T19" s="85">
        <v>0</v>
      </c>
      <c r="U19" s="85">
        <v>0</v>
      </c>
      <c r="V19" s="86">
        <f t="shared" si="1"/>
        <v>0</v>
      </c>
      <c r="W19" s="85">
        <v>0</v>
      </c>
      <c r="X19" s="85">
        <v>0</v>
      </c>
      <c r="Y19" s="85">
        <v>0</v>
      </c>
      <c r="Z19" s="85">
        <v>0</v>
      </c>
      <c r="AA19" s="85">
        <v>0</v>
      </c>
      <c r="AB19" s="87">
        <f t="shared" si="2"/>
        <v>0</v>
      </c>
      <c r="AC19" s="91" t="s">
        <v>8744</v>
      </c>
    </row>
    <row r="20" spans="1:29" ht="16.2"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46119</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46119</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46119</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46119</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46119</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46119</v>
      </c>
      <c r="R25" s="68">
        <v>0</v>
      </c>
      <c r="S25" s="85" t="s">
        <v>8730</v>
      </c>
      <c r="T25" s="85">
        <v>0</v>
      </c>
      <c r="U25" s="85">
        <v>0</v>
      </c>
      <c r="V25" s="86">
        <f t="shared" si="1"/>
        <v>2</v>
      </c>
      <c r="W25" s="85">
        <v>0</v>
      </c>
      <c r="X25" s="85">
        <v>0</v>
      </c>
      <c r="Y25" s="85">
        <v>0</v>
      </c>
      <c r="Z25" s="85">
        <v>0</v>
      </c>
      <c r="AA25" s="85">
        <v>0</v>
      </c>
      <c r="AB25" s="87">
        <f t="shared" si="2"/>
        <v>0</v>
      </c>
      <c r="AC25" s="91" t="s">
        <v>8744</v>
      </c>
    </row>
    <row r="26" spans="1:29" ht="16.2"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46119</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46119</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46119</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46119</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46119</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46119</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46119</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46119</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46119</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46119</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46119</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46119</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46119</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46119</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46119</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46119</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46119</v>
      </c>
      <c r="R42" s="68">
        <v>0</v>
      </c>
      <c r="S42" s="85">
        <v>0</v>
      </c>
      <c r="T42" s="85">
        <v>0</v>
      </c>
      <c r="U42" s="85">
        <v>0</v>
      </c>
      <c r="V42" s="86">
        <f t="shared" si="1"/>
        <v>0</v>
      </c>
      <c r="W42" s="85">
        <v>0</v>
      </c>
      <c r="X42" s="85">
        <v>0</v>
      </c>
      <c r="Y42" s="85">
        <v>0</v>
      </c>
      <c r="Z42" s="85">
        <v>0</v>
      </c>
      <c r="AA42" s="85">
        <v>0</v>
      </c>
      <c r="AB42" s="87">
        <f t="shared" si="2"/>
        <v>0</v>
      </c>
      <c r="AC42" s="91" t="s">
        <v>8744</v>
      </c>
    </row>
    <row r="43" spans="1:29" ht="16.2"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46119</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46119</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46119</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46119</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46119</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46119</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46119</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46119</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46119</v>
      </c>
      <c r="R51" s="68">
        <v>0</v>
      </c>
      <c r="S51" s="85">
        <v>0</v>
      </c>
      <c r="T51" s="85">
        <v>0</v>
      </c>
      <c r="U51" s="85">
        <v>0</v>
      </c>
      <c r="V51" s="86">
        <f t="shared" si="1"/>
        <v>0</v>
      </c>
      <c r="W51" s="85">
        <v>0</v>
      </c>
      <c r="X51" s="85">
        <v>0</v>
      </c>
      <c r="Y51" s="85">
        <v>0</v>
      </c>
      <c r="Z51" s="85">
        <v>0</v>
      </c>
      <c r="AA51" s="85">
        <v>0</v>
      </c>
      <c r="AB51" s="87">
        <f t="shared" si="2"/>
        <v>0</v>
      </c>
      <c r="AC51" s="91" t="s">
        <v>8744</v>
      </c>
    </row>
    <row r="52" spans="1:29" ht="16.2"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46119</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46119</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46119</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46119</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46119</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46119</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46119</v>
      </c>
      <c r="R58" s="68">
        <v>0</v>
      </c>
      <c r="S58" s="85" t="s">
        <v>8730</v>
      </c>
      <c r="T58" s="85">
        <v>0</v>
      </c>
      <c r="U58" s="85">
        <v>0</v>
      </c>
      <c r="V58" s="86">
        <f t="shared" si="1"/>
        <v>2</v>
      </c>
      <c r="W58" s="85">
        <v>0</v>
      </c>
      <c r="X58" s="85">
        <v>0</v>
      </c>
      <c r="Y58" s="85">
        <v>0</v>
      </c>
      <c r="Z58" s="85">
        <v>0</v>
      </c>
      <c r="AA58" s="85">
        <v>0</v>
      </c>
      <c r="AB58" s="87">
        <f t="shared" si="2"/>
        <v>0</v>
      </c>
      <c r="AC58" s="91" t="s">
        <v>8744</v>
      </c>
    </row>
    <row r="59" spans="1:29" ht="16.2"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46119</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46119</v>
      </c>
      <c r="R60" s="68">
        <v>0</v>
      </c>
      <c r="S60" s="85">
        <v>0</v>
      </c>
      <c r="T60" s="85">
        <v>0</v>
      </c>
      <c r="U60" s="85">
        <v>0</v>
      </c>
      <c r="V60" s="86">
        <f t="shared" si="1"/>
        <v>0</v>
      </c>
      <c r="W60" s="85">
        <v>0</v>
      </c>
      <c r="X60" s="85">
        <v>0</v>
      </c>
      <c r="Y60" s="85">
        <v>0</v>
      </c>
      <c r="Z60" s="85">
        <v>0</v>
      </c>
      <c r="AA60" s="85">
        <v>0</v>
      </c>
      <c r="AB60" s="87">
        <f t="shared" si="2"/>
        <v>0</v>
      </c>
      <c r="AC60" s="91" t="s">
        <v>8744</v>
      </c>
    </row>
    <row r="61" spans="1:29" ht="16.2"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46119</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46119</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46119</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46119</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46119</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46119</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46119</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46119</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46119</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46119</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46119</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46119</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46119</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46119</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46119</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46119</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46119</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46119</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46119</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46119</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46119</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46119</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46119</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46119</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46119</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46119</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46119</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46119</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46119</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46119</v>
      </c>
      <c r="R90" s="68">
        <v>0</v>
      </c>
      <c r="S90" s="85">
        <v>0</v>
      </c>
      <c r="T90" s="85">
        <v>0</v>
      </c>
      <c r="U90" s="85">
        <v>0</v>
      </c>
      <c r="V90" s="86">
        <f t="shared" si="4"/>
        <v>0</v>
      </c>
      <c r="W90" s="85">
        <v>0</v>
      </c>
      <c r="X90" s="85">
        <v>0</v>
      </c>
      <c r="Y90" s="85">
        <v>0</v>
      </c>
      <c r="Z90" s="85">
        <v>0</v>
      </c>
      <c r="AA90" s="85">
        <v>0</v>
      </c>
      <c r="AB90" s="87">
        <f t="shared" si="5"/>
        <v>0</v>
      </c>
      <c r="AC90" s="91" t="s">
        <v>8744</v>
      </c>
    </row>
    <row r="91" spans="1:29" ht="16.2"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46119</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46119</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46119</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46119</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46119</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46119</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46119</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46119</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46119</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46119</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46119</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46119</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46119</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46119</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46119</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46119</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46119</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46119</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46119</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46119</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46119</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46119</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46119</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46119</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46119</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46119</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46119</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46119</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46119</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46119</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46119</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46119</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46119</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46119</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46119</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46119</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46119</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46119</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46119</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46119</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46119</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46119</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46119</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46119</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46119</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46119</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46119</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46119</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46119</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46119</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46119</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46119</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46119</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46119</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46119</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46119</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46119</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46119</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46119</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46119</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46119</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46119</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46119</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46119</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46119</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46119</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46119</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46119</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46119</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46119</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46119</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46119</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46119</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46119</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46119</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46119</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46119</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46119</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46119</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46119</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46119</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46119</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46119</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46119</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46119</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46119</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46119</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46119</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46119</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46119</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46119</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46119</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46119</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46119</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46119</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46119</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46119</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46119</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46119</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46119</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46119</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46119</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46119</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46119</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46119</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46119</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46119</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46119</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46119</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46119</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46119</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46119</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46119</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46119</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46119</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46119</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46119</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46119</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46119</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46119</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46119</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46119</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46119</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46119</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46119</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46119</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46119</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46119</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46119</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46119</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46119</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46119</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46119</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46119</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46119</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46119</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46119</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46119</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46119</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46119</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46119</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46119</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46119</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46119</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46119</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46119</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46119</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46119</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46119</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46119</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46119</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46119</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46119</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46119</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46119</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46119</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46119</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46119</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46119</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46119</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46119</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46119</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46119</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46119</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46119</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46119</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46119</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46119</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46119</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46119</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46119</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46119</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46119</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46119</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46119</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46119</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46119</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46119</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46119</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46119</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46119</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46119</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46119</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46119</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46119</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46119</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46119</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46119</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46119</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46119</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46119</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46119</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46119</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46119</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46119</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46119</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46119</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46119</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46119</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46119</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46119</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46119</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46119</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46119</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46119</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46119</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46119</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46119</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46119</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46119</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46119</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46119</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46119</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46119</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46119</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46119</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46119</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46119</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46119</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46119</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46119</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46119</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46119</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46119</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46119</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46119</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46119</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46119</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46119</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46119</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46119</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46119</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46119</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46119</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46119</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46119</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46119</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46119</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46119</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46119</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46119</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46119</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46119</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46119</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46119</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46119</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46119</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46119</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46119</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46119</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46119</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46119</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46119</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46119</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46119</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46119</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46119</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46119</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46119</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46119</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46119</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46119</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46119</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46119</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46119</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46119</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46119</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46119</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46119</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46119</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46119</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46119</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46119</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46119</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46119</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46119</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46119</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46119</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46119</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46119</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46119</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46119</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46119</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46119</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46119</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46119</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46119</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46119</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46119</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46119</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46119</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46119</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46119</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46119</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46119</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46119</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46119</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46119</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46119</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46119</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46119</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46119</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46119</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46119</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46119</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46119</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46119</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46119</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46119</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46119</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46119</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46119</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46119</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46119</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46119</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46119</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46119</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46119</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46119</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46119</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46119</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46119</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46119</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46119</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46119</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46119</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46119</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46119</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46119</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46119</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46119</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46119</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46119</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46119</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46119</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46119</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46119</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46119</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46119</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46119</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46119</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46119</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46119</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46119</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46119</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46119</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46119</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46119</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46119</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46119</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46119</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46119</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46119</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46119</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46119</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46119</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46119</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46119</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46119</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46119</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46119</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46119</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46119</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46119</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46119</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46119</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46119</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46119</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46119</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46119</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46119</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46119</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46119</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46119</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46119</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46119</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46119</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46119</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46119</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46119</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46119</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46119</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46119</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46119</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46119</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46119</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46119</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46119</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46119</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46119</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46119</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46119</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46119</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46119</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46119</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46119</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46119</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46119</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46119</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46119</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46119</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46119</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46119</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46119</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46119</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46119</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46119</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46119</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46119</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46119</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46119</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46119</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46119</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46119</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46119</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46119</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46119</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46119</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46119</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46119</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46119</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46119</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46119</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46119</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46119</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46119</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46119</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46119</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46119</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46119</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46119</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46119</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46119</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46119</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46119</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46119</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46119</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46119</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46119</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46119</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46119</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46119</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46119</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46119</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46119</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46119</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46119</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46119</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46119</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46119</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46119</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46119</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46119</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46119</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46119</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46119</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46119</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46119</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46119</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46119</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46119</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46119</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46119</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46119</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46119</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46119</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46119</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46119</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46119</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46119</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46119</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46119</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46119</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46119</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46119</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46119</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46119</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46119</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46119</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46119</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46119</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46119</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46119</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46119</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46119</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46119</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46119</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46119</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46119</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46119</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46119</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46119</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46119</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46119</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46119</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46119</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46119</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46119</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46119</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46119</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46119</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46119</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46119</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46119</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46119</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46119</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46119</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46119</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46119</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46119</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46119</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46119</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46119</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46119</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46119</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46119</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46119</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46119</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46119</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46119</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46119</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46119</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46119</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46119</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46119</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46119</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46119</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46119</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46119</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46119</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46119</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46119</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46119</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46119</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46119</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46119</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46119</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46119</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46119</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46119</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46119</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46119</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46119</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46119</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46119</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46119</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46119</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46119</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46119</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46119</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46119</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46119</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46119</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46119</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46119</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46119</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46119</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46119</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46119</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46119</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46119</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46119</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46119</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46119</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46119</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46119</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46119</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46119</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46119</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46119</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46119</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46119</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46119</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46119</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46119</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46119</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46119</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46119</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46119</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46119</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46119</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46119</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46119</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46119</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46119</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46119</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46119</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46119</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46119</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46119</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46119</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46119</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46119</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46119</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46119</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46119</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46119</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46119</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46119</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46119</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46119</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46119</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46119</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46119</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46119</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46119</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46119</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46119</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46119</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46119</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46119</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46119</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46119</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46119</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46119</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46119</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46119</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46119</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46119</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46119</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46119</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46119</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46119</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46119</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46119</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46119</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46119</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46119</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46119</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46119</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46119</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46119</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46119</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46119</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46119</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46119</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46119</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46119</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46119</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46119</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46119</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46119</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46119</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46119</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46119</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46119</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46119</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46119</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46119</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46119</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46119</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46119</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46119</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46119</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46119</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46119</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46119</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46119</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46119</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46119</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46119</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46119</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46119</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46119</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46119</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46119</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46119</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46119</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46119</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46119</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46119</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46119</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46119</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46119</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46119</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46119</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46119</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46119</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46119</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46119</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46119</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46119</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46119</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46119</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46119</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46119</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46119</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46119</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46119</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46119</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46119</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46119</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46119</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46119</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46119</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46119</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46119</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46119</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46119</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46119</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46119</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46119</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46119</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46119</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46119</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46119</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46119</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46119</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46119</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46119</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46119</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46119</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46119</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46119</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46119</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46119</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46119</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46119</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46119</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46119</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46119</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46119</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46119</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46119</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46119</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46119</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46119</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46119</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46119</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46119</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46119</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46119</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46119</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46119</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46119</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46119</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46119</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46119</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46119</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46119</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46119</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46119</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46119</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46119</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46119</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46119</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46119</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46119</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46119</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46119</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46119</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46119</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46119</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46119</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46119</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46119</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46119</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46119</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46119</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46119</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46119</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46119</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46119</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46119</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46119</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46119</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46119</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46119</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46119</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46119</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46119</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46119</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46119</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46119</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46119</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46119</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46119</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46119</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46119</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46119</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46119</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46119</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46119</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46119</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46119</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46119</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46119</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46119</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46119</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46119</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46119</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46119</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46119</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46119</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46119</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46119</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46119</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46119</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46119</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46119</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46119</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46119</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46119</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46119</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46119</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46119</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46119</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46119</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46119</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46119</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46119</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46119</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46119</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46119</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46119</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46119</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46119</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46119</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46119</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46119</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46119</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46119</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46119</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46119</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46119</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46119</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46119</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46119</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46119</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46119</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46119</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46119</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46119</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46119</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46119</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46119</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46119</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46119</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46119</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46119</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46119</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46119</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46119</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46119</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46119</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46119</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46119</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46119</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46119</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46119</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46119</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46119</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46119</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46119</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46119</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46119</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46119</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46119</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46119</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46119</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46119</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46119</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46119</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46119</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46119</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46119</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46119</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46119</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46119</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46119</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46119</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46119</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46119</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46119</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46119</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46119</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46119</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46119</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46119</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46119</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46119</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46119</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46119</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46119</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46119</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46119</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46119</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46119</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46119</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46119</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46119</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46119</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46119</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46119</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46119</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46119</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46119</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46119</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46119</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46119</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46119</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46119</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46119</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46119</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46119</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46119</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46119</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46119</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46119</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46119</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46119</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46119</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46119</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46119</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46119</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46119</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46119</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46119</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46119</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46119</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46119</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46119</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46119</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46119</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46119</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46119</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46119</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46119</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46119</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46119</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46119</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46119</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46119</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46119</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46119</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46119</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46119</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46119</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46119</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46119</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46119</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46119</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46119</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46119</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46119</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46119</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46119</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46119</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46119</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46119</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46119</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46119</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46119</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46119</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46119</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46119</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46119</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46119</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46119</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46119</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46119</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46119</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46119</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46119</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46119</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46119</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46119</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46119</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46119</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46119</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46119</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46119</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46119</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46119</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46119</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46119</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46119</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46119</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46119</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46119</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46119</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46119</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46119</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46119</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46119</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46119</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46119</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46119</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46119</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46119</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46119</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46119</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46119</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46119</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46119</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46119</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46119</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46119</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46119</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46119</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46119</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46119</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46119</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46119</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46119</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46119</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46119</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46119</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46119</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46119</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46119</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46119</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46119</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46119</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46119</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46119</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46119</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46119</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46119</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46119</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46119</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46119</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46119</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46119</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46119</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46119</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46119</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46119</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46119</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46119</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46119</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46119</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46119</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46119</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46119</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46119</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46119</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46119</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46119</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46119</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46119</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46119</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46119</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46119</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46119</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46119</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46119</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46119</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46119</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46119</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46119</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46119</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46119</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46119</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46119</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46119</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46119</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46119</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46119</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46119</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46119</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46119</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46119</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46119</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46119</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46119</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46119</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46119</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46119</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46119</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46119</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46119</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46119</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46119</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46119</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46119</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46119</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46119</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46119</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46119</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46119</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46119</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46119</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46119</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46119</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46119</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46119</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46119</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46119</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46119</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46119</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46119</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46119</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46119</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46119</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46119</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46119</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46119</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46119</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46119</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46119</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46119</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46119</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46119</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46119</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46119</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46119</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46119</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46119</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46119</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46119</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46119</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46119</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46119</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46119</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46119</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46119</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46119</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46119</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46119</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46119</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46119</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46119</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46119</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46119</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46119</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46119</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46119</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46119</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46119</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46119</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46119</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46119</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46119</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46119</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46119</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46119</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46119</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46119</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46119</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46119</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46119</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46119</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46119</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46119</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46119</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46119</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46119</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46119</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46119</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46119</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46119</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46119</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46119</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46119</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46119</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46119</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46119</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46119</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46119</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46119</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46119</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46119</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46119</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46119</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46119</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46119</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46119</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46119</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46119</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46119</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46119</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46119</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46119</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46119</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46119</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46119</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46119</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46119</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46119</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46119</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46119</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46119</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46119</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46119</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46119</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46119</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46119</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46119</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46119</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46119</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46119</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46119</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46119</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46119</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46119</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46119</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46119</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46119</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46119</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46119</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46119</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46119</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46119</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46119</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46119</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46119</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46119</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46119</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46119</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46119</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46119</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46119</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46119</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46119</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46119</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46119</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46119</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46119</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46119</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46119</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46119</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46119</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46119</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46119</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46119</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46119</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46119</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46119</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46119</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46119</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46119</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46119</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46119</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46119</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46119</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46119</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46119</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46119</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46119</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46119</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46119</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46119</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46119</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46119</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46119</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46119</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46119</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46119</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46119</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46119</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46119</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46119</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46119</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46119</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46119</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46119</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46119</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46119</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46119</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46119</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46119</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46119</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46119</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46119</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46119</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46119</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46119</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46119</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46119</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46119</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46119</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46119</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46119</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46119</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46119</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46119</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46119</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46119</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46119</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46119</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46119</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46119</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46119</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46119</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46119</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46119</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46119</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46119</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46119</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46119</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46119</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46119</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46119</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46119</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46119</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46119</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46119</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46119</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46119</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46119</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46119</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46119</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46119</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46119</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46119</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46119</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46119</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46119</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46119</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46119</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46119</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46119</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46119</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46119</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46119</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46119</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46119</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46119</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46119</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46119</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46119</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46119</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46119</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46119</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46119</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46119</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46119</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46119</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46119</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46119</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46119</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46119</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46119</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46119</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46119</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46119</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46119</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46119</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46119</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46119</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46119</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46119</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46119</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46119</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46119</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46119</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46119</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46119</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46119</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46119</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46119</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46119</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46119</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46119</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46119</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46119</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46119</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46119</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46119</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46119</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46119</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46119</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46119</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46119</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46119</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46119</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46119</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46119</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46119</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46119</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46119</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46119</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46119</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46119</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46119</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46119</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46119</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46119</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46119</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46119</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46119</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46119</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46119</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46119</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46119</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46119</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46119</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46119</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46119</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46119</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46119</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46119</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46119</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46119</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46119</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46119</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46119</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46119</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46119</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46119</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46119</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46119</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46119</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46119</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46119</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46119</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46119</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46119</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46119</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46119</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46119</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46119</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46119</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46119</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46119</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46119</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46119</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46119</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46119</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46119</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46119</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46119</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46119</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46119</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46119</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46119</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46119</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46119</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46119</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46119</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46119</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46119</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46119</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46119</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46119</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46119</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46119</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46119</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46119</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46119</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46119</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46119</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46119</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46119</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46119</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46119</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46119</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46119</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46119</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46119</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46119</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46119</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46119</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46119</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46119</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46119</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46119</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46119</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46119</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46119</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46119</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46119</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46119</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46119</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46119</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46119</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46119</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46119</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46119</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46119</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46119</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46119</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46119</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46119</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46119</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46119</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46119</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46119</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46119</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46119</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46119</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46119</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46119</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46119</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46119</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46119</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46119</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46119</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46119</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46119</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46119</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46119</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46119</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46119</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46119</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46119</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46119</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46119</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46119</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46119</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46119</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46119</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46119</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46119</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46119</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46119</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46119</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46119</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46119</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46119</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46119</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46119</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46119</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46119</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46119</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46119</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46119</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46119</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46119</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46119</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46119</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46119</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46119</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46119</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46119</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46119</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46119</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46119</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46119</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46119</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46119</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46119</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46119</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46119</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46119</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46119</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46119</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46119</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46119</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46119</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46119</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46119</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46119</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46119</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46119</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46119</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46119</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46119</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46119</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46119</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46119</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46119</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46119</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46119</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46119</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46119</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46119</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46119</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46119</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46119</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46119</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46119</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46119</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46119</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46119</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46119</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46119</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46119</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46119</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46119</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46119</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46119</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46119</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46119</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46119</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46119</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46119</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46119</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46119</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46119</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46119</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46119</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46119</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46119</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46119</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46119</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46119</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46119</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46119</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46119</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46119</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46119</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46119</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46119</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46119</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46119</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46119</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46119</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46119</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46119</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46119</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46119</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46119</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46119</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46119</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46119</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46119</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46119</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46119</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46119</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46119</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46119</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46119</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46119</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46119</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46119</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46119</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46119</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46119</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46119</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46119</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46119</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46119</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46119</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46119</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46119</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46119</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46119</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46119</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46119</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46119</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46119</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46119</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46119</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46119</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46119</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46119</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46119</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46119</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46119</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46119</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46119</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46119</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46119</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46119</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46119</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46119</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46119</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46119</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46119</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46119</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46119</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46119</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46119</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46119</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46119</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46119</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46119</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46119</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46119</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46119</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46119</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46119</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46119</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46119</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46119</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46119</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46119</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46119</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46119</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46119</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46119</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46119</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46119</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46119</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46119</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46119</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46119</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46119</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46119</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46119</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46119</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46119</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46119</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46119</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46119</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46119</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46119</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46119</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46119</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46119</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46119</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46119</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46119</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46119</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46119</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46119</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46119</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46119</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46119</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46119</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46119</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46119</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46119</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46119</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46119</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46119</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46119</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46119</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46119</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46119</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46119</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46119</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46119</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46119</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46119</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46119</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46119</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46119</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46119</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46119</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46119</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46119</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46119</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46119</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46119</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46119</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46119</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46119</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46119</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46119</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46119</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46119</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46119</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46119</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46119</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46119</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46119</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46119</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46119</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46119</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46119</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46119</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46119</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46119</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46119</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46119</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46119</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46119</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46119</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46119</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46119</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46119</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46119</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46119</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46119</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46119</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46119</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46119</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46119</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46119</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46119</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46119</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46119</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46119</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46119</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46119</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46119</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46119</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46119</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46119</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46119</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46119</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46119</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46119</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46119</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46119</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46119</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46119</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46119</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46119</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46119</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46119</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46119</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46119</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46119</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46119</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46119</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46119</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46119</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46119</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46119</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46119</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46119</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46119</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46119</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46119</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46119</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46119</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46119</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46119</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46119</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46119</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46119</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46119</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46119</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46119</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46119</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46119</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46119</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46119</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46119</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46119</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46119</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46119</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46119</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46119</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46119</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46119</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46119</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46119</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46119</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46119</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46119</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46119</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46119</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46119</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46119</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46119</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46119</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46119</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46119</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46119</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46119</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46119</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46119</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46119</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46119</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46119</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46119</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46119</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46119</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46119</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46119</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46119</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46119</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46119</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46119</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46119</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46119</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46119</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46119</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46119</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46119</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46119</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46119</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46119</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46119</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46119</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46119</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46119</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46119</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46119</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46119</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46119</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46119</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46119</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46119</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46119</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46119</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46119</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46119</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46119</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46119</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46119</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46119</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46119</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46119</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46119</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46119</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46119</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46119</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46119</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46119</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46119</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46119</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46119</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46119</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46119</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46119</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46119</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46119</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46119</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46119</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46119</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46119</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46119</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46119</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46119</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46119</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46119</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46119</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46119</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46119</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46119</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46119</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46119</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46119</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46119</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46119</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46119</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46119</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46119</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46119</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46119</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46119</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46119</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46119</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46119</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46119</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46119</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46119</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46119</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46119</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46119</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46119</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46119</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46119</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46119</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46119</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46119</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46119</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46119</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46119</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46119</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46119</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46119</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46119</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46119</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46119</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46119</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46119</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46119</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46119</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46119</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46119</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46119</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46119</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46119</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46119</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46119</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46119</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46119</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46119</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46119</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46119</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46119</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46119</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46119</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46119</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46119</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46119</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46119</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46119</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46119</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46119</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46119</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46119</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46119</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46119</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46119</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46119</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46119</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46119</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46119</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46119</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46119</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46119</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46119</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46119</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46119</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46119</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46119</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46119</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46119</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46119</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46119</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46119</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46119</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46119</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46119</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46119</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46119</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46119</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46119</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46119</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46119</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46119</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46119</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46119</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46119</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46119</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46119</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46119</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46119</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46119</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46119</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46119</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46119</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46119</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46119</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46119</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46119</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46119</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46119</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46119</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46119</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46119</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46119</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46119</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46119</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46119</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46119</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46119</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46119</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46119</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46119</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46119</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46119</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46119</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46119</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46119</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46119</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46119</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46119</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46119</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46119</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46119</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46119</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46119</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46119</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46119</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46119</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46119</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46119</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46119</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46119</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46119</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46119</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46119</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46119</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46119</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46119</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46119</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46119</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46119</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46119</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46119</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46119</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46119</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46119</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46119</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46119</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46119</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46119</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46119</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46119</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46119</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46119</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46119</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46119</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46119</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46119</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46119</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46119</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46119</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46119</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46119</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46119</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46119</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46119</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46119</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46119</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46119</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46119</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46119</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46119</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46119</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46119</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46119</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46119</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46119</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46119</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46119</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46119</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46119</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46119</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46119</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46119</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46119</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46119</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46119</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46119</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46119</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46119</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46119</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46119</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46119</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46119</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46119</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46119</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46119</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46119</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46119</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46119</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46119</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46119</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46119</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46119</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46119</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46119</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46119</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46119</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46119</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46119</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46119</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46119</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46119</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46119</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46119</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46119</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46119</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46119</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46119</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46119</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46119</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46119</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46119</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46119</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46119</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46119</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46119</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46119</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46119</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46119</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46119</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46119</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46119</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46119</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46119</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46119</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46119</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46119</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46119</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46119</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46119</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46119</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46119</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46119</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46119</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46119</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46119</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46119</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46119</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46119</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46119</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46119</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46119</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46119</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46119</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46119</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46119</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46119</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46119</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46119</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46119</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46119</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46119</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46119</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46119</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46119</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46119</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46119</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46119</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46119</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46119</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46119</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46119</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46119</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46119</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46119</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46119</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46119</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46119</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46119</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46119</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46119</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46119</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46119</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46119</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46119</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46119</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46119</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46119</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46119</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46119</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46119</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46119</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46119</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46119</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46119</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46119</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46119</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46119</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46119</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46119</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46119</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46119</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46119</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46119</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46119</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46119</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46119</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46119</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46119</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46119</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46119</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46119</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46119</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46119</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46119</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46119</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46119</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46119</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46119</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46119</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46119</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46119</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46119</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46119</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46119</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46119</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46119</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46119</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46119</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46119</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46119</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46119</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46119</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46119</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46119</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46119</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46119</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46119</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46119</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46119</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46119</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46119</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46119</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46119</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46119</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46119</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46119</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46119</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46119</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46119</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46119</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46119</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46119</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46119</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46119</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46119</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46119</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46119</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46119</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46119</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46119</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46119</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46119</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46119</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46119</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46119</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46119</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46119</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46119</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46119</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46119</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46119</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46119</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46119</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46119</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46119</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46119</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46119</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46119</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46119</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46119</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46119</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46119</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46119</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46119</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46119</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46119</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46119</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46119</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46119</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46119</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46119</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46119</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46119</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46119</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46119</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46119</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46119</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46119</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46119</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46119</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46119</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46119</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46119</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46119</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46119</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46119</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46119</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46119</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46119</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46119</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46119</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46119</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46119</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46119</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46119</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46119</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46119</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46119</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46119</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46119</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46119</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46119</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46119</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46119</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46119</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46119</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46119</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46119</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46119</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46119</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46119</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46119</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46119</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46119</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46119</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46119</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46119</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46119</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46119</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46119</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46119</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46119</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46119</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46119</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46119</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46119</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46119</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46119</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46119</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46119</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46119</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46119</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46119</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46119</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46119</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46119</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46119</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46119</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46119</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46119</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46119</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46119</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46119</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46119</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46119</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46119</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46119</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46119</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46119</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46119</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46119</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46119</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46119</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46119</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46119</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46119</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46119</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46119</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46119</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46119</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46119</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46119</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46119</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46119</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46119</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46119</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46119</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46119</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46119</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46119</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46119</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46119</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46119</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46119</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46119</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46119</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46119</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46119</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46119</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46119</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46119</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46119</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46119</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46119</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46119</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46119</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46119</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46119</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46119</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46119</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46119</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46119</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46119</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46119</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46119</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46119</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46119</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46119</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46119</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46119</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46119</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46119</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46119</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46119</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46119</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46119</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46119</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46119</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46119</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46119</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46119</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46119</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46119</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46119</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46119</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46119</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46119</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46119</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46119</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46119</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46119</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46119</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46119</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46119</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46119</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46119</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46119</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46119</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46119</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46119</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46119</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46119</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46119</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46119</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46119</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46119</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46119</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46119</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46119</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46119</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46119</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46119</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46119</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46119</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46119</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46119</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46119</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46119</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46119</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46119</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46119</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46119</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46119</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46119</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46119</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46119</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46119</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46119</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46119</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46119</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46119</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46119</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46119</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46119</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46119</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46119</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46119</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46119</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46119</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46119</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46119</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46119</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46119</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46119</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46119</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46119</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46119</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46119</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46119</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46119</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46119</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46119</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46119</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46119</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46119</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46119</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46119</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46119</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46119</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46119</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46119</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46119</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46119</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46119</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46119</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46119</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46119</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46119</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46119</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46119</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46119</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46119</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46119</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46119</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46119</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46119</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46119</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46119</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46119</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46119</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46119</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46119</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46119</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46119</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46119</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46119</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46119</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46119</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46119</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46119</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46119</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46119</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46119</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46119</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46119</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46119</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46119</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46119</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46119</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46119</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46119</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46119</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46119</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46119</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46119</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46119</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46119</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46119</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46119</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46119</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46119</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46119</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46119</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46119</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46119</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46119</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46119</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46119</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46119</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46119</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46119</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46119</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46119</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46119</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46119</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46119</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46119</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46119</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46119</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46119</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46119</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46119</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46119</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46119</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46119</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46119</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46119</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46119</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46119</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46119</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46119</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46119</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46119</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46119</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46119</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46119</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46119</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46119</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46119</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46119</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46119</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46119</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46119</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46119</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46119</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46119</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46119</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46119</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46119</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46119</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46119</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46119</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46119</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46119</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46119</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46119</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46119</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46119</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46119</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46119</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46119</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46119</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46119</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46119</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46119</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46119</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46119</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46119</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46119</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46119</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46119</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46119</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46119</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46119</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46119</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46119</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46119</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46119</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46119</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46119</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46119</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46119</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46119</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46119</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46119</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46119</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46119</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46119</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46119</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46119</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46119</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46119</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46119</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46119</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46119</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46119</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46119</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46119</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46119</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46119</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46119</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46119</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46119</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46119</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46119</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46119</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46119</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46119</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46119</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46119</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46119</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46119</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46119</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46119</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46119</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46119</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46119</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46119</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46119</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46119</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46119</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filterColumn colId="15">
      <filters>
        <filter val="화공ㆍ섬유"/>
      </filters>
    </filterColumn>
    <sortState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filterMode="1"/>
  <dimension ref="A1:AI219"/>
  <sheetViews>
    <sheetView tabSelected="1" zoomScale="70" zoomScaleNormal="70" workbookViewId="0">
      <pane xSplit="5" ySplit="2" topLeftCell="O3" activePane="bottomRight" state="frozen"/>
      <selection pane="topRight" activeCell="E1" sqref="E1"/>
      <selection pane="bottomLeft" activeCell="A3" sqref="A3"/>
      <selection pane="bottomRight" activeCell="A106" sqref="A106:XFD106"/>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31.21875" style="1" customWidth="1"/>
    <col min="31" max="31" width="48.66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hidden="1" customHeight="1" x14ac:dyDescent="0.35">
      <c r="A3" s="4">
        <v>37</v>
      </c>
      <c r="B3" s="2">
        <v>20401269</v>
      </c>
      <c r="C3" s="38" t="str">
        <f>IFERROR(VLOOKUP($B3,대상!$B:$AC,MATCH(C$2,대상!$1:$1,0)-1,FALSE),"")</f>
        <v>지역기반</v>
      </c>
      <c r="D3" s="38" t="str">
        <f>IFERROR(VLOOKUP($B3,대상!$B:$AC,MATCH(D$2,대상!$1:$1,0)-1,FALSE),"")</f>
        <v>윤수정</v>
      </c>
      <c r="E3" s="36" t="str">
        <f>IFERROR(VLOOKUP($B3,대상!$B:$AC,MATCH(E$2,대상!$1:$1,0)-1,FALSE),"")</f>
        <v>화공ㆍ섬유</v>
      </c>
      <c r="F3" s="38" t="str">
        <f>IFERROR(VLOOKUP($B3,대상!$B:$AC,MATCH(F$2,대상!$1:$1,0)-1,FALSE),"")</f>
        <v>수상 스포츠 이후 아로마테라피를 활용한 ‘After-Water Ritual’ 스킨케어 브랜드</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xml:space="preserve">0_x000D_②서류평가 면제 _x000D_0_x000D_0_x000D_⑤서류평가 면제 </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hidden="1" customHeight="1" x14ac:dyDescent="0.35">
      <c r="A4" s="4">
        <v>73</v>
      </c>
      <c r="B4" s="2">
        <v>20424839</v>
      </c>
      <c r="C4" s="38" t="str">
        <f>IFERROR(VLOOKUP($B4,대상!$B:$AC,MATCH(C$2,대상!$1:$1,0)-1,FALSE),"")</f>
        <v>지역기반</v>
      </c>
      <c r="D4" s="38" t="str">
        <f>IFERROR(VLOOKUP($B4,대상!$B:$AC,MATCH(D$2,대상!$1:$1,0)-1,FALSE),"")</f>
        <v>이경원</v>
      </c>
      <c r="E4" s="36" t="str">
        <f>IFERROR(VLOOKUP($B4,대상!$B:$AC,MATCH(E$2,대상!$1:$1,0)-1,FALSE),"")</f>
        <v>화공ㆍ섬유</v>
      </c>
      <c r="F4" s="38" t="str">
        <f>IFERROR(VLOOKUP($B4,대상!$B:$AC,MATCH(F$2,대상!$1:$1,0)-1,FALSE),"")</f>
        <v>옷장 속 미술관 : 입는 예술, 글로벌 아트웨어 브랜드 사업화</v>
      </c>
      <c r="G4" s="38" t="str">
        <f>IFERROR(VLOOKUP($B4,대상!$B:$AC,MATCH(G$2,대상!$1:$1,0)-1,FALSE),"")</f>
        <v/>
      </c>
      <c r="H4" s="33" t="str">
        <f>IFERROR(VLOOKUP($B4,[1]평가!$B:$Z,MATCH(LEFT(H$2,2),[1]평가!$7:$7,0)-1,FALSE),"")</f>
        <v>면제</v>
      </c>
      <c r="I4" s="36" t="str">
        <f>IFERROR(VLOOKUP($B4,[1]평가!$B:$Z,MATCH(LEFT(I$2,2),[1]평가!$7:$7,0)-1,FALSE),"")</f>
        <v/>
      </c>
      <c r="J4" s="36" t="str">
        <f>IFERROR(VLOOKUP($B4,[1]평가!$B:$Z,MATCH(LEFT(J$2,2),[1]평가!$7:$7,0)-1,FALSE),"")</f>
        <v/>
      </c>
      <c r="K4" s="33" t="str">
        <f>IFERROR(VLOOKUP($B4,[2]평가!$B:$Z,MATCH(LEFT(K$2,2),[2]평가!$7:$7,0)-1,FALSE),"")</f>
        <v>면제</v>
      </c>
      <c r="L4" s="36" t="str">
        <f>IFERROR(VLOOKUP($B4,[2]평가!$B:$Z,MATCH(LEFT(L$2,2),[2]평가!$7:$7,0)-1,FALSE),"")</f>
        <v/>
      </c>
      <c r="M4" s="39" t="str">
        <f>IFERROR(VLOOKUP($B4,[2]평가!$B:$Z,MATCH(LEFT(M$2,2),[2]평가!$7:$7,0)-1,FALSE),"")</f>
        <v/>
      </c>
      <c r="N4" s="33" t="str">
        <f>IFERROR(VLOOKUP($B4,[3]평가!$B:$Z,MATCH(LEFT(N$2,2),[3]평가!$7:$7,0)-1,FALSE),"")</f>
        <v>면제</v>
      </c>
      <c r="O4" s="36" t="str">
        <f>IFERROR(VLOOKUP($B4,[3]평가!$B:$Z,MATCH(LEFT(O$2,2),[3]평가!$7:$7,0)-1,FALSE),"")</f>
        <v/>
      </c>
      <c r="P4" s="39" t="str">
        <f>IFERROR(VLOOKUP($B4,[3]평가!$B:$Z,MATCH(LEFT(P$2,2),[3]평가!$7:$7,0)-1,FALSE),"")</f>
        <v/>
      </c>
      <c r="Q4" s="33" t="str">
        <f>IFERROR(VLOOKUP($B4,[4]평가!$B:$Z,MATCH(LEFT(Q$2,2),[4]평가!$7:$7,0)-1,FALSE),"")</f>
        <v>면제</v>
      </c>
      <c r="R4" s="36" t="str">
        <f>IFERROR(VLOOKUP($B4,[4]평가!$B:$Z,MATCH(LEFT(R$2,2),[4]평가!$7:$7,0)-1,FALSE),"")</f>
        <v/>
      </c>
      <c r="S4" s="39" t="str">
        <f>IFERROR(VLOOKUP($B4,[4]평가!$B:$Z,MATCH(LEFT(S$2,2),[4]평가!$7:$7,0)-1,FALSE),"")</f>
        <v/>
      </c>
      <c r="T4" s="33" t="str">
        <f>IFERROR(VLOOKUP($B4,[5]평가!$B:$Z,MATCH(LEFT(T$2,2),[5]평가!$7:$7,0)-1,FALSE),"")</f>
        <v>면제</v>
      </c>
      <c r="U4" s="36" t="str">
        <f>IFERROR(VLOOKUP($B4,[5]평가!$B:$Z,MATCH(LEFT(U$2,2),[5]평가!$7:$7,0)-1,FALSE),"")</f>
        <v/>
      </c>
      <c r="V4" s="39" t="str">
        <f>IFERROR(VLOOKUP($B4,[5]평가!$B:$Z,MATCH(LEFT(V$2,2),[5]평가!$7:$7,0)-1,FALSE),"")</f>
        <v/>
      </c>
      <c r="W4" s="33" t="str">
        <f>IFERROR(VLOOKUP($B4,대상!$B:$AD,MATCH(W$2,대상!$1:$1,0)-1,FALSE),"")</f>
        <v>면제</v>
      </c>
      <c r="X4" s="20">
        <f>IF(ISBLANK(B4),"",T$1-COUNTIF(H4:V4,"회피"))</f>
        <v>5</v>
      </c>
      <c r="Y4" s="21">
        <f>IF($T$1=X4,(SUM(I4,L4,O4,R4,U4)-MIN(I4,L4,O4,R4,U4)-MAX(I4,L4,O4,R4,U4))/($T$1-2),SUM(I4,L4,O4,R4,U4/X4))</f>
        <v>0</v>
      </c>
      <c r="Z4" s="40">
        <f>IFERROR(VLOOKUP($B4,대상!$B:$AD,MATCH(Z$2,대상!$1:$1,0)-1,FALSE),0)</f>
        <v>0</v>
      </c>
      <c r="AA4" s="41">
        <f>IFERROR(IF(W4="면제","100"+Z4,Y4+Z4),"")</f>
        <v>100</v>
      </c>
      <c r="AB4" s="35" t="str">
        <f>IF(OR(W4="면제",N(Y4)=0),"",IF(AA4&lt;60,"과락",""))</f>
        <v/>
      </c>
      <c r="AC4" s="54">
        <f>IF(N(AA4)=0,"",RANK(AA4,AA$3:AA$202))</f>
        <v>1</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0_x000D_②서류 평가 면제 _x000D_0_x000D_0_x000D_⑤서류평가 면제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hidden="1" customHeight="1" x14ac:dyDescent="0.35">
      <c r="A5" s="4">
        <v>89</v>
      </c>
      <c r="B5" s="2">
        <v>20428258</v>
      </c>
      <c r="C5" s="38" t="str">
        <f>IFERROR(VLOOKUP($B5,대상!$B:$AC,MATCH(C$2,대상!$1:$1,0)-1,FALSE),"")</f>
        <v>지역기반</v>
      </c>
      <c r="D5" s="38" t="str">
        <f>IFERROR(VLOOKUP($B5,대상!$B:$AC,MATCH(D$2,대상!$1:$1,0)-1,FALSE),"")</f>
        <v>이정현</v>
      </c>
      <c r="E5" s="36" t="str">
        <f>IFERROR(VLOOKUP($B5,대상!$B:$AC,MATCH(E$2,대상!$1:$1,0)-1,FALSE),"")</f>
        <v>화공ㆍ섬유</v>
      </c>
      <c r="F5" s="38" t="str">
        <f>IFERROR(VLOOKUP($B5,대상!$B:$AC,MATCH(F$2,대상!$1:$1,0)-1,FALSE),"")</f>
        <v>친환경 원천 소재 기술 기반의 제로 웨이스트 브랜드 고도화 솔루션</v>
      </c>
      <c r="G5" s="38" t="str">
        <f>IFERROR(VLOOKUP($B5,대상!$B:$AC,MATCH(G$2,대상!$1:$1,0)-1,FALSE),"")</f>
        <v/>
      </c>
      <c r="H5" s="33" t="str">
        <f>IFERROR(VLOOKUP($B5,[1]평가!$B:$Z,MATCH(LEFT(H$2,2),[1]평가!$7:$7,0)-1,FALSE),"")</f>
        <v>면제</v>
      </c>
      <c r="I5" s="36" t="str">
        <f>IFERROR(VLOOKUP($B5,[1]평가!$B:$Z,MATCH(LEFT(I$2,2),[1]평가!$7:$7,0)-1,FALSE),"")</f>
        <v/>
      </c>
      <c r="J5" s="36" t="str">
        <f>IFERROR(VLOOKUP($B5,[1]평가!$B:$Z,MATCH(LEFT(J$2,2),[1]평가!$7:$7,0)-1,FALSE),"")</f>
        <v/>
      </c>
      <c r="K5" s="33" t="str">
        <f>IFERROR(VLOOKUP($B5,[2]평가!$B:$Z,MATCH(LEFT(K$2,2),[2]평가!$7:$7,0)-1,FALSE),"")</f>
        <v>면제</v>
      </c>
      <c r="L5" s="36" t="str">
        <f>IFERROR(VLOOKUP($B5,[2]평가!$B:$Z,MATCH(LEFT(L$2,2),[2]평가!$7:$7,0)-1,FALSE),"")</f>
        <v/>
      </c>
      <c r="M5" s="39" t="str">
        <f>IFERROR(VLOOKUP($B5,[2]평가!$B:$Z,MATCH(LEFT(M$2,2),[2]평가!$7:$7,0)-1,FALSE),"")</f>
        <v/>
      </c>
      <c r="N5" s="33" t="str">
        <f>IFERROR(VLOOKUP($B5,[3]평가!$B:$Z,MATCH(LEFT(N$2,2),[3]평가!$7:$7,0)-1,FALSE),"")</f>
        <v>면제</v>
      </c>
      <c r="O5" s="36" t="str">
        <f>IFERROR(VLOOKUP($B5,[3]평가!$B:$Z,MATCH(LEFT(O$2,2),[3]평가!$7:$7,0)-1,FALSE),"")</f>
        <v/>
      </c>
      <c r="P5" s="39" t="str">
        <f>IFERROR(VLOOKUP($B5,[3]평가!$B:$Z,MATCH(LEFT(P$2,2),[3]평가!$7:$7,0)-1,FALSE),"")</f>
        <v/>
      </c>
      <c r="Q5" s="33" t="str">
        <f>IFERROR(VLOOKUP($B5,[4]평가!$B:$Z,MATCH(LEFT(Q$2,2),[4]평가!$7:$7,0)-1,FALSE),"")</f>
        <v>면제</v>
      </c>
      <c r="R5" s="36" t="str">
        <f>IFERROR(VLOOKUP($B5,[4]평가!$B:$Z,MATCH(LEFT(R$2,2),[4]평가!$7:$7,0)-1,FALSE),"")</f>
        <v/>
      </c>
      <c r="S5" s="39" t="str">
        <f>IFERROR(VLOOKUP($B5,[4]평가!$B:$Z,MATCH(LEFT(S$2,2),[4]평가!$7:$7,0)-1,FALSE),"")</f>
        <v/>
      </c>
      <c r="T5" s="33" t="str">
        <f>IFERROR(VLOOKUP($B5,[5]평가!$B:$Z,MATCH(LEFT(T$2,2),[5]평가!$7:$7,0)-1,FALSE),"")</f>
        <v>면제</v>
      </c>
      <c r="U5" s="36" t="str">
        <f>IFERROR(VLOOKUP($B5,[5]평가!$B:$Z,MATCH(LEFT(U$2,2),[5]평가!$7:$7,0)-1,FALSE),"")</f>
        <v/>
      </c>
      <c r="V5" s="39" t="str">
        <f>IFERROR(VLOOKUP($B5,[5]평가!$B:$Z,MATCH(LEFT(V$2,2),[5]평가!$7:$7,0)-1,FALSE),"")</f>
        <v/>
      </c>
      <c r="W5" s="33" t="str">
        <f>IFERROR(VLOOKUP($B5,대상!$B:$AD,MATCH(W$2,대상!$1:$1,0)-1,FALSE),"")</f>
        <v>면제</v>
      </c>
      <c r="X5" s="20">
        <f>IF(ISBLANK(B5),"",T$1-COUNTIF(H5:V5,"회피"))</f>
        <v>5</v>
      </c>
      <c r="Y5" s="21">
        <f>IF($T$1=X5,(SUM(I5,L5,O5,R5,U5)-MIN(I5,L5,O5,R5,U5)-MAX(I5,L5,O5,R5,U5))/($T$1-2),SUM(I5,L5,O5,R5,U5/X5))</f>
        <v>0</v>
      </c>
      <c r="Z5" s="40">
        <f>IFERROR(VLOOKUP($B5,대상!$B:$AD,MATCH(Z$2,대상!$1:$1,0)-1,FALSE),0)</f>
        <v>0</v>
      </c>
      <c r="AA5" s="41">
        <f>IFERROR(IF(W5="면제","100"+Z5,Y5+Z5),"")</f>
        <v>100</v>
      </c>
      <c r="AB5" s="35" t="str">
        <f>IF(OR(W5="면제",N(Y5)=0),"",IF(AA5&lt;60,"과락",""))</f>
        <v/>
      </c>
      <c r="AC5" s="54">
        <f>IF(N(AA5)=0,"",RANK(AA5,AA$3:AA$202))</f>
        <v>1</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0_x000D_②서류 평가 면제 _x000D_0_x000D_0_x000D_⑤서류평가 면제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hidden="1" customHeight="1" x14ac:dyDescent="0.35">
      <c r="A6" s="4">
        <v>108</v>
      </c>
      <c r="B6" s="2">
        <v>20410202</v>
      </c>
      <c r="C6" s="38" t="str">
        <f>IFERROR(VLOOKUP($B6,대상!$B:$AC,MATCH(C$2,대상!$1:$1,0)-1,FALSE),"")</f>
        <v>지역기반</v>
      </c>
      <c r="D6" s="38" t="str">
        <f>IFERROR(VLOOKUP($B6,대상!$B:$AC,MATCH(D$2,대상!$1:$1,0)-1,FALSE),"")</f>
        <v>김준</v>
      </c>
      <c r="E6" s="36" t="str">
        <f>IFERROR(VLOOKUP($B6,대상!$B:$AC,MATCH(E$2,대상!$1:$1,0)-1,FALSE),"")</f>
        <v>화공ㆍ섬유</v>
      </c>
      <c r="F6" s="38" t="str">
        <f>IFERROR(VLOOKUP($B6,대상!$B:$AC,MATCH(F$2,대상!$1:$1,0)-1,FALSE),"")</f>
        <v>AI 기반 고급 가죽 잡화 맞춤 제작 솔루션</v>
      </c>
      <c r="G6" s="38" t="str">
        <f>IFERROR(VLOOKUP($B6,대상!$B:$AC,MATCH(G$2,대상!$1:$1,0)-1,FALSE),"")</f>
        <v/>
      </c>
      <c r="H6" s="33" t="str">
        <f>IFERROR(VLOOKUP($B6,[1]평가!$B:$Z,MATCH(LEFT(H$2,2),[1]평가!$7:$7,0)-1,FALSE),"")</f>
        <v>면제</v>
      </c>
      <c r="I6" s="36" t="str">
        <f>IFERROR(VLOOKUP($B6,[1]평가!$B:$Z,MATCH(LEFT(I$2,2),[1]평가!$7:$7,0)-1,FALSE),"")</f>
        <v/>
      </c>
      <c r="J6" s="36" t="str">
        <f>IFERROR(VLOOKUP($B6,[1]평가!$B:$Z,MATCH(LEFT(J$2,2),[1]평가!$7:$7,0)-1,FALSE),"")</f>
        <v/>
      </c>
      <c r="K6" s="33" t="str">
        <f>IFERROR(VLOOKUP($B6,[2]평가!$B:$Z,MATCH(LEFT(K$2,2),[2]평가!$7:$7,0)-1,FALSE),"")</f>
        <v>면제</v>
      </c>
      <c r="L6" s="36" t="str">
        <f>IFERROR(VLOOKUP($B6,[2]평가!$B:$Z,MATCH(LEFT(L$2,2),[2]평가!$7:$7,0)-1,FALSE),"")</f>
        <v/>
      </c>
      <c r="M6" s="39" t="str">
        <f>IFERROR(VLOOKUP($B6,[2]평가!$B:$Z,MATCH(LEFT(M$2,2),[2]평가!$7:$7,0)-1,FALSE),"")</f>
        <v/>
      </c>
      <c r="N6" s="33" t="str">
        <f>IFERROR(VLOOKUP($B6,[3]평가!$B:$Z,MATCH(LEFT(N$2,2),[3]평가!$7:$7,0)-1,FALSE),"")</f>
        <v>면제</v>
      </c>
      <c r="O6" s="36" t="str">
        <f>IFERROR(VLOOKUP($B6,[3]평가!$B:$Z,MATCH(LEFT(O$2,2),[3]평가!$7:$7,0)-1,FALSE),"")</f>
        <v/>
      </c>
      <c r="P6" s="39" t="str">
        <f>IFERROR(VLOOKUP($B6,[3]평가!$B:$Z,MATCH(LEFT(P$2,2),[3]평가!$7:$7,0)-1,FALSE),"")</f>
        <v/>
      </c>
      <c r="Q6" s="33" t="str">
        <f>IFERROR(VLOOKUP($B6,[4]평가!$B:$Z,MATCH(LEFT(Q$2,2),[4]평가!$7:$7,0)-1,FALSE),"")</f>
        <v>면제</v>
      </c>
      <c r="R6" s="36" t="str">
        <f>IFERROR(VLOOKUP($B6,[4]평가!$B:$Z,MATCH(LEFT(R$2,2),[4]평가!$7:$7,0)-1,FALSE),"")</f>
        <v/>
      </c>
      <c r="S6" s="39" t="str">
        <f>IFERROR(VLOOKUP($B6,[4]평가!$B:$Z,MATCH(LEFT(S$2,2),[4]평가!$7:$7,0)-1,FALSE),"")</f>
        <v/>
      </c>
      <c r="T6" s="33" t="str">
        <f>IFERROR(VLOOKUP($B6,[5]평가!$B:$Z,MATCH(LEFT(T$2,2),[5]평가!$7:$7,0)-1,FALSE),"")</f>
        <v>면제</v>
      </c>
      <c r="U6" s="36" t="str">
        <f>IFERROR(VLOOKUP($B6,[5]평가!$B:$Z,MATCH(LEFT(U$2,2),[5]평가!$7:$7,0)-1,FALSE),"")</f>
        <v/>
      </c>
      <c r="V6" s="39" t="str">
        <f>IFERROR(VLOOKUP($B6,[5]평가!$B:$Z,MATCH(LEFT(V$2,2),[5]평가!$7:$7,0)-1,FALSE),"")</f>
        <v/>
      </c>
      <c r="W6" s="33" t="str">
        <f>IFERROR(VLOOKUP($B6,대상!$B:$AD,MATCH(W$2,대상!$1:$1,0)-1,FALSE),"")</f>
        <v>면제</v>
      </c>
      <c r="X6" s="20">
        <f>IF(ISBLANK(B6),"",T$1-COUNTIF(H6:V6,"회피"))</f>
        <v>5</v>
      </c>
      <c r="Y6" s="21">
        <f>IF($T$1=X6,(SUM(I6,L6,O6,R6,U6)-MIN(I6,L6,O6,R6,U6)-MAX(I6,L6,O6,R6,U6))/($T$1-2),SUM(I6,L6,O6,R6,U6/X6))</f>
        <v>0</v>
      </c>
      <c r="Z6" s="40">
        <f>IFERROR(VLOOKUP($B6,대상!$B:$AD,MATCH(Z$2,대상!$1:$1,0)-1,FALSE),0)</f>
        <v>0</v>
      </c>
      <c r="AA6" s="41">
        <f>IFERROR(IF(W6="면제","100"+Z6,Y6+Z6),"")</f>
        <v>100</v>
      </c>
      <c r="AB6" s="35" t="str">
        <f>IF(OR(W6="면제",N(Y6)=0),"",IF(AA6&lt;60,"과락",""))</f>
        <v/>
      </c>
      <c r="AC6" s="54">
        <f>IF(N(AA6)=0,"",RANK(AA6,AA$3:AA$202))</f>
        <v>1</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0_x000D_②서류 평가 면제 _x000D_0_x000D_0_x000D_⑤서류평가 면제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hidden="1" customHeight="1" x14ac:dyDescent="0.35">
      <c r="A7" s="4">
        <v>111</v>
      </c>
      <c r="B7" s="2">
        <v>20414167</v>
      </c>
      <c r="C7" s="38" t="str">
        <f>IFERROR(VLOOKUP($B7,대상!$B:$AC,MATCH(C$2,대상!$1:$1,0)-1,FALSE),"")</f>
        <v>지역기반</v>
      </c>
      <c r="D7" s="38" t="str">
        <f>IFERROR(VLOOKUP($B7,대상!$B:$AC,MATCH(D$2,대상!$1:$1,0)-1,FALSE),"")</f>
        <v>손석봉</v>
      </c>
      <c r="E7" s="36" t="str">
        <f>IFERROR(VLOOKUP($B7,대상!$B:$AC,MATCH(E$2,대상!$1:$1,0)-1,FALSE),"")</f>
        <v>화공ㆍ섬유</v>
      </c>
      <c r="F7" s="38" t="str">
        <f>IFERROR(VLOOKUP($B7,대상!$B:$AC,MATCH(F$2,대상!$1:$1,0)-1,FALSE),"")</f>
        <v>다층 복합 구조 레이저 방호 원단을 활용한 경량형 레이저 보호복</v>
      </c>
      <c r="G7" s="38" t="str">
        <f>IFERROR(VLOOKUP($B7,대상!$B:$AC,MATCH(G$2,대상!$1:$1,0)-1,FALSE),"")</f>
        <v/>
      </c>
      <c r="H7" s="33" t="str">
        <f>IFERROR(VLOOKUP($B7,[1]평가!$B:$Z,MATCH(LEFT(H$2,2),[1]평가!$7:$7,0)-1,FALSE),"")</f>
        <v>면제</v>
      </c>
      <c r="I7" s="36" t="str">
        <f>IFERROR(VLOOKUP($B7,[1]평가!$B:$Z,MATCH(LEFT(I$2,2),[1]평가!$7:$7,0)-1,FALSE),"")</f>
        <v/>
      </c>
      <c r="J7" s="36" t="str">
        <f>IFERROR(VLOOKUP($B7,[1]평가!$B:$Z,MATCH(LEFT(J$2,2),[1]평가!$7:$7,0)-1,FALSE),"")</f>
        <v/>
      </c>
      <c r="K7" s="33" t="str">
        <f>IFERROR(VLOOKUP($B7,[2]평가!$B:$Z,MATCH(LEFT(K$2,2),[2]평가!$7:$7,0)-1,FALSE),"")</f>
        <v>면제</v>
      </c>
      <c r="L7" s="36" t="str">
        <f>IFERROR(VLOOKUP($B7,[2]평가!$B:$Z,MATCH(LEFT(L$2,2),[2]평가!$7:$7,0)-1,FALSE),"")</f>
        <v/>
      </c>
      <c r="M7" s="39" t="str">
        <f>IFERROR(VLOOKUP($B7,[2]평가!$B:$Z,MATCH(LEFT(M$2,2),[2]평가!$7:$7,0)-1,FALSE),"")</f>
        <v/>
      </c>
      <c r="N7" s="33" t="str">
        <f>IFERROR(VLOOKUP($B7,[3]평가!$B:$Z,MATCH(LEFT(N$2,2),[3]평가!$7:$7,0)-1,FALSE),"")</f>
        <v>면제</v>
      </c>
      <c r="O7" s="36" t="str">
        <f>IFERROR(VLOOKUP($B7,[3]평가!$B:$Z,MATCH(LEFT(O$2,2),[3]평가!$7:$7,0)-1,FALSE),"")</f>
        <v/>
      </c>
      <c r="P7" s="39" t="str">
        <f>IFERROR(VLOOKUP($B7,[3]평가!$B:$Z,MATCH(LEFT(P$2,2),[3]평가!$7:$7,0)-1,FALSE),"")</f>
        <v/>
      </c>
      <c r="Q7" s="33" t="str">
        <f>IFERROR(VLOOKUP($B7,[4]평가!$B:$Z,MATCH(LEFT(Q$2,2),[4]평가!$7:$7,0)-1,FALSE),"")</f>
        <v>면제</v>
      </c>
      <c r="R7" s="36" t="str">
        <f>IFERROR(VLOOKUP($B7,[4]평가!$B:$Z,MATCH(LEFT(R$2,2),[4]평가!$7:$7,0)-1,FALSE),"")</f>
        <v/>
      </c>
      <c r="S7" s="39" t="str">
        <f>IFERROR(VLOOKUP($B7,[4]평가!$B:$Z,MATCH(LEFT(S$2,2),[4]평가!$7:$7,0)-1,FALSE),"")</f>
        <v/>
      </c>
      <c r="T7" s="33" t="str">
        <f>IFERROR(VLOOKUP($B7,[5]평가!$B:$Z,MATCH(LEFT(T$2,2),[5]평가!$7:$7,0)-1,FALSE),"")</f>
        <v>면제</v>
      </c>
      <c r="U7" s="36" t="str">
        <f>IFERROR(VLOOKUP($B7,[5]평가!$B:$Z,MATCH(LEFT(U$2,2),[5]평가!$7:$7,0)-1,FALSE),"")</f>
        <v/>
      </c>
      <c r="V7" s="39" t="str">
        <f>IFERROR(VLOOKUP($B7,[5]평가!$B:$Z,MATCH(LEFT(V$2,2),[5]평가!$7:$7,0)-1,FALSE),"")</f>
        <v/>
      </c>
      <c r="W7" s="33" t="str">
        <f>IFERROR(VLOOKUP($B7,대상!$B:$AD,MATCH(W$2,대상!$1:$1,0)-1,FALSE),"")</f>
        <v>면제</v>
      </c>
      <c r="X7" s="20">
        <f>IF(ISBLANK(B7),"",T$1-COUNTIF(H7:V7,"회피"))</f>
        <v>5</v>
      </c>
      <c r="Y7" s="21">
        <f>IF($T$1=X7,(SUM(I7,L7,O7,R7,U7)-MIN(I7,L7,O7,R7,U7)-MAX(I7,L7,O7,R7,U7))/($T$1-2),SUM(I7,L7,O7,R7,U7/X7))</f>
        <v>0</v>
      </c>
      <c r="Z7" s="40">
        <f>IFERROR(VLOOKUP($B7,대상!$B:$AD,MATCH(Z$2,대상!$1:$1,0)-1,FALSE),0)</f>
        <v>0</v>
      </c>
      <c r="AA7" s="41">
        <f>IFERROR(IF(W7="면제","100"+Z7,Y7+Z7),"")</f>
        <v>100</v>
      </c>
      <c r="AB7" s="35" t="str">
        <f>IF(OR(W7="면제",N(Y7)=0),"",IF(AA7&lt;60,"과락",""))</f>
        <v/>
      </c>
      <c r="AC7" s="54">
        <f>IF(N(AA7)=0,"",RANK(AA7,AA$3:AA$202))</f>
        <v>1</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0_x000D_②서류 평가 면제 _x000D_0_x000D_0_x000D_⑤서류평가 면제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hidden="1" customHeight="1" x14ac:dyDescent="0.35">
      <c r="A8" s="4">
        <v>56</v>
      </c>
      <c r="B8" s="2">
        <v>20416443</v>
      </c>
      <c r="C8" s="38" t="str">
        <f>IFERROR(VLOOKUP($B8,대상!$B:$AC,MATCH(C$2,대상!$1:$1,0)-1,FALSE),"")</f>
        <v>지역기반</v>
      </c>
      <c r="D8" s="38" t="str">
        <f>IFERROR(VLOOKUP($B8,대상!$B:$AC,MATCH(D$2,대상!$1:$1,0)-1,FALSE),"")</f>
        <v>김성진</v>
      </c>
      <c r="E8" s="36" t="str">
        <f>IFERROR(VLOOKUP($B8,대상!$B:$AC,MATCH(E$2,대상!$1:$1,0)-1,FALSE),"")</f>
        <v>화공ㆍ섬유</v>
      </c>
      <c r="F8" s="38" t="str">
        <f>IFERROR(VLOOKUP($B8,대상!$B:$AC,MATCH(F$2,대상!$1:$1,0)-1,FALSE),"")</f>
        <v>고해상도 DFSR(Dry Film Solder Resist) 제조기술 개발</v>
      </c>
      <c r="G8" s="38" t="str">
        <f>IFERROR(VLOOKUP($B8,대상!$B:$AC,MATCH(G$2,대상!$1:$1,0)-1,FALSE),"")</f>
        <v/>
      </c>
      <c r="H8" s="33">
        <f>IFERROR(VLOOKUP($B8,[1]평가!$B:$Z,MATCH(LEFT(H$2,2),[1]평가!$7:$7,0)-1,FALSE),"")</f>
        <v>0</v>
      </c>
      <c r="I8" s="36">
        <f>IFERROR(VLOOKUP($B8,[1]평가!$B:$Z,MATCH(LEFT(I$2,2),[1]평가!$7:$7,0)-1,FALSE),"")</f>
        <v>95</v>
      </c>
      <c r="J8" s="36">
        <f>IFERROR(VLOOKUP($B8,[1]평가!$B:$Z,MATCH(LEFT(J$2,2),[1]평가!$7:$7,0)-1,FALSE),"")</f>
        <v>1</v>
      </c>
      <c r="K8" s="33">
        <f>IFERROR(VLOOKUP($B8,[2]평가!$B:$Z,MATCH(LEFT(K$2,2),[2]평가!$7:$7,0)-1,FALSE),"")</f>
        <v>0</v>
      </c>
      <c r="L8" s="36">
        <f>IFERROR(VLOOKUP($B8,[2]평가!$B:$Z,MATCH(LEFT(L$2,2),[2]평가!$7:$7,0)-1,FALSE),"")</f>
        <v>96</v>
      </c>
      <c r="M8" s="39">
        <f>IFERROR(VLOOKUP($B8,[2]평가!$B:$Z,MATCH(LEFT(M$2,2),[2]평가!$7:$7,0)-1,FALSE),"")</f>
        <v>1</v>
      </c>
      <c r="N8" s="33">
        <f>IFERROR(VLOOKUP($B8,[3]평가!$B:$Z,MATCH(LEFT(N$2,2),[3]평가!$7:$7,0)-1,FALSE),"")</f>
        <v>0</v>
      </c>
      <c r="O8" s="36">
        <f>IFERROR(VLOOKUP($B8,[3]평가!$B:$Z,MATCH(LEFT(O$2,2),[3]평가!$7:$7,0)-1,FALSE),"")</f>
        <v>93</v>
      </c>
      <c r="P8" s="39">
        <f>IFERROR(VLOOKUP($B8,[3]평가!$B:$Z,MATCH(LEFT(P$2,2),[3]평가!$7:$7,0)-1,FALSE),"")</f>
        <v>5</v>
      </c>
      <c r="Q8" s="33">
        <f>IFERROR(VLOOKUP($B8,[4]평가!$B:$Z,MATCH(LEFT(Q$2,2),[4]평가!$7:$7,0)-1,FALSE),"")</f>
        <v>0</v>
      </c>
      <c r="R8" s="36">
        <f>IFERROR(VLOOKUP($B8,[4]평가!$B:$Z,MATCH(LEFT(R$2,2),[4]평가!$7:$7,0)-1,FALSE),"")</f>
        <v>92</v>
      </c>
      <c r="S8" s="39">
        <f>IFERROR(VLOOKUP($B8,[4]평가!$B:$Z,MATCH(LEFT(S$2,2),[4]평가!$7:$7,0)-1,FALSE),"")</f>
        <v>1</v>
      </c>
      <c r="T8" s="33">
        <f>IFERROR(VLOOKUP($B8,[5]평가!$B:$Z,MATCH(LEFT(T$2,2),[5]평가!$7:$7,0)-1,FALSE),"")</f>
        <v>0</v>
      </c>
      <c r="U8" s="36">
        <f>IFERROR(VLOOKUP($B8,[5]평가!$B:$Z,MATCH(LEFT(U$2,2),[5]평가!$7:$7,0)-1,FALSE),"")</f>
        <v>92</v>
      </c>
      <c r="V8" s="39">
        <f>IFERROR(VLOOKUP($B8,[5]평가!$B:$Z,MATCH(LEFT(V$2,2),[5]평가!$7:$7,0)-1,FALSE),"")</f>
        <v>3</v>
      </c>
      <c r="W8" s="33">
        <f>IFERROR(VLOOKUP($B8,대상!$B:$AD,MATCH(W$2,대상!$1:$1,0)-1,FALSE),"")</f>
        <v>0</v>
      </c>
      <c r="X8" s="20">
        <f>IF(ISBLANK(B8),"",T$1-COUNTIF(H8:V8,"회피"))</f>
        <v>5</v>
      </c>
      <c r="Y8" s="21">
        <f>IF($T$1=X8,(SUM(I8,L8,O8,R8,U8)-MIN(I8,L8,O8,R8,U8)-MAX(I8,L8,O8,R8,U8))/($T$1-2),SUM(I8,L8,O8,R8,U8/X8))</f>
        <v>93.333333333333329</v>
      </c>
      <c r="Z8" s="40">
        <f>IFERROR(VLOOKUP($B8,대상!$B:$AD,MATCH(Z$2,대상!$1:$1,0)-1,FALSE),0)</f>
        <v>0</v>
      </c>
      <c r="AA8" s="41">
        <f>IFERROR(IF(W8="면제","100"+Z8,Y8+Z8),"")</f>
        <v>93.333333333333329</v>
      </c>
      <c r="AB8" s="35" t="str">
        <f>IF(OR(W8="면제",N(Y8)=0),"",IF(AA8&lt;60,"과락",""))</f>
        <v/>
      </c>
      <c r="AC8" s="54">
        <f>IF(N(AA8)=0,"",RANK(AA8,AA$3:AA$202))</f>
        <v>6</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①-기존기술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_x000D_②반도체 산업의 필요소재로 해외 제품 대체효과가 있고 현재 개발 제품의 평가가 완료되었으며 유통업체와의 협업이 진행된 상황이므로 중기적 매출  발생은 가능할 것으로 판단됨. 국내 개발이 필요한 소재로 지원의 필요성이 있슴 _x000D_③전반적으로 사업화 가능성을 검토한 수준이 우수하다고 판단됩니다.기술 추진 의지는 확고해 보이나, 창업중심대학 지원사업 성격에 따른 실질적인 구현 가능성에 대해서는 추가적인 검토가 요구됩니다. _x000D_④창업 동기와 문제 인식이 비교적 명확하게 제시가 되어 있으며, 사업화 가능성을 검토한 수준이 양호한 것으로 판단 됨. _x000D_⑤기존 2액형으로 사용되어 사용직전 배합해 사용해야 하는 불편함과 냉장보관해야 하는 문제점 등에 대해 정확히 인지하고, 이를 극복하기 위한 1액형 제품에 대한 검증까지 이루어진 단계로 그 기술력과 사업성에 대해 충분히 설명하고 있다. 다만 1액형의 특성상 초기 대비 사용기한(ex.6개월)이 다가올수록 품질의 저하가 예상되며, 이에 대한 검증이 필요하다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hidden="1" customHeight="1" x14ac:dyDescent="0.35">
      <c r="A9" s="4">
        <v>39</v>
      </c>
      <c r="B9" s="2">
        <v>20402078</v>
      </c>
      <c r="C9" s="38" t="str">
        <f>IFERROR(VLOOKUP($B9,대상!$B:$AC,MATCH(C$2,대상!$1:$1,0)-1,FALSE),"")</f>
        <v>지역기반</v>
      </c>
      <c r="D9" s="38" t="str">
        <f>IFERROR(VLOOKUP($B9,대상!$B:$AC,MATCH(D$2,대상!$1:$1,0)-1,FALSE),"")</f>
        <v>이윤진</v>
      </c>
      <c r="E9" s="36" t="str">
        <f>IFERROR(VLOOKUP($B9,대상!$B:$AC,MATCH(E$2,대상!$1:$1,0)-1,FALSE),"")</f>
        <v>화공ㆍ섬유</v>
      </c>
      <c r="F9" s="38" t="str">
        <f>IFERROR(VLOOKUP($B9,대상!$B:$AC,MATCH(F$2,대상!$1:$1,0)-1,FALSE),"")</f>
        <v>[글로벌 타겟] AI 톤적응 마이크로캡슐 기반 스킨케어형 컬러체인지 커버선크림 개발 및 사업화</v>
      </c>
      <c r="G9" s="38" t="str">
        <f>IFERROR(VLOOKUP($B9,대상!$B:$AC,MATCH(G$2,대상!$1:$1,0)-1,FALSE),"")</f>
        <v/>
      </c>
      <c r="H9" s="33">
        <f>IFERROR(VLOOKUP($B9,[1]평가!$B:$Z,MATCH(LEFT(H$2,2),[1]평가!$7:$7,0)-1,FALSE),"")</f>
        <v>0</v>
      </c>
      <c r="I9" s="36">
        <f>IFERROR(VLOOKUP($B9,[1]평가!$B:$Z,MATCH(LEFT(I$2,2),[1]평가!$7:$7,0)-1,FALSE),"")</f>
        <v>91</v>
      </c>
      <c r="J9" s="36">
        <f>IFERROR(VLOOKUP($B9,[1]평가!$B:$Z,MATCH(LEFT(J$2,2),[1]평가!$7:$7,0)-1,FALSE),"")</f>
        <v>3</v>
      </c>
      <c r="K9" s="33">
        <f>IFERROR(VLOOKUP($B9,[2]평가!$B:$Z,MATCH(LEFT(K$2,2),[2]평가!$7:$7,0)-1,FALSE),"")</f>
        <v>0</v>
      </c>
      <c r="L9" s="36">
        <f>IFERROR(VLOOKUP($B9,[2]평가!$B:$Z,MATCH(LEFT(L$2,2),[2]평가!$7:$7,0)-1,FALSE),"")</f>
        <v>90</v>
      </c>
      <c r="M9" s="39">
        <f>IFERROR(VLOOKUP($B9,[2]평가!$B:$Z,MATCH(LEFT(M$2,2),[2]평가!$7:$7,0)-1,FALSE),"")</f>
        <v>5</v>
      </c>
      <c r="N9" s="33">
        <f>IFERROR(VLOOKUP($B9,[3]평가!$B:$Z,MATCH(LEFT(N$2,2),[3]평가!$7:$7,0)-1,FALSE),"")</f>
        <v>0</v>
      </c>
      <c r="O9" s="36">
        <f>IFERROR(VLOOKUP($B9,[3]평가!$B:$Z,MATCH(LEFT(O$2,2),[3]평가!$7:$7,0)-1,FALSE),"")</f>
        <v>92</v>
      </c>
      <c r="P9" s="39">
        <f>IFERROR(VLOOKUP($B9,[3]평가!$B:$Z,MATCH(LEFT(P$2,2),[3]평가!$7:$7,0)-1,FALSE),"")</f>
        <v>3</v>
      </c>
      <c r="Q9" s="33">
        <f>IFERROR(VLOOKUP($B9,[4]평가!$B:$Z,MATCH(LEFT(Q$2,2),[4]평가!$7:$7,0)-1,FALSE),"")</f>
        <v>0</v>
      </c>
      <c r="R9" s="36">
        <f>IFERROR(VLOOKUP($B9,[4]평가!$B:$Z,MATCH(LEFT(R$2,2),[4]평가!$7:$7,0)-1,FALSE),"")</f>
        <v>89</v>
      </c>
      <c r="S9" s="39">
        <f>IFERROR(VLOOKUP($B9,[4]평가!$B:$Z,MATCH(LEFT(S$2,2),[4]평가!$7:$7,0)-1,FALSE),"")</f>
        <v>2</v>
      </c>
      <c r="T9" s="33">
        <f>IFERROR(VLOOKUP($B9,[5]평가!$B:$Z,MATCH(LEFT(T$2,2),[5]평가!$7:$7,0)-1,FALSE),"")</f>
        <v>0</v>
      </c>
      <c r="U9" s="36">
        <f>IFERROR(VLOOKUP($B9,[5]평가!$B:$Z,MATCH(LEFT(U$2,2),[5]평가!$7:$7,0)-1,FALSE),"")</f>
        <v>91</v>
      </c>
      <c r="V9" s="39">
        <f>IFERROR(VLOOKUP($B9,[5]평가!$B:$Z,MATCH(LEFT(V$2,2),[5]평가!$7:$7,0)-1,FALSE),"")</f>
        <v>2</v>
      </c>
      <c r="W9" s="33">
        <f>IFERROR(VLOOKUP($B9,대상!$B:$AD,MATCH(W$2,대상!$1:$1,0)-1,FALSE),"")</f>
        <v>0</v>
      </c>
      <c r="X9" s="20">
        <f>IF(ISBLANK(B9),"",T$1-COUNTIF(H9:V9,"회피"))</f>
        <v>5</v>
      </c>
      <c r="Y9" s="21">
        <f>IF($T$1=X9,(SUM(I9,L9,O9,R9,U9)-MIN(I9,L9,O9,R9,U9)-MAX(I9,L9,O9,R9,U9))/($T$1-2),SUM(I9,L9,O9,R9,U9/X9))</f>
        <v>90.666666666666671</v>
      </c>
      <c r="Z9" s="40">
        <f>IFERROR(VLOOKUP($B9,대상!$B:$AD,MATCH(Z$2,대상!$1:$1,0)-1,FALSE),0)</f>
        <v>2</v>
      </c>
      <c r="AA9" s="41">
        <f>IFERROR(IF(W9="면제","100"+Z9,Y9+Z9),"")</f>
        <v>92.666666666666671</v>
      </c>
      <c r="AB9" s="35" t="str">
        <f>IF(OR(W9="면제",N(Y9)=0),"",IF(AA9&lt;60,"과락",""))</f>
        <v/>
      </c>
      <c r="AC9" s="54">
        <f>IF(N(AA9)=0,"",RANK(AA9,AA$3:AA$202))</f>
        <v>7</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①-사업화아이템의 성공가능성 향상을 위하여 시장에 판매되고 있는 유사제품 대비 차별화 이슈 도출 및 경쟁력 강화를 위한 방안에 대한 심도있는 고민이 필요해 보입니다.
-창업지원사업의 특성을 고려한 객관적 성과지표 제시 및 달성방안에 대한 설명이 필요해 보입니다.  _x000D_②천연성분을 활용한 제품개발과 K-뷰티산업에 대응한 제품개발로 시장 분석 및 제품화 전략 수립이 양호하고 개발 제품의 독점성 및 시장 선점 가능성이 높을 것으로 판단됨 _x000D_③화장품 시장에 대한 전망과 객관적 분석 경쟁 제품과의 차별점을 제시한 점은 긍정적입니다. 다만, 이러한 차별성이 자사만의 독보적인 실질적인 기술적 우위로 이어지는 근거가 다소 부족합니다 _x000D_④전반적으로 차별화 방향이 확인 됨. _x000D_⑤기존 시장의 기능성 uv차단제와의 차별성이 잘 나타나 있어 기술적인 우위성이 드러나 있으며, 이를 활용한 시장진출계획등이 잘 설명되어져 있다. 다만, 제품의 경쟁력이나 시장의 반응을 확인하기 위한 모수(10명)는 제품의 성능을 판단하기 위해서 작은 모집단 수라고 판단된다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hidden="1" customHeight="1" x14ac:dyDescent="0.35">
      <c r="A10" s="4">
        <v>55</v>
      </c>
      <c r="B10" s="2">
        <v>20415499</v>
      </c>
      <c r="C10" s="38" t="str">
        <f>IFERROR(VLOOKUP($B10,대상!$B:$AC,MATCH(C$2,대상!$1:$1,0)-1,FALSE),"")</f>
        <v>지역기반</v>
      </c>
      <c r="D10" s="38" t="str">
        <f>IFERROR(VLOOKUP($B10,대상!$B:$AC,MATCH(D$2,대상!$1:$1,0)-1,FALSE),"")</f>
        <v>정진우</v>
      </c>
      <c r="E10" s="36" t="str">
        <f>IFERROR(VLOOKUP($B10,대상!$B:$AC,MATCH(E$2,대상!$1:$1,0)-1,FALSE),"")</f>
        <v>화공ㆍ섬유</v>
      </c>
      <c r="F10" s="38" t="str">
        <f>IFERROR(VLOOKUP($B10,대상!$B:$AC,MATCH(F$2,대상!$1:$1,0)-1,FALSE),"")</f>
        <v>초고속 냉연/도금 강판 생산 라인을 위한 반응형 초계면(Super-Interface) 탈지제</v>
      </c>
      <c r="G10" s="38" t="str">
        <f>IFERROR(VLOOKUP($B10,대상!$B:$AC,MATCH(G$2,대상!$1:$1,0)-1,FALSE),"")</f>
        <v/>
      </c>
      <c r="H10" s="33">
        <f>IFERROR(VLOOKUP($B10,[1]평가!$B:$Z,MATCH(LEFT(H$2,2),[1]평가!$7:$7,0)-1,FALSE),"")</f>
        <v>0</v>
      </c>
      <c r="I10" s="36">
        <f>IFERROR(VLOOKUP($B10,[1]평가!$B:$Z,MATCH(LEFT(I$2,2),[1]평가!$7:$7,0)-1,FALSE),"")</f>
        <v>91</v>
      </c>
      <c r="J10" s="36">
        <f>IFERROR(VLOOKUP($B10,[1]평가!$B:$Z,MATCH(LEFT(J$2,2),[1]평가!$7:$7,0)-1,FALSE),"")</f>
        <v>5</v>
      </c>
      <c r="K10" s="33">
        <f>IFERROR(VLOOKUP($B10,[2]평가!$B:$Z,MATCH(LEFT(K$2,2),[2]평가!$7:$7,0)-1,FALSE),"")</f>
        <v>0</v>
      </c>
      <c r="L10" s="36">
        <f>IFERROR(VLOOKUP($B10,[2]평가!$B:$Z,MATCH(LEFT(L$2,2),[2]평가!$7:$7,0)-1,FALSE),"")</f>
        <v>93</v>
      </c>
      <c r="M10" s="39">
        <f>IFERROR(VLOOKUP($B10,[2]평가!$B:$Z,MATCH(LEFT(M$2,2),[2]평가!$7:$7,0)-1,FALSE),"")</f>
        <v>4</v>
      </c>
      <c r="N10" s="33">
        <f>IFERROR(VLOOKUP($B10,[3]평가!$B:$Z,MATCH(LEFT(N$2,2),[3]평가!$7:$7,0)-1,FALSE),"")</f>
        <v>0</v>
      </c>
      <c r="O10" s="36">
        <f>IFERROR(VLOOKUP($B10,[3]평가!$B:$Z,MATCH(LEFT(O$2,2),[3]평가!$7:$7,0)-1,FALSE),"")</f>
        <v>95</v>
      </c>
      <c r="P10" s="39">
        <f>IFERROR(VLOOKUP($B10,[3]평가!$B:$Z,MATCH(LEFT(P$2,2),[3]평가!$7:$7,0)-1,FALSE),"")</f>
        <v>2</v>
      </c>
      <c r="Q10" s="33">
        <f>IFERROR(VLOOKUP($B10,[4]평가!$B:$Z,MATCH(LEFT(Q$2,2),[4]평가!$7:$7,0)-1,FALSE),"")</f>
        <v>0</v>
      </c>
      <c r="R10" s="36">
        <f>IFERROR(VLOOKUP($B10,[4]평가!$B:$Z,MATCH(LEFT(R$2,2),[4]평가!$7:$7,0)-1,FALSE),"")</f>
        <v>90</v>
      </c>
      <c r="S10" s="39">
        <f>IFERROR(VLOOKUP($B10,[4]평가!$B:$Z,MATCH(LEFT(S$2,2),[4]평가!$7:$7,0)-1,FALSE),"")</f>
        <v>6</v>
      </c>
      <c r="T10" s="33">
        <f>IFERROR(VLOOKUP($B10,[5]평가!$B:$Z,MATCH(LEFT(T$2,2),[5]평가!$7:$7,0)-1,FALSE),"")</f>
        <v>0</v>
      </c>
      <c r="U10" s="36">
        <f>IFERROR(VLOOKUP($B10,[5]평가!$B:$Z,MATCH(LEFT(U$2,2),[5]평가!$7:$7,0)-1,FALSE),"")</f>
        <v>94</v>
      </c>
      <c r="V10" s="39">
        <f>IFERROR(VLOOKUP($B10,[5]평가!$B:$Z,MATCH(LEFT(V$2,2),[5]평가!$7:$7,0)-1,FALSE),"")</f>
        <v>1</v>
      </c>
      <c r="W10" s="33">
        <f>IFERROR(VLOOKUP($B10,대상!$B:$AD,MATCH(W$2,대상!$1:$1,0)-1,FALSE),"")</f>
        <v>0</v>
      </c>
      <c r="X10" s="20">
        <f>IF(ISBLANK(B10),"",T$1-COUNTIF(H10:V10,"회피"))</f>
        <v>5</v>
      </c>
      <c r="Y10" s="21">
        <f>IF($T$1=X10,(SUM(I10,L10,O10,R10,U10)-MIN(I10,L10,O10,R10,U10)-MAX(I10,L10,O10,R10,U10))/($T$1-2),SUM(I10,L10,O10,R10,U10/X10))</f>
        <v>92.666666666666671</v>
      </c>
      <c r="Z10" s="40">
        <f>IFERROR(VLOOKUP($B10,대상!$B:$AD,MATCH(Z$2,대상!$1:$1,0)-1,FALSE),0)</f>
        <v>0</v>
      </c>
      <c r="AA10" s="41">
        <f>IFERROR(IF(W10="면제","100"+Z10,Y10+Z10),"")</f>
        <v>92.666666666666671</v>
      </c>
      <c r="AB10" s="35" t="str">
        <f>IF(OR(W10="면제",N(Y10)=0),"",IF(AA10&lt;60,"과락",""))</f>
        <v/>
      </c>
      <c r="AC10" s="54">
        <f>IF(N(AA10)=0,"",RANK(AA10,AA$3:AA$202))</f>
        <v>7</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①-기존제품 대비 특화된 경쟁요소 도출 및 그것의 활용에 대한 설명이 필요해 보입니다.
-후발 경쟁자의 시장진입 억제를 위해 진입억제 방안 도출에 대한 고민이 필요해 보입니다.
-창업지원사업의 특성을 고려한 성과지표제시 및 달성방안에 대한 설명이 필요해 보입니다.  _x000D_②개발 제품에 대한 대표와 담당자의 역량이 높고 관련 제품의 기술이 완료된 상태로 지원시 목표 제품 개발 가능성이 높을 것으로 판단됨. 개발 제품의 필요성과 희소성은 있으나 매출 연계성이 높을 것으로 판단됨 _x000D_③아이템의 핵심 기능과 구체적인 활용 방안이 잘 정리되어 있으며, 기술적 구현 방법과 사업화 전략이 논리적으로 연결. 
아이템의 참신함이 돋보이므로 시장 데이터 보완시 매력적인 사업이 될 것임.  _x000D_④창업동기와 문제 인식이 명확하게 제시가 되었으며, 활용성에 대한 설명도 비교적 양호한 것으로 판단 됨. _x000D_⑤기존 탈지 공정의 한계를 명확히 제시하고 이를 극복하기 위한 세부기술의 부분까지 상세히 설명되어져 있으며, 대표자의 기술력과 개발하고자 하는 기술의 시장성을 충분히 설명하고 있다. 초단시간 탈지 기술을 활용하여 기존 기술의 한계인 생산성을 혁신할 수 있는 기술력이 있음이 잘 나타나 있는 사업계획서이다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hidden="1" customHeight="1" x14ac:dyDescent="0.35">
      <c r="A11" s="4">
        <v>79</v>
      </c>
      <c r="B11" s="2">
        <v>20426411</v>
      </c>
      <c r="C11" s="38" t="str">
        <f>IFERROR(VLOOKUP($B11,대상!$B:$AC,MATCH(C$2,대상!$1:$1,0)-1,FALSE),"")</f>
        <v>지역기반</v>
      </c>
      <c r="D11" s="38" t="str">
        <f>IFERROR(VLOOKUP($B11,대상!$B:$AC,MATCH(D$2,대상!$1:$1,0)-1,FALSE),"")</f>
        <v>봉민균</v>
      </c>
      <c r="E11" s="36" t="str">
        <f>IFERROR(VLOOKUP($B11,대상!$B:$AC,MATCH(E$2,대상!$1:$1,0)-1,FALSE),"")</f>
        <v>화공ㆍ섬유</v>
      </c>
      <c r="F11" s="38" t="str">
        <f>IFERROR(VLOOKUP($B11,대상!$B:$AC,MATCH(F$2,대상!$1:$1,0)-1,FALSE),"")</f>
        <v>해조류 청각 기반 메탄저감 사료첨가제</v>
      </c>
      <c r="G11" s="38" t="str">
        <f>IFERROR(VLOOKUP($B11,대상!$B:$AC,MATCH(G$2,대상!$1:$1,0)-1,FALSE),"")</f>
        <v/>
      </c>
      <c r="H11" s="33">
        <f>IFERROR(VLOOKUP($B11,[1]평가!$B:$Z,MATCH(LEFT(H$2,2),[1]평가!$7:$7,0)-1,FALSE),"")</f>
        <v>0</v>
      </c>
      <c r="I11" s="36">
        <f>IFERROR(VLOOKUP($B11,[1]평가!$B:$Z,MATCH(LEFT(I$2,2),[1]평가!$7:$7,0)-1,FALSE),"")</f>
        <v>94</v>
      </c>
      <c r="J11" s="36">
        <f>IFERROR(VLOOKUP($B11,[1]평가!$B:$Z,MATCH(LEFT(J$2,2),[1]평가!$7:$7,0)-1,FALSE),"")</f>
        <v>2</v>
      </c>
      <c r="K11" s="33">
        <f>IFERROR(VLOOKUP($B11,[2]평가!$B:$Z,MATCH(LEFT(K$2,2),[2]평가!$7:$7,0)-1,FALSE),"")</f>
        <v>0</v>
      </c>
      <c r="L11" s="36">
        <f>IFERROR(VLOOKUP($B11,[2]평가!$B:$Z,MATCH(LEFT(L$2,2),[2]평가!$7:$7,0)-1,FALSE),"")</f>
        <v>90</v>
      </c>
      <c r="M11" s="39">
        <f>IFERROR(VLOOKUP($B11,[2]평가!$B:$Z,MATCH(LEFT(M$2,2),[2]평가!$7:$7,0)-1,FALSE),"")</f>
        <v>8</v>
      </c>
      <c r="N11" s="33">
        <f>IFERROR(VLOOKUP($B11,[3]평가!$B:$Z,MATCH(LEFT(N$2,2),[3]평가!$7:$7,0)-1,FALSE),"")</f>
        <v>0</v>
      </c>
      <c r="O11" s="36">
        <f>IFERROR(VLOOKUP($B11,[3]평가!$B:$Z,MATCH(LEFT(O$2,2),[3]평가!$7:$7,0)-1,FALSE),"")</f>
        <v>96</v>
      </c>
      <c r="P11" s="39">
        <f>IFERROR(VLOOKUP($B11,[3]평가!$B:$Z,MATCH(LEFT(P$2,2),[3]평가!$7:$7,0)-1,FALSE),"")</f>
        <v>1</v>
      </c>
      <c r="Q11" s="33">
        <f>IFERROR(VLOOKUP($B11,[4]평가!$B:$Z,MATCH(LEFT(Q$2,2),[4]평가!$7:$7,0)-1,FALSE),"")</f>
        <v>0</v>
      </c>
      <c r="R11" s="36">
        <f>IFERROR(VLOOKUP($B11,[4]평가!$B:$Z,MATCH(LEFT(R$2,2),[4]평가!$7:$7,0)-1,FALSE),"")</f>
        <v>91</v>
      </c>
      <c r="S11" s="39">
        <f>IFERROR(VLOOKUP($B11,[4]평가!$B:$Z,MATCH(LEFT(S$2,2),[4]평가!$7:$7,0)-1,FALSE),"")</f>
        <v>2</v>
      </c>
      <c r="T11" s="33">
        <f>IFERROR(VLOOKUP($B11,[5]평가!$B:$Z,MATCH(LEFT(T$2,2),[5]평가!$7:$7,0)-1,FALSE),"")</f>
        <v>0</v>
      </c>
      <c r="U11" s="36">
        <f>IFERROR(VLOOKUP($B11,[5]평가!$B:$Z,MATCH(LEFT(U$2,2),[5]평가!$7:$7,0)-1,FALSE),"")</f>
        <v>91</v>
      </c>
      <c r="V11" s="39">
        <f>IFERROR(VLOOKUP($B11,[5]평가!$B:$Z,MATCH(LEFT(V$2,2),[5]평가!$7:$7,0)-1,FALSE),"")</f>
        <v>6</v>
      </c>
      <c r="W11" s="33">
        <f>IFERROR(VLOOKUP($B11,대상!$B:$AD,MATCH(W$2,대상!$1:$1,0)-1,FALSE),"")</f>
        <v>0</v>
      </c>
      <c r="X11" s="20">
        <f>IF(ISBLANK(B11),"",T$1-COUNTIF(H11:V11,"회피"))</f>
        <v>5</v>
      </c>
      <c r="Y11" s="21">
        <f>IF($T$1=X11,(SUM(I11,L11,O11,R11,U11)-MIN(I11,L11,O11,R11,U11)-MAX(I11,L11,O11,R11,U11))/($T$1-2),SUM(I11,L11,O11,R11,U11/X11))</f>
        <v>92</v>
      </c>
      <c r="Z11" s="40">
        <f>IFERROR(VLOOKUP($B11,대상!$B:$AD,MATCH(Z$2,대상!$1:$1,0)-1,FALSE),0)</f>
        <v>0</v>
      </c>
      <c r="AA11" s="41">
        <f>IFERROR(IF(W11="면제","100"+Z11,Y11+Z11),"")</f>
        <v>92</v>
      </c>
      <c r="AB11" s="35" t="str">
        <f>IF(OR(W11="면제",N(Y11)=0),"",IF(AA11&lt;60,"과락",""))</f>
        <v/>
      </c>
      <c r="AC11" s="54">
        <f>IF(N(AA11)=0,"",RANK(AA11,AA$3:AA$202))</f>
        <v>9</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_x000D_②기존 사료첨가제의 부작용 대응 제품 개발로 메탄성분 분석과 제품 제조 공정 및 원료 설계, 실증환경 및 시험분석 등 개발 준비 사항이 완료되었고 목표 수요처에 대한 조사도 완료된 것으로 판단됨 _x000D_③타겟 시장과 수익 창출 구조가 구체적으로 명시되었습니다. 사업화 일정이 단계별로 체계화되어 있어 가독성이 높으며, 비즈니스 실현 가능성에 대한 사전 검토가 충실히 이루어진 것으로 보입니다. _x000D_④창업 동기와 문제 인식이 비교적 명확하게 제시가 되어 있으며, 사업화 가능성을 검토한 수준도 양호하다고 판단 됨 _x000D_⑤바이오자원인 청각 해조류를 사용하여 그린바이오 사료첨가제를 창업아이템으로 하는 사업으로 사업전반의 내용과 기존제품의 한게 및 필요성에 대해 잘 설명하고 있다. 전반적으로 사업방향과 수익화 모델의 제시를 통한 사업성은 적절하나 객관적 근거에 대한 보완이 필요하다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hidden="1" customHeight="1" x14ac:dyDescent="0.35">
      <c r="A12" s="4">
        <v>81</v>
      </c>
      <c r="B12" s="2">
        <v>20426887</v>
      </c>
      <c r="C12" s="38" t="str">
        <f>IFERROR(VLOOKUP($B12,대상!$B:$AC,MATCH(C$2,대상!$1:$1,0)-1,FALSE),"")</f>
        <v>지역기반</v>
      </c>
      <c r="D12" s="38" t="str">
        <f>IFERROR(VLOOKUP($B12,대상!$B:$AC,MATCH(D$2,대상!$1:$1,0)-1,FALSE),"")</f>
        <v>김희중</v>
      </c>
      <c r="E12" s="36" t="str">
        <f>IFERROR(VLOOKUP($B12,대상!$B:$AC,MATCH(E$2,대상!$1:$1,0)-1,FALSE),"")</f>
        <v>화공ㆍ섬유</v>
      </c>
      <c r="F12" s="38" t="str">
        <f>IFERROR(VLOOKUP($B12,대상!$B:$AC,MATCH(F$2,대상!$1:$1,0)-1,FALSE),"")</f>
        <v>NIDT 변형 리포좀 기술을 적용하여 피부 열감과 속건조를 동시 해결하는 ‘기후 대응형(Zero-Heat) 고기능성 스킨케어’</v>
      </c>
      <c r="G12" s="38" t="str">
        <f>IFERROR(VLOOKUP($B12,대상!$B:$AC,MATCH(G$2,대상!$1:$1,0)-1,FALSE),"")</f>
        <v/>
      </c>
      <c r="H12" s="33">
        <f>IFERROR(VLOOKUP($B12,[1]평가!$B:$Z,MATCH(LEFT(H$2,2),[1]평가!$7:$7,0)-1,FALSE),"")</f>
        <v>0</v>
      </c>
      <c r="I12" s="36">
        <f>IFERROR(VLOOKUP($B12,[1]평가!$B:$Z,MATCH(LEFT(I$2,2),[1]평가!$7:$7,0)-1,FALSE),"")</f>
        <v>92</v>
      </c>
      <c r="J12" s="36">
        <f>IFERROR(VLOOKUP($B12,[1]평가!$B:$Z,MATCH(LEFT(J$2,2),[1]평가!$7:$7,0)-1,FALSE),"")</f>
        <v>4</v>
      </c>
      <c r="K12" s="33">
        <f>IFERROR(VLOOKUP($B12,[2]평가!$B:$Z,MATCH(LEFT(K$2,2),[2]평가!$7:$7,0)-1,FALSE),"")</f>
        <v>0</v>
      </c>
      <c r="L12" s="36">
        <f>IFERROR(VLOOKUP($B12,[2]평가!$B:$Z,MATCH(LEFT(L$2,2),[2]평가!$7:$7,0)-1,FALSE),"")</f>
        <v>95</v>
      </c>
      <c r="M12" s="39">
        <f>IFERROR(VLOOKUP($B12,[2]평가!$B:$Z,MATCH(LEFT(M$2,2),[2]평가!$7:$7,0)-1,FALSE),"")</f>
        <v>2</v>
      </c>
      <c r="N12" s="33">
        <f>IFERROR(VLOOKUP($B12,[3]평가!$B:$Z,MATCH(LEFT(N$2,2),[3]평가!$7:$7,0)-1,FALSE),"")</f>
        <v>0</v>
      </c>
      <c r="O12" s="36">
        <f>IFERROR(VLOOKUP($B12,[3]평가!$B:$Z,MATCH(LEFT(O$2,2),[3]평가!$7:$7,0)-1,FALSE),"")</f>
        <v>92</v>
      </c>
      <c r="P12" s="39">
        <f>IFERROR(VLOOKUP($B12,[3]평가!$B:$Z,MATCH(LEFT(P$2,2),[3]평가!$7:$7,0)-1,FALSE),"")</f>
        <v>7</v>
      </c>
      <c r="Q12" s="33">
        <f>IFERROR(VLOOKUP($B12,[4]평가!$B:$Z,MATCH(LEFT(Q$2,2),[4]평가!$7:$7,0)-1,FALSE),"")</f>
        <v>0</v>
      </c>
      <c r="R12" s="36">
        <f>IFERROR(VLOOKUP($B12,[4]평가!$B:$Z,MATCH(LEFT(R$2,2),[4]평가!$7:$7,0)-1,FALSE),"")</f>
        <v>90</v>
      </c>
      <c r="S12" s="39">
        <f>IFERROR(VLOOKUP($B12,[4]평가!$B:$Z,MATCH(LEFT(S$2,2),[4]평가!$7:$7,0)-1,FALSE),"")</f>
        <v>6</v>
      </c>
      <c r="T12" s="33">
        <f>IFERROR(VLOOKUP($B12,[5]평가!$B:$Z,MATCH(LEFT(T$2,2),[5]평가!$7:$7,0)-1,FALSE),"")</f>
        <v>0</v>
      </c>
      <c r="U12" s="36">
        <f>IFERROR(VLOOKUP($B12,[5]평가!$B:$Z,MATCH(LEFT(U$2,2),[5]평가!$7:$7,0)-1,FALSE),"")</f>
        <v>92</v>
      </c>
      <c r="V12" s="39">
        <f>IFERROR(VLOOKUP($B12,[5]평가!$B:$Z,MATCH(LEFT(V$2,2),[5]평가!$7:$7,0)-1,FALSE),"")</f>
        <v>3</v>
      </c>
      <c r="W12" s="33">
        <f>IFERROR(VLOOKUP($B12,대상!$B:$AD,MATCH(W$2,대상!$1:$1,0)-1,FALSE),"")</f>
        <v>0</v>
      </c>
      <c r="X12" s="20">
        <f>IF(ISBLANK(B12),"",T$1-COUNTIF(H12:V12,"회피"))</f>
        <v>5</v>
      </c>
      <c r="Y12" s="21">
        <f>IF($T$1=X12,(SUM(I12,L12,O12,R12,U12)-MIN(I12,L12,O12,R12,U12)-MAX(I12,L12,O12,R12,U12))/($T$1-2),SUM(I12,L12,O12,R12,U12/X12))</f>
        <v>92</v>
      </c>
      <c r="Z12" s="40">
        <f>IFERROR(VLOOKUP($B12,대상!$B:$AD,MATCH(Z$2,대상!$1:$1,0)-1,FALSE),0)</f>
        <v>0</v>
      </c>
      <c r="AA12" s="41">
        <f>IFERROR(IF(W12="면제","100"+Z12,Y12+Z12),"")</f>
        <v>92</v>
      </c>
      <c r="AB12" s="35" t="str">
        <f>IF(OR(W12="면제",N(Y12)=0),"",IF(AA12&lt;60,"과락",""))</f>
        <v/>
      </c>
      <c r="AC12" s="54">
        <f>IF(N(AA12)=0,"",RANK(AA12,AA$3:AA$202))</f>
        <v>9</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_x000D_②시장 대응형 제품개발로 기존 제품과의 차별성이 있고 자체 개발 역량을 보유하므로써 목표제품의 개발 완료 및 영업 가능성이 높은 것으로 판단됨.  사전 인증시험과 마켓팅이 진행되고 있어 향후 영업 확장성도 높을 것으로 판단됨 _x000D_③사업의 배경 및 문제 해결의 필요성은 비교적 명확하게 작성되었습니다.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_x000D_⑤고온다습한 기후를 가진 동남아시아 시장을 대상으로한 민감기후 대응형 기능성 스킨케어 제품을 창업아이템으로 하여 사업전반의 내용은 물론 초도기술에 대한 구매의향서를 첨부하여 신뢰도가 높게 작성되었다. 일률적인 기존 스킨케어 시장의 한계를 명확히 제시함으로서 사업아이템의 가치와 차별성을 부여한 부분이 잘 드러나 있으며, 양산 scale up 경험으로 역량이 충분히 확보된것으로 판단된다.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hidden="1" customHeight="1" x14ac:dyDescent="0.35">
      <c r="A13" s="4">
        <v>9</v>
      </c>
      <c r="B13" s="2">
        <v>20414625</v>
      </c>
      <c r="C13" s="38" t="str">
        <f>IFERROR(VLOOKUP($B13,대상!$B:$AC,MATCH(C$2,대상!$1:$1,0)-1,FALSE),"")</f>
        <v>지역기반</v>
      </c>
      <c r="D13" s="38" t="str">
        <f>IFERROR(VLOOKUP($B13,대상!$B:$AC,MATCH(D$2,대상!$1:$1,0)-1,FALSE),"")</f>
        <v>김선진</v>
      </c>
      <c r="E13" s="36" t="str">
        <f>IFERROR(VLOOKUP($B13,대상!$B:$AC,MATCH(E$2,대상!$1:$1,0)-1,FALSE),"")</f>
        <v>화공ㆍ섬유</v>
      </c>
      <c r="F13" s="38" t="str">
        <f>IFERROR(VLOOKUP($B13,대상!$B:$AC,MATCH(F$2,대상!$1:$1,0)-1,FALSE),"")</f>
        <v>초음파 향미 추출 기반 조주·조리용 향미 주류 (비터스·기주) 개발</v>
      </c>
      <c r="G13" s="38" t="str">
        <f>IFERROR(VLOOKUP($B13,대상!$B:$AC,MATCH(G$2,대상!$1:$1,0)-1,FALSE),"")</f>
        <v/>
      </c>
      <c r="H13" s="33">
        <f>IFERROR(VLOOKUP($B13,[1]평가!$B:$Z,MATCH(LEFT(H$2,2),[1]평가!$7:$7,0)-1,FALSE),"")</f>
        <v>0</v>
      </c>
      <c r="I13" s="36">
        <f>IFERROR(VLOOKUP($B13,[1]평가!$B:$Z,MATCH(LEFT(I$2,2),[1]평가!$7:$7,0)-1,FALSE),"")</f>
        <v>91</v>
      </c>
      <c r="J13" s="36">
        <f>IFERROR(VLOOKUP($B13,[1]평가!$B:$Z,MATCH(LEFT(J$2,2),[1]평가!$7:$7,0)-1,FALSE),"")</f>
        <v>5</v>
      </c>
      <c r="K13" s="33">
        <f>IFERROR(VLOOKUP($B13,[2]평가!$B:$Z,MATCH(LEFT(K$2,2),[2]평가!$7:$7,0)-1,FALSE),"")</f>
        <v>0</v>
      </c>
      <c r="L13" s="36">
        <f>IFERROR(VLOOKUP($B13,[2]평가!$B:$Z,MATCH(LEFT(L$2,2),[2]평가!$7:$7,0)-1,FALSE),"")</f>
        <v>91</v>
      </c>
      <c r="M13" s="39">
        <f>IFERROR(VLOOKUP($B13,[2]평가!$B:$Z,MATCH(LEFT(M$2,2),[2]평가!$7:$7,0)-1,FALSE),"")</f>
        <v>6</v>
      </c>
      <c r="N13" s="33">
        <f>IFERROR(VLOOKUP($B13,[3]평가!$B:$Z,MATCH(LEFT(N$2,2),[3]평가!$7:$7,0)-1,FALSE),"")</f>
        <v>0</v>
      </c>
      <c r="O13" s="36">
        <f>IFERROR(VLOOKUP($B13,[3]평가!$B:$Z,MATCH(LEFT(O$2,2),[3]평가!$7:$7,0)-1,FALSE),"")</f>
        <v>94</v>
      </c>
      <c r="P13" s="39">
        <f>IFERROR(VLOOKUP($B13,[3]평가!$B:$Z,MATCH(LEFT(P$2,2),[3]평가!$7:$7,0)-1,FALSE),"")</f>
        <v>3</v>
      </c>
      <c r="Q13" s="33">
        <f>IFERROR(VLOOKUP($B13,[4]평가!$B:$Z,MATCH(LEFT(Q$2,2),[4]평가!$7:$7,0)-1,FALSE),"")</f>
        <v>0</v>
      </c>
      <c r="R13" s="36">
        <f>IFERROR(VLOOKUP($B13,[4]평가!$B:$Z,MATCH(LEFT(R$2,2),[4]평가!$7:$7,0)-1,FALSE),"")</f>
        <v>91</v>
      </c>
      <c r="S13" s="39">
        <f>IFERROR(VLOOKUP($B13,[4]평가!$B:$Z,MATCH(LEFT(S$2,2),[4]평가!$7:$7,0)-1,FALSE),"")</f>
        <v>2</v>
      </c>
      <c r="T13" s="33">
        <f>IFERROR(VLOOKUP($B13,[5]평가!$B:$Z,MATCH(LEFT(T$2,2),[5]평가!$7:$7,0)-1,FALSE),"")</f>
        <v>0</v>
      </c>
      <c r="U13" s="36">
        <f>IFERROR(VLOOKUP($B13,[5]평가!$B:$Z,MATCH(LEFT(U$2,2),[5]평가!$7:$7,0)-1,FALSE),"")</f>
        <v>92</v>
      </c>
      <c r="V13" s="39">
        <f>IFERROR(VLOOKUP($B13,[5]평가!$B:$Z,MATCH(LEFT(V$2,2),[5]평가!$7:$7,0)-1,FALSE),"")</f>
        <v>3</v>
      </c>
      <c r="W13" s="33">
        <f>IFERROR(VLOOKUP($B13,대상!$B:$AD,MATCH(W$2,대상!$1:$1,0)-1,FALSE),"")</f>
        <v>0</v>
      </c>
      <c r="X13" s="20">
        <f>IF(ISBLANK(B13),"",T$1-COUNTIF(H13:V13,"회피"))</f>
        <v>5</v>
      </c>
      <c r="Y13" s="21">
        <f>IF($T$1=X13,(SUM(I13,L13,O13,R13,U13)-MIN(I13,L13,O13,R13,U13)-MAX(I13,L13,O13,R13,U13))/($T$1-2),SUM(I13,L13,O13,R13,U13/X13))</f>
        <v>91.333333333333329</v>
      </c>
      <c r="Z13" s="40">
        <f>IFERROR(VLOOKUP($B13,대상!$B:$AD,MATCH(Z$2,대상!$1:$1,0)-1,FALSE),0)</f>
        <v>0</v>
      </c>
      <c r="AA13" s="41">
        <f>IFERROR(IF(W13="면제","100"+Z13,Y13+Z13),"")</f>
        <v>91.333333333333329</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①-사업화아이템의 지속성 및 기존유사제품에 대한 경쟁력 강화를 위해 다양한 관점에서 차별화 및 경쟁력 확보 방안에 대한 고민이 필요해 보입니다
-사업의 성공가능성 향상을 위해 보다 다각적이고 세부적인 수익창출방안 및 성과 목표달성방안에 대한 고민이 필요해 보입니다. _x000D_②농업 부산물 활용의 의미와 개인 소비 시장확대에 대응한 제품개발로 시장 방향성에 맞고 대표 역량이 높아 매출가능성도 있다고 판단되나 유사 제품 대응 전략 보완이 필요할 것으로 판단됨 _x000D_③시장 진입 타겟과 수익 모델이 구체적으로 제시되었으며, 단계별 사업 추진 일정도 직관적으로 구성되었습니다. 
전반적으로 사업화 가능성을 검토한 수준이 우수하다고 판단됩니다.기술 추진 의지는 확고해 보이나, 실질적인 구현 가능성에 대해서는 추가적인 검토가 요구됩니다. _x000D_④전반적으로 차별화 방향이 확인되며, 팀 역량 구성계획도 우수 함. _x000D_⑤시장분석까지 필요성과 시장성, 구매력에 대한 부분이 상세히 잘 기술되어 있다. 대표자의 역량 부분은 뛰어나나, 고용 및 oem등의 외부자원을 제품개발 부분에 적극적으로 활용할 수 있도록 고려해야 한다.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hidden="1" customHeight="1" x14ac:dyDescent="0.35">
      <c r="A14" s="4">
        <v>57</v>
      </c>
      <c r="B14" s="2">
        <v>20416549</v>
      </c>
      <c r="C14" s="38" t="str">
        <f>IFERROR(VLOOKUP($B14,대상!$B:$AC,MATCH(C$2,대상!$1:$1,0)-1,FALSE),"")</f>
        <v>지역기반</v>
      </c>
      <c r="D14" s="38" t="str">
        <f>IFERROR(VLOOKUP($B14,대상!$B:$AC,MATCH(D$2,대상!$1:$1,0)-1,FALSE),"")</f>
        <v>한서진</v>
      </c>
      <c r="E14" s="36" t="str">
        <f>IFERROR(VLOOKUP($B14,대상!$B:$AC,MATCH(E$2,대상!$1:$1,0)-1,FALSE),"")</f>
        <v>화공ㆍ섬유</v>
      </c>
      <c r="F14" s="38" t="str">
        <f>IFERROR(VLOOKUP($B14,대상!$B:$AC,MATCH(F$2,대상!$1:$1,0)-1,FALSE),"")</f>
        <v>특허 기반 3중 레이어 기술 적용 보습 패드팩 개발 및 글로벌 진출</v>
      </c>
      <c r="G14" s="38" t="str">
        <f>IFERROR(VLOOKUP($B14,대상!$B:$AC,MATCH(G$2,대상!$1:$1,0)-1,FALSE),"")</f>
        <v/>
      </c>
      <c r="H14" s="33">
        <f>IFERROR(VLOOKUP($B14,[1]평가!$B:$Z,MATCH(LEFT(H$2,2),[1]평가!$7:$7,0)-1,FALSE),"")</f>
        <v>0</v>
      </c>
      <c r="I14" s="36">
        <f>IFERROR(VLOOKUP($B14,[1]평가!$B:$Z,MATCH(LEFT(I$2,2),[1]평가!$7:$7,0)-1,FALSE),"")</f>
        <v>84</v>
      </c>
      <c r="J14" s="36">
        <f>IFERROR(VLOOKUP($B14,[1]평가!$B:$Z,MATCH(LEFT(J$2,2),[1]평가!$7:$7,0)-1,FALSE),"")</f>
        <v>12</v>
      </c>
      <c r="K14" s="33">
        <f>IFERROR(VLOOKUP($B14,[2]평가!$B:$Z,MATCH(LEFT(K$2,2),[2]평가!$7:$7,0)-1,FALSE),"")</f>
        <v>0</v>
      </c>
      <c r="L14" s="36">
        <f>IFERROR(VLOOKUP($B14,[2]평가!$B:$Z,MATCH(LEFT(L$2,2),[2]평가!$7:$7,0)-1,FALSE),"")</f>
        <v>86</v>
      </c>
      <c r="M14" s="39">
        <f>IFERROR(VLOOKUP($B14,[2]평가!$B:$Z,MATCH(LEFT(M$2,2),[2]평가!$7:$7,0)-1,FALSE),"")</f>
        <v>10</v>
      </c>
      <c r="N14" s="33">
        <f>IFERROR(VLOOKUP($B14,[3]평가!$B:$Z,MATCH(LEFT(N$2,2),[3]평가!$7:$7,0)-1,FALSE),"")</f>
        <v>0</v>
      </c>
      <c r="O14" s="36">
        <f>IFERROR(VLOOKUP($B14,[3]평가!$B:$Z,MATCH(LEFT(O$2,2),[3]평가!$7:$7,0)-1,FALSE),"")</f>
        <v>84</v>
      </c>
      <c r="P14" s="39">
        <f>IFERROR(VLOOKUP($B14,[3]평가!$B:$Z,MATCH(LEFT(P$2,2),[3]평가!$7:$7,0)-1,FALSE),"")</f>
        <v>20</v>
      </c>
      <c r="Q14" s="33">
        <f>IFERROR(VLOOKUP($B14,[4]평가!$B:$Z,MATCH(LEFT(Q$2,2),[4]평가!$7:$7,0)-1,FALSE),"")</f>
        <v>0</v>
      </c>
      <c r="R14" s="36">
        <f>IFERROR(VLOOKUP($B14,[4]평가!$B:$Z,MATCH(LEFT(R$2,2),[4]평가!$7:$7,0)-1,FALSE),"")</f>
        <v>78</v>
      </c>
      <c r="S14" s="39">
        <f>IFERROR(VLOOKUP($B14,[4]평가!$B:$Z,MATCH(LEFT(S$2,2),[4]평가!$7:$7,0)-1,FALSE),"")</f>
        <v>50</v>
      </c>
      <c r="T14" s="33">
        <f>IFERROR(VLOOKUP($B14,[5]평가!$B:$Z,MATCH(LEFT(T$2,2),[5]평가!$7:$7,0)-1,FALSE),"")</f>
        <v>0</v>
      </c>
      <c r="U14" s="36">
        <f>IFERROR(VLOOKUP($B14,[5]평가!$B:$Z,MATCH(LEFT(U$2,2),[5]평가!$7:$7,0)-1,FALSE),"")</f>
        <v>83</v>
      </c>
      <c r="V14" s="39">
        <f>IFERROR(VLOOKUP($B14,[5]평가!$B:$Z,MATCH(LEFT(V$2,2),[5]평가!$7:$7,0)-1,FALSE),"")</f>
        <v>27</v>
      </c>
      <c r="W14" s="33">
        <f>IFERROR(VLOOKUP($B14,대상!$B:$AD,MATCH(W$2,대상!$1:$1,0)-1,FALSE),"")</f>
        <v>0</v>
      </c>
      <c r="X14" s="20">
        <f>IF(ISBLANK(B14),"",T$1-COUNTIF(H14:V14,"회피"))</f>
        <v>5</v>
      </c>
      <c r="Y14" s="21">
        <f>IF($T$1=X14,(SUM(I14,L14,O14,R14,U14)-MIN(I14,L14,O14,R14,U14)-MAX(I14,L14,O14,R14,U14))/($T$1-2),SUM(I14,L14,O14,R14,U14/X14))</f>
        <v>83.666666666666671</v>
      </c>
      <c r="Z14" s="40">
        <f>IFERROR(VLOOKUP($B14,대상!$B:$AD,MATCH(Z$2,대상!$1:$1,0)-1,FALSE),0)</f>
        <v>2</v>
      </c>
      <c r="AA14" s="41">
        <f>IFERROR(IF(W14="면제","100"+Z14,Y14+Z14),"")</f>
        <v>85.666666666666671</v>
      </c>
      <c r="AB14" s="35" t="str">
        <f>IF(OR(W14="면제",N(Y14)=0),"",IF(AA14&lt;60,"과락",""))</f>
        <v/>
      </c>
      <c r="AC14" s="54">
        <f>IF(N(AA14)=0,"",RANK(AA14,AA$3:AA$202))</f>
        <v>14</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①-사업화 대상 서비스 모델의 경쟁력 강화를 위한 차별화 요소 부각 방안에 대한 고민이 필요해 보입니다.
-제품의 특성상 후발 경쟁자의 시장진입 억제를 위한 방안에 대한 고민이 필요해 보입니다.
-보다 구체적인 수익창출 방안 설명 및 창업지원사업의 특성을 고려한 성과지표 제시 및 달성방안에 대한 설명이 필요해 보입니다.  _x000D_②개발 제품의 신규성과 개발 역량을 보유하고 있고 현재 다양한 판매망을 보유하고 있어 실질적 매출 기여는 가능한 수준으로 평가되나  전반적으로 개발 제품의 시장 적용성에 대한 근거가 미흡함 _x000D_③기존 시장 제품들과 비교하여 기술적 차별성이 보여지며, 관련 특허 및 인증을 통해 진입 장벽을 견고히 구축함
사업의 본질에 집중하도록 예산을 재배정한다면 훨씬 탄탄한 성장이 가능할 것임 _x000D_④창업 동기와 문제 인식이 비교적 명확하게 제시가 되어 있으나, 목표 시장과 고객에 대한 이해 수준이 다소 부족 함. _x000D_⑤건성피부 관리 솔루션을 위해 토너패드와 마스크팩을 결합한 제품에 충분한 시장반응과 특허 및 상표권의 획득이고 임상평가를 앞두고 있는 창업아이템에 대해 충분히 잘 설명되어져 있음. 다만, 미국 FDA승인이 협약기간내 진행될수 있을지 불투명하며, 2026년 매출 5억 달성을 위한 구체적인 방안이 특정되어져 있지 않아 보완이 필요하다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hidden="1" customHeight="1" x14ac:dyDescent="0.35">
      <c r="A15" s="4">
        <v>121</v>
      </c>
      <c r="B15" s="2">
        <v>20431705</v>
      </c>
      <c r="C15" s="38" t="str">
        <f>IFERROR(VLOOKUP($B15,대상!$B:$AC,MATCH(C$2,대상!$1:$1,0)-1,FALSE),"")</f>
        <v>지역기반</v>
      </c>
      <c r="D15" s="38" t="str">
        <f>IFERROR(VLOOKUP($B15,대상!$B:$AC,MATCH(D$2,대상!$1:$1,0)-1,FALSE),"")</f>
        <v>천종우</v>
      </c>
      <c r="E15" s="36" t="str">
        <f>IFERROR(VLOOKUP($B15,대상!$B:$AC,MATCH(E$2,대상!$1:$1,0)-1,FALSE),"")</f>
        <v>화공ㆍ섬유</v>
      </c>
      <c r="F15" s="38" t="str">
        <f>IFERROR(VLOOKUP($B15,대상!$B:$AC,MATCH(F$2,대상!$1:$1,0)-1,FALSE),"")</f>
        <v>스피큘 비드 코팅 기술 및 PDRN 시각화 기능이 적용된 B2B 화장품 원료 'Crystal Spicule Bead V4.0'</v>
      </c>
      <c r="G15" s="38" t="str">
        <f>IFERROR(VLOOKUP($B15,대상!$B:$AC,MATCH(G$2,대상!$1:$1,0)-1,FALSE),"")</f>
        <v/>
      </c>
      <c r="H15" s="33">
        <f>IFERROR(VLOOKUP($B15,[1]평가!$B:$Z,MATCH(LEFT(H$2,2),[1]평가!$7:$7,0)-1,FALSE),"")</f>
        <v>0</v>
      </c>
      <c r="I15" s="36">
        <f>IFERROR(VLOOKUP($B15,[1]평가!$B:$Z,MATCH(LEFT(I$2,2),[1]평가!$7:$7,0)-1,FALSE),"")</f>
        <v>85</v>
      </c>
      <c r="J15" s="36">
        <f>IFERROR(VLOOKUP($B15,[1]평가!$B:$Z,MATCH(LEFT(J$2,2),[1]평가!$7:$7,0)-1,FALSE),"")</f>
        <v>17</v>
      </c>
      <c r="K15" s="33">
        <f>IFERROR(VLOOKUP($B15,[2]평가!$B:$Z,MATCH(LEFT(K$2,2),[2]평가!$7:$7,0)-1,FALSE),"")</f>
        <v>0</v>
      </c>
      <c r="L15" s="36">
        <f>IFERROR(VLOOKUP($B15,[2]평가!$B:$Z,MATCH(LEFT(L$2,2),[2]평가!$7:$7,0)-1,FALSE),"")</f>
        <v>78</v>
      </c>
      <c r="M15" s="39">
        <f>IFERROR(VLOOKUP($B15,[2]평가!$B:$Z,MATCH(LEFT(M$2,2),[2]평가!$7:$7,0)-1,FALSE),"")</f>
        <v>55</v>
      </c>
      <c r="N15" s="33">
        <f>IFERROR(VLOOKUP($B15,[3]평가!$B:$Z,MATCH(LEFT(N$2,2),[3]평가!$7:$7,0)-1,FALSE),"")</f>
        <v>0</v>
      </c>
      <c r="O15" s="36">
        <f>IFERROR(VLOOKUP($B15,[3]평가!$B:$Z,MATCH(LEFT(O$2,2),[3]평가!$7:$7,0)-1,FALSE),"")</f>
        <v>85</v>
      </c>
      <c r="P15" s="39">
        <f>IFERROR(VLOOKUP($B15,[3]평가!$B:$Z,MATCH(LEFT(P$2,2),[3]평가!$7:$7,0)-1,FALSE),"")</f>
        <v>24</v>
      </c>
      <c r="Q15" s="33">
        <f>IFERROR(VLOOKUP($B15,[4]평가!$B:$Z,MATCH(LEFT(Q$2,2),[4]평가!$7:$7,0)-1,FALSE),"")</f>
        <v>0</v>
      </c>
      <c r="R15" s="36">
        <f>IFERROR(VLOOKUP($B15,[4]평가!$B:$Z,MATCH(LEFT(R$2,2),[4]평가!$7:$7,0)-1,FALSE),"")</f>
        <v>87</v>
      </c>
      <c r="S15" s="39">
        <f>IFERROR(VLOOKUP($B15,[4]평가!$B:$Z,MATCH(LEFT(S$2,2),[4]평가!$7:$7,0)-1,FALSE),"")</f>
        <v>17</v>
      </c>
      <c r="T15" s="33">
        <f>IFERROR(VLOOKUP($B15,[5]평가!$B:$Z,MATCH(LEFT(T$2,2),[5]평가!$7:$7,0)-1,FALSE),"")</f>
        <v>0</v>
      </c>
      <c r="U15" s="36">
        <f>IFERROR(VLOOKUP($B15,[5]평가!$B:$Z,MATCH(LEFT(U$2,2),[5]평가!$7:$7,0)-1,FALSE),"")</f>
        <v>87</v>
      </c>
      <c r="V15" s="39">
        <f>IFERROR(VLOOKUP($B15,[5]평가!$B:$Z,MATCH(LEFT(V$2,2),[5]평가!$7:$7,0)-1,FALSE),"")</f>
        <v>14</v>
      </c>
      <c r="W15" s="33">
        <f>IFERROR(VLOOKUP($B15,대상!$B:$AD,MATCH(W$2,대상!$1:$1,0)-1,FALSE),"")</f>
        <v>0</v>
      </c>
      <c r="X15" s="20">
        <f>IF(ISBLANK(B15),"",T$1-COUNTIF(H15:V15,"회피"))</f>
        <v>5</v>
      </c>
      <c r="Y15" s="21">
        <f>IF($T$1=X15,(SUM(I15,L15,O15,R15,U15)-MIN(I15,L15,O15,R15,U15)-MAX(I15,L15,O15,R15,U15))/($T$1-2),SUM(I15,L15,O15,R15,U15/X15))</f>
        <v>85.666666666666671</v>
      </c>
      <c r="Z15" s="40">
        <f>IFERROR(VLOOKUP($B15,대상!$B:$AD,MATCH(Z$2,대상!$1:$1,0)-1,FALSE),0)</f>
        <v>0</v>
      </c>
      <c r="AA15" s="41">
        <f>IFERROR(IF(W15="면제","100"+Z15,Y15+Z15),"")</f>
        <v>85.666666666666671</v>
      </c>
      <c r="AB15" s="35" t="str">
        <f>IF(OR(W15="면제",N(Y15)=0),"",IF(AA15&lt;60,"과락",""))</f>
        <v/>
      </c>
      <c r="AC15" s="54">
        <f>IF(N(AA15)=0,"",RANK(AA15,AA$3:AA$202))</f>
        <v>14</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_x000D_②비드 안정화 코팅기술에 대한 기술적 난이도와 개발자의 역량이 높으며 제품성의 차별화가 있슴. 영업 판매망과 사업 전략이 구체적이나 경쟁 제품에 대한 분석은 미흡함 _x000D_③기술적 구현 로드맵과 비즈니스 모델 간의 정합성이 우수하며, 전체적인 사업 실행 계획의 기획 완성도가 있습니다.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_x000D_⑤창업아이템의 개발배경부터 그 목적이 비교적 명화하게 제시되어져 있으며, 기술의 구현 방향과 사업화 연계간의 연결성도 자연스럽게 구현되어져 있다. 다만 인체유해성이나 효용성에 대한 검증이 필요할 것으로 판단된다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hidden="1" customHeight="1" x14ac:dyDescent="0.35">
      <c r="A16" s="4">
        <v>91</v>
      </c>
      <c r="B16" s="2">
        <v>20429392</v>
      </c>
      <c r="C16" s="38" t="str">
        <f>IFERROR(VLOOKUP($B16,대상!$B:$AC,MATCH(C$2,대상!$1:$1,0)-1,FALSE),"")</f>
        <v>지역기반</v>
      </c>
      <c r="D16" s="38" t="str">
        <f>IFERROR(VLOOKUP($B16,대상!$B:$AC,MATCH(D$2,대상!$1:$1,0)-1,FALSE),"")</f>
        <v>박대철</v>
      </c>
      <c r="E16" s="36" t="str">
        <f>IFERROR(VLOOKUP($B16,대상!$B:$AC,MATCH(E$2,대상!$1:$1,0)-1,FALSE),"")</f>
        <v>화공ㆍ섬유</v>
      </c>
      <c r="F16" s="38" t="str">
        <f>IFERROR(VLOOKUP($B16,대상!$B:$AC,MATCH(F$2,대상!$1:$1,0)-1,FALSE),"")</f>
        <v>초저온 실링 및 수분차단성을 갖춘 친환경 단일소재 폴리에틸렌 연포장 필름</v>
      </c>
      <c r="G16" s="38" t="str">
        <f>IFERROR(VLOOKUP($B16,대상!$B:$AC,MATCH(G$2,대상!$1:$1,0)-1,FALSE),"")</f>
        <v/>
      </c>
      <c r="H16" s="33">
        <f>IFERROR(VLOOKUP($B16,[1]평가!$B:$Z,MATCH(LEFT(H$2,2),[1]평가!$7:$7,0)-1,FALSE),"")</f>
        <v>0</v>
      </c>
      <c r="I16" s="36">
        <f>IFERROR(VLOOKUP($B16,[1]평가!$B:$Z,MATCH(LEFT(I$2,2),[1]평가!$7:$7,0)-1,FALSE),"")</f>
        <v>79</v>
      </c>
      <c r="J16" s="36">
        <f>IFERROR(VLOOKUP($B16,[1]평가!$B:$Z,MATCH(LEFT(J$2,2),[1]평가!$7:$7,0)-1,FALSE),"")</f>
        <v>47</v>
      </c>
      <c r="K16" s="33">
        <f>IFERROR(VLOOKUP($B16,[2]평가!$B:$Z,MATCH(LEFT(K$2,2),[2]평가!$7:$7,0)-1,FALSE),"")</f>
        <v>0</v>
      </c>
      <c r="L16" s="36">
        <f>IFERROR(VLOOKUP($B16,[2]평가!$B:$Z,MATCH(LEFT(L$2,2),[2]평가!$7:$7,0)-1,FALSE),"")</f>
        <v>86</v>
      </c>
      <c r="M16" s="39">
        <f>IFERROR(VLOOKUP($B16,[2]평가!$B:$Z,MATCH(LEFT(M$2,2),[2]평가!$7:$7,0)-1,FALSE),"")</f>
        <v>13</v>
      </c>
      <c r="N16" s="33">
        <f>IFERROR(VLOOKUP($B16,[3]평가!$B:$Z,MATCH(LEFT(N$2,2),[3]평가!$7:$7,0)-1,FALSE),"")</f>
        <v>0</v>
      </c>
      <c r="O16" s="36">
        <f>IFERROR(VLOOKUP($B16,[3]평가!$B:$Z,MATCH(LEFT(O$2,2),[3]평가!$7:$7,0)-1,FALSE),"")</f>
        <v>87</v>
      </c>
      <c r="P16" s="39">
        <f>IFERROR(VLOOKUP($B16,[3]평가!$B:$Z,MATCH(LEFT(P$2,2),[3]평가!$7:$7,0)-1,FALSE),"")</f>
        <v>11</v>
      </c>
      <c r="Q16" s="33">
        <f>IFERROR(VLOOKUP($B16,[4]평가!$B:$Z,MATCH(LEFT(Q$2,2),[4]평가!$7:$7,0)-1,FALSE),"")</f>
        <v>0</v>
      </c>
      <c r="R16" s="36">
        <f>IFERROR(VLOOKUP($B16,[4]평가!$B:$Z,MATCH(LEFT(R$2,2),[4]평가!$7:$7,0)-1,FALSE),"")</f>
        <v>86</v>
      </c>
      <c r="S16" s="39">
        <f>IFERROR(VLOOKUP($B16,[4]평가!$B:$Z,MATCH(LEFT(S$2,2),[4]평가!$7:$7,0)-1,FALSE),"")</f>
        <v>23</v>
      </c>
      <c r="T16" s="33">
        <f>IFERROR(VLOOKUP($B16,[5]평가!$B:$Z,MATCH(LEFT(T$2,2),[5]평가!$7:$7,0)-1,FALSE),"")</f>
        <v>0</v>
      </c>
      <c r="U16" s="36">
        <f>IFERROR(VLOOKUP($B16,[5]평가!$B:$Z,MATCH(LEFT(U$2,2),[5]평가!$7:$7,0)-1,FALSE),"")</f>
        <v>84</v>
      </c>
      <c r="V16" s="39">
        <f>IFERROR(VLOOKUP($B16,[5]평가!$B:$Z,MATCH(LEFT(V$2,2),[5]평가!$7:$7,0)-1,FALSE),"")</f>
        <v>30</v>
      </c>
      <c r="W16" s="33">
        <f>IFERROR(VLOOKUP($B16,대상!$B:$AD,MATCH(W$2,대상!$1:$1,0)-1,FALSE),"")</f>
        <v>0</v>
      </c>
      <c r="X16" s="20">
        <f>IF(ISBLANK(B16),"",T$1-COUNTIF(H16:V16,"회피"))</f>
        <v>5</v>
      </c>
      <c r="Y16" s="21">
        <f>IF($T$1=X16,(SUM(I16,L16,O16,R16,U16)-MIN(I16,L16,O16,R16,U16)-MAX(I16,L16,O16,R16,U16))/($T$1-2),SUM(I16,L16,O16,R16,U16/X16))</f>
        <v>85.333333333333329</v>
      </c>
      <c r="Z16" s="40">
        <f>IFERROR(VLOOKUP($B16,대상!$B:$AD,MATCH(Z$2,대상!$1:$1,0)-1,FALSE),0)</f>
        <v>0</v>
      </c>
      <c r="AA16" s="41">
        <f>IFERROR(IF(W16="면제","100"+Z16,Y16+Z16),"")</f>
        <v>85.333333333333329</v>
      </c>
      <c r="AB16" s="35" t="str">
        <f>IF(OR(W16="면제",N(Y16)=0),"",IF(AA16&lt;60,"과락",""))</f>
        <v/>
      </c>
      <c r="AC16" s="54">
        <f>IF(N(AA16)=0,"",RANK(AA16,AA$3:AA$202))</f>
        <v>16</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_x000D_②기존 복합필름의 재활용 불가 문제를 대체하기 위한 동종 필름의 개발과 재활용 가능성과 사업화 연계 가능성이 높고 공정 해결에 대한 기술적 난이도 등 기술적 차별성이 높은 것으로 판단됨.  적용 범위가 제한적으로 영업적 확장성은 낮으나 향후 소재 개발과 시장 방향성이 일치하는 것으로 판단됨. _x000D_③기술적 특징과 향후 개발 경로가 직관적으로 서술되었습니다. 다만, 현재의 기술 성숙도와 최종 목표치 사이의 경계가 모호한 측면이 있습니다. 
세부적인 매출 파이프라인과 실질적인 시장 침투전략은 구체화가 필요해 보입니다.  _x000D_④창업 동기와 문제 인식이 비교적 명확하게 제시가 되어 있으며, 사업화 가능성을 검토한 수준도 양호하다고 판단 됨 _x000D_⑤목표시장과 수익모델이 비교적 명확하게 제시되어 있으며, 시장에 대한 판단과 차별화 요소를 잘 설명하였다. 다만, 26년8월 기준으로 규제되는 유럽연합의 규정에 대해 경쟁제품이 없는 상황이라면 목표시장 및 매출금액이 너무 제한적으로 설정되어 있는 부분이고, 경쟁제품이 없다는 부분에 대해서도 신뢰성 있는 근거가 제시될 필요가 있다.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hidden="1" customHeight="1" x14ac:dyDescent="0.35">
      <c r="A17" s="4">
        <v>5</v>
      </c>
      <c r="B17" s="2">
        <v>20409574</v>
      </c>
      <c r="C17" s="38" t="str">
        <f>IFERROR(VLOOKUP($B17,대상!$B:$AC,MATCH(C$2,대상!$1:$1,0)-1,FALSE),"")</f>
        <v>지역기반</v>
      </c>
      <c r="D17" s="38" t="str">
        <f>IFERROR(VLOOKUP($B17,대상!$B:$AC,MATCH(D$2,대상!$1:$1,0)-1,FALSE),"")</f>
        <v>이홍기</v>
      </c>
      <c r="E17" s="36" t="str">
        <f>IFERROR(VLOOKUP($B17,대상!$B:$AC,MATCH(E$2,대상!$1:$1,0)-1,FALSE),"")</f>
        <v>화공ㆍ섬유</v>
      </c>
      <c r="F17" s="38" t="str">
        <f>IFERROR(VLOOKUP($B17,대상!$B:$AC,MATCH(F$2,대상!$1:$1,0)-1,FALSE),"")</f>
        <v>고온 공정 RTD의 원물 풍미 손실을 개선하는 저온 블렌딩 기반 국산 원물 클린라벨 RTD 과일티 개발</v>
      </c>
      <c r="G17" s="38" t="str">
        <f>IFERROR(VLOOKUP($B17,대상!$B:$AC,MATCH(G$2,대상!$1:$1,0)-1,FALSE),"")</f>
        <v/>
      </c>
      <c r="H17" s="33">
        <f>IFERROR(VLOOKUP($B17,[1]평가!$B:$Z,MATCH(LEFT(H$2,2),[1]평가!$7:$7,0)-1,FALSE),"")</f>
        <v>0</v>
      </c>
      <c r="I17" s="36">
        <f>IFERROR(VLOOKUP($B17,[1]평가!$B:$Z,MATCH(LEFT(I$2,2),[1]평가!$7:$7,0)-1,FALSE),"")</f>
        <v>84</v>
      </c>
      <c r="J17" s="36">
        <f>IFERROR(VLOOKUP($B17,[1]평가!$B:$Z,MATCH(LEFT(J$2,2),[1]평가!$7:$7,0)-1,FALSE),"")</f>
        <v>12</v>
      </c>
      <c r="K17" s="33">
        <f>IFERROR(VLOOKUP($B17,[2]평가!$B:$Z,MATCH(LEFT(K$2,2),[2]평가!$7:$7,0)-1,FALSE),"")</f>
        <v>0</v>
      </c>
      <c r="L17" s="36">
        <f>IFERROR(VLOOKUP($B17,[2]평가!$B:$Z,MATCH(LEFT(L$2,2),[2]평가!$7:$7,0)-1,FALSE),"")</f>
        <v>79</v>
      </c>
      <c r="M17" s="39">
        <f>IFERROR(VLOOKUP($B17,[2]평가!$B:$Z,MATCH(LEFT(M$2,2),[2]평가!$7:$7,0)-1,FALSE),"")</f>
        <v>41</v>
      </c>
      <c r="N17" s="33">
        <f>IFERROR(VLOOKUP($B17,[3]평가!$B:$Z,MATCH(LEFT(N$2,2),[3]평가!$7:$7,0)-1,FALSE),"")</f>
        <v>0</v>
      </c>
      <c r="O17" s="36">
        <f>IFERROR(VLOOKUP($B17,[3]평가!$B:$Z,MATCH(LEFT(O$2,2),[3]평가!$7:$7,0)-1,FALSE),"")</f>
        <v>83</v>
      </c>
      <c r="P17" s="39">
        <f>IFERROR(VLOOKUP($B17,[3]평가!$B:$Z,MATCH(LEFT(P$2,2),[3]평가!$7:$7,0)-1,FALSE),"")</f>
        <v>24</v>
      </c>
      <c r="Q17" s="33">
        <f>IFERROR(VLOOKUP($B17,[4]평가!$B:$Z,MATCH(LEFT(Q$2,2),[4]평가!$7:$7,0)-1,FALSE),"")</f>
        <v>0</v>
      </c>
      <c r="R17" s="36">
        <f>IFERROR(VLOOKUP($B17,[4]평가!$B:$Z,MATCH(LEFT(R$2,2),[4]평가!$7:$7,0)-1,FALSE),"")</f>
        <v>77</v>
      </c>
      <c r="S17" s="39">
        <f>IFERROR(VLOOKUP($B17,[4]평가!$B:$Z,MATCH(LEFT(S$2,2),[4]평가!$7:$7,0)-1,FALSE),"")</f>
        <v>58</v>
      </c>
      <c r="T17" s="33">
        <f>IFERROR(VLOOKUP($B17,[5]평가!$B:$Z,MATCH(LEFT(T$2,2),[5]평가!$7:$7,0)-1,FALSE),"")</f>
        <v>0</v>
      </c>
      <c r="U17" s="36">
        <f>IFERROR(VLOOKUP($B17,[5]평가!$B:$Z,MATCH(LEFT(U$2,2),[5]평가!$7:$7,0)-1,FALSE),"")</f>
        <v>87</v>
      </c>
      <c r="V17" s="39">
        <f>IFERROR(VLOOKUP($B17,[5]평가!$B:$Z,MATCH(LEFT(V$2,2),[5]평가!$7:$7,0)-1,FALSE),"")</f>
        <v>7</v>
      </c>
      <c r="W17" s="33">
        <f>IFERROR(VLOOKUP($B17,대상!$B:$AD,MATCH(W$2,대상!$1:$1,0)-1,FALSE),"")</f>
        <v>0</v>
      </c>
      <c r="X17" s="20">
        <f>IF(ISBLANK(B17),"",T$1-COUNTIF(H17:V17,"회피"))</f>
        <v>5</v>
      </c>
      <c r="Y17" s="21">
        <f>IF($T$1=X17,(SUM(I17,L17,O17,R17,U17)-MIN(I17,L17,O17,R17,U17)-MAX(I17,L17,O17,R17,U17))/($T$1-2),SUM(I17,L17,O17,R17,U17/X17))</f>
        <v>82</v>
      </c>
      <c r="Z17" s="40">
        <f>IFERROR(VLOOKUP($B17,대상!$B:$AD,MATCH(Z$2,대상!$1:$1,0)-1,FALSE),0)</f>
        <v>2</v>
      </c>
      <c r="AA17" s="41">
        <f>IFERROR(IF(W17="면제","100"+Z17,Y17+Z17),"")</f>
        <v>84</v>
      </c>
      <c r="AB17" s="35" t="str">
        <f>IF(OR(W17="면제",N(Y17)=0),"",IF(AA17&lt;60,"과락",""))</f>
        <v/>
      </c>
      <c r="AC17" s="54">
        <f>IF(N(AA17)=0,"",RANK(AA17,AA$3:AA$202))</f>
        <v>17</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 사업 아이템의 성공가능성 향상을 위해 보다 구체적이고 상세한 마케팅 전략 수립 및 정부지원사업의 특성을 고려한 정량적 성과목표 수립이 아쉽습니다.  _x000D_②선행조사를 통한 제품성 확인 및 시장조사가 양호하고 제품의 차별성이 있어 시장적용성이 있을 것으로 판단됨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_x000D_④창업아이템의 개발 배경과 목적이 비교적 명확하게 제시되었으나, 목표시장과 고객에 대한 이해 수준이 다소 부족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음료시장인 만큼 인체위해성과 그 효능을 객관적으로 제시해야 하는 보완이 필요하다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hidden="1" customHeight="1" x14ac:dyDescent="0.35">
      <c r="A18" s="4">
        <v>16</v>
      </c>
      <c r="B18" s="2">
        <v>20421385</v>
      </c>
      <c r="C18" s="38" t="str">
        <f>IFERROR(VLOOKUP($B18,대상!$B:$AC,MATCH(C$2,대상!$1:$1,0)-1,FALSE),"")</f>
        <v>지역기반</v>
      </c>
      <c r="D18" s="38" t="str">
        <f>IFERROR(VLOOKUP($B18,대상!$B:$AC,MATCH(D$2,대상!$1:$1,0)-1,FALSE),"")</f>
        <v>이상민</v>
      </c>
      <c r="E18" s="36" t="str">
        <f>IFERROR(VLOOKUP($B18,대상!$B:$AC,MATCH(E$2,대상!$1:$1,0)-1,FALSE),"")</f>
        <v>화공ㆍ섬유</v>
      </c>
      <c r="F18" s="38" t="str">
        <f>IFERROR(VLOOKUP($B18,대상!$B:$AC,MATCH(F$2,대상!$1:$1,0)-1,FALSE),"")</f>
        <v>분자증류를 이용한 전자재료용 고순도 Special Chemicals 제조 (Total 8종)</v>
      </c>
      <c r="G18" s="38" t="str">
        <f>IFERROR(VLOOKUP($B18,대상!$B:$AC,MATCH(G$2,대상!$1:$1,0)-1,FALSE),"")</f>
        <v/>
      </c>
      <c r="H18" s="33">
        <f>IFERROR(VLOOKUP($B18,[1]평가!$B:$Z,MATCH(LEFT(H$2,2),[1]평가!$7:$7,0)-1,FALSE),"")</f>
        <v>0</v>
      </c>
      <c r="I18" s="36">
        <f>IFERROR(VLOOKUP($B18,[1]평가!$B:$Z,MATCH(LEFT(I$2,2),[1]평가!$7:$7,0)-1,FALSE),"")</f>
        <v>76</v>
      </c>
      <c r="J18" s="36">
        <f>IFERROR(VLOOKUP($B18,[1]평가!$B:$Z,MATCH(LEFT(J$2,2),[1]평가!$7:$7,0)-1,FALSE),"")</f>
        <v>76</v>
      </c>
      <c r="K18" s="33">
        <f>IFERROR(VLOOKUP($B18,[2]평가!$B:$Z,MATCH(LEFT(K$2,2),[2]평가!$7:$7,0)-1,FALSE),"")</f>
        <v>0</v>
      </c>
      <c r="L18" s="36">
        <f>IFERROR(VLOOKUP($B18,[2]평가!$B:$Z,MATCH(LEFT(L$2,2),[2]평가!$7:$7,0)-1,FALSE),"")</f>
        <v>83</v>
      </c>
      <c r="M18" s="39">
        <f>IFERROR(VLOOKUP($B18,[2]평가!$B:$Z,MATCH(LEFT(M$2,2),[2]평가!$7:$7,0)-1,FALSE),"")</f>
        <v>26</v>
      </c>
      <c r="N18" s="33">
        <f>IFERROR(VLOOKUP($B18,[3]평가!$B:$Z,MATCH(LEFT(N$2,2),[3]평가!$7:$7,0)-1,FALSE),"")</f>
        <v>0</v>
      </c>
      <c r="O18" s="36">
        <f>IFERROR(VLOOKUP($B18,[3]평가!$B:$Z,MATCH(LEFT(O$2,2),[3]평가!$7:$7,0)-1,FALSE),"")</f>
        <v>88</v>
      </c>
      <c r="P18" s="39">
        <f>IFERROR(VLOOKUP($B18,[3]평가!$B:$Z,MATCH(LEFT(P$2,2),[3]평가!$7:$7,0)-1,FALSE),"")</f>
        <v>9</v>
      </c>
      <c r="Q18" s="33">
        <f>IFERROR(VLOOKUP($B18,[4]평가!$B:$Z,MATCH(LEFT(Q$2,2),[4]평가!$7:$7,0)-1,FALSE),"")</f>
        <v>0</v>
      </c>
      <c r="R18" s="36">
        <f>IFERROR(VLOOKUP($B18,[4]평가!$B:$Z,MATCH(LEFT(R$2,2),[4]평가!$7:$7,0)-1,FALSE),"")</f>
        <v>80</v>
      </c>
      <c r="S18" s="39">
        <f>IFERROR(VLOOKUP($B18,[4]평가!$B:$Z,MATCH(LEFT(S$2,2),[4]평가!$7:$7,0)-1,FALSE),"")</f>
        <v>50</v>
      </c>
      <c r="T18" s="33">
        <f>IFERROR(VLOOKUP($B18,[5]평가!$B:$Z,MATCH(LEFT(T$2,2),[5]평가!$7:$7,0)-1,FALSE),"")</f>
        <v>0</v>
      </c>
      <c r="U18" s="36">
        <f>IFERROR(VLOOKUP($B18,[5]평가!$B:$Z,MATCH(LEFT(U$2,2),[5]평가!$7:$7,0)-1,FALSE),"")</f>
        <v>89</v>
      </c>
      <c r="V18" s="39">
        <f>IFERROR(VLOOKUP($B18,[5]평가!$B:$Z,MATCH(LEFT(V$2,2),[5]평가!$7:$7,0)-1,FALSE),"")</f>
        <v>7</v>
      </c>
      <c r="W18" s="33">
        <f>IFERROR(VLOOKUP($B18,대상!$B:$AD,MATCH(W$2,대상!$1:$1,0)-1,FALSE),"")</f>
        <v>0</v>
      </c>
      <c r="X18" s="20">
        <f>IF(ISBLANK(B18),"",T$1-COUNTIF(H18:V18,"회피"))</f>
        <v>5</v>
      </c>
      <c r="Y18" s="21">
        <f>IF($T$1=X18,(SUM(I18,L18,O18,R18,U18)-MIN(I18,L18,O18,R18,U18)-MAX(I18,L18,O18,R18,U18))/($T$1-2),SUM(I18,L18,O18,R18,U18/X18))</f>
        <v>83.666666666666671</v>
      </c>
      <c r="Z18" s="40">
        <f>IFERROR(VLOOKUP($B18,대상!$B:$AD,MATCH(Z$2,대상!$1:$1,0)-1,FALSE),0)</f>
        <v>0</v>
      </c>
      <c r="AA18" s="41">
        <f>IFERROR(IF(W18="면제","100"+Z18,Y18+Z18),"")</f>
        <v>83.666666666666671</v>
      </c>
      <c r="AB18" s="35" t="str">
        <f>IF(OR(W18="면제",N(Y18)=0),"",IF(AA18&lt;60,"과락",""))</f>
        <v/>
      </c>
      <c r="AC18" s="54">
        <f>IF(N(AA18)=0,"",RANK(AA18,AA$3:AA$202))</f>
        <v>18</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①-사업화 아이템의 특성상 경쟁기술에 대해 다각적인 차별화 요소도출 및 후발 경쟁업체에 대한 진입장벽 구축을 위한 전략 수립이 필요해 보입니다.
-창업지원사업의 특서을 고려한 성과목표 도출 및 달성 방안에 대해 보다 상세한 설명이 필요해 보입니다. _x000D_②대표와 조직원의 역량이 높고 개발 제품의 필요성과 대체 수요는 있으나 수요기업의 검증 기간이 길어 단시간 매출 발생이 어려울 것으로 판단됨  _x000D_③경쟁사 대비 차별화 포인트를 도출하였고, 고객의 니즈와 실제 활용 시나리오를 상세히 설명하였습니다. 
이를 통해 아이템의 시장 안착 가능성 검토할 수 있었습니다. 다만, 사업 방향의 타당성을 높이기 위한 객관적 근거 보완이 일부 필요해 보입니다. _x000D_④아이템의 기술수요와 개발방향은 이해하기 쉽게 작성되었으나, 현재 개발 단계와 목표 수준의 구분은 다소 미흡 함. _x000D_⑤소부장을 중심으로 하여 시장을 분석하고 그 필요성에 대해 정확하게 공략하고 있어 돋보인다. 핵심공정기술개발도 기완료되어 충분한 사업능력이 확보될 것으로 판단된다. 다만 사업실현성에 대해서는 검증이 필요할 것으로 보인다.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hidden="1" customHeight="1" x14ac:dyDescent="0.35">
      <c r="A19" s="4">
        <v>23</v>
      </c>
      <c r="B19" s="2">
        <v>20426750</v>
      </c>
      <c r="C19" s="38" t="str">
        <f>IFERROR(VLOOKUP($B19,대상!$B:$AC,MATCH(C$2,대상!$1:$1,0)-1,FALSE),"")</f>
        <v>지역기반</v>
      </c>
      <c r="D19" s="38" t="str">
        <f>IFERROR(VLOOKUP($B19,대상!$B:$AC,MATCH(D$2,대상!$1:$1,0)-1,FALSE),"")</f>
        <v>조현지</v>
      </c>
      <c r="E19" s="36" t="str">
        <f>IFERROR(VLOOKUP($B19,대상!$B:$AC,MATCH(E$2,대상!$1:$1,0)-1,FALSE),"")</f>
        <v>화공ㆍ섬유</v>
      </c>
      <c r="F19" s="38" t="str">
        <f>IFERROR(VLOOKUP($B19,대상!$B:$AC,MATCH(F$2,대상!$1:$1,0)-1,FALSE),"")</f>
        <v>AI 제형 최적화 기술 기반 스마트 올인원 젤과 네일숍을 위한 AI 제고 운영 관리 SaaS 솔루션, ARO NAIL</v>
      </c>
      <c r="G19" s="38" t="str">
        <f>IFERROR(VLOOKUP($B19,대상!$B:$AC,MATCH(G$2,대상!$1:$1,0)-1,FALSE),"")</f>
        <v/>
      </c>
      <c r="H19" s="33">
        <f>IFERROR(VLOOKUP($B19,[1]평가!$B:$Z,MATCH(LEFT(H$2,2),[1]평가!$7:$7,0)-1,FALSE),"")</f>
        <v>0</v>
      </c>
      <c r="I19" s="36">
        <f>IFERROR(VLOOKUP($B19,[1]평가!$B:$Z,MATCH(LEFT(I$2,2),[1]평가!$7:$7,0)-1,FALSE),"")</f>
        <v>76</v>
      </c>
      <c r="J19" s="36">
        <f>IFERROR(VLOOKUP($B19,[1]평가!$B:$Z,MATCH(LEFT(J$2,2),[1]평가!$7:$7,0)-1,FALSE),"")</f>
        <v>76</v>
      </c>
      <c r="K19" s="33">
        <f>IFERROR(VLOOKUP($B19,[2]평가!$B:$Z,MATCH(LEFT(K$2,2),[2]평가!$7:$7,0)-1,FALSE),"")</f>
        <v>0</v>
      </c>
      <c r="L19" s="36">
        <f>IFERROR(VLOOKUP($B19,[2]평가!$B:$Z,MATCH(LEFT(L$2,2),[2]평가!$7:$7,0)-1,FALSE),"")</f>
        <v>87</v>
      </c>
      <c r="M19" s="39">
        <f>IFERROR(VLOOKUP($B19,[2]평가!$B:$Z,MATCH(LEFT(M$2,2),[2]평가!$7:$7,0)-1,FALSE),"")</f>
        <v>11</v>
      </c>
      <c r="N19" s="33">
        <f>IFERROR(VLOOKUP($B19,[3]평가!$B:$Z,MATCH(LEFT(N$2,2),[3]평가!$7:$7,0)-1,FALSE),"")</f>
        <v>0</v>
      </c>
      <c r="O19" s="36">
        <f>IFERROR(VLOOKUP($B19,[3]평가!$B:$Z,MATCH(LEFT(O$2,2),[3]평가!$7:$7,0)-1,FALSE),"")</f>
        <v>74</v>
      </c>
      <c r="P19" s="39">
        <f>IFERROR(VLOOKUP($B19,[3]평가!$B:$Z,MATCH(LEFT(P$2,2),[3]평가!$7:$7,0)-1,FALSE),"")</f>
        <v>64</v>
      </c>
      <c r="Q19" s="33">
        <f>IFERROR(VLOOKUP($B19,[4]평가!$B:$Z,MATCH(LEFT(Q$2,2),[4]평가!$7:$7,0)-1,FALSE),"")</f>
        <v>0</v>
      </c>
      <c r="R19" s="36">
        <f>IFERROR(VLOOKUP($B19,[4]평가!$B:$Z,MATCH(LEFT(R$2,2),[4]평가!$7:$7,0)-1,FALSE),"")</f>
        <v>89</v>
      </c>
      <c r="S19" s="39">
        <f>IFERROR(VLOOKUP($B19,[4]평가!$B:$Z,MATCH(LEFT(S$2,2),[4]평가!$7:$7,0)-1,FALSE),"")</f>
        <v>10</v>
      </c>
      <c r="T19" s="33">
        <f>IFERROR(VLOOKUP($B19,[5]평가!$B:$Z,MATCH(LEFT(T$2,2),[5]평가!$7:$7,0)-1,FALSE),"")</f>
        <v>0</v>
      </c>
      <c r="U19" s="36">
        <f>IFERROR(VLOOKUP($B19,[5]평가!$B:$Z,MATCH(LEFT(U$2,2),[5]평가!$7:$7,0)-1,FALSE),"")</f>
        <v>87</v>
      </c>
      <c r="V19" s="39">
        <f>IFERROR(VLOOKUP($B19,[5]평가!$B:$Z,MATCH(LEFT(V$2,2),[5]평가!$7:$7,0)-1,FALSE),"")</f>
        <v>14</v>
      </c>
      <c r="W19" s="33">
        <f>IFERROR(VLOOKUP($B19,대상!$B:$AD,MATCH(W$2,대상!$1:$1,0)-1,FALSE),"")</f>
        <v>0</v>
      </c>
      <c r="X19" s="20">
        <f>IF(ISBLANK(B19),"",T$1-COUNTIF(H19:V19,"회피"))</f>
        <v>5</v>
      </c>
      <c r="Y19" s="21">
        <f>IF($T$1=X19,(SUM(I19,L19,O19,R19,U19)-MIN(I19,L19,O19,R19,U19)-MAX(I19,L19,O19,R19,U19))/($T$1-2),SUM(I19,L19,O19,R19,U19/X19))</f>
        <v>83.333333333333329</v>
      </c>
      <c r="Z19" s="40">
        <f>IFERROR(VLOOKUP($B19,대상!$B:$AD,MATCH(Z$2,대상!$1:$1,0)-1,FALSE),0)</f>
        <v>0</v>
      </c>
      <c r="AA19" s="41">
        <f>IFERROR(IF(W19="면제","100"+Z19,Y19+Z19),"")</f>
        <v>83.333333333333329</v>
      </c>
      <c r="AB19" s="35" t="str">
        <f>IF(OR(W19="면제",N(Y19)=0),"",IF(AA19&lt;60,"과락",""))</f>
        <v/>
      </c>
      <c r="AC19" s="54">
        <f>IF(N(AA19)=0,"",RANK(AA19,AA$3:AA$202))</f>
        <v>19</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①-사업화 아이템의 성공 가능성 향상을 위해 경쟁력 확보 및 지속적인 수익 창출 방안에 대한 고민이 필요해 보입니다.
-창업지원사업의 성격을 고려한 성과목표 제시 및 달성방안에 대해 보다 구체적인 설명이 필요해 보입니다. _x000D_②제형기술을 기반으로 특화시장에 대한 제품개발과 적용 제품관련 유통망 확보 등 사전 시장 확장성에 대한 준비가 완료된 상황으로 판단되며 개발과 판매 등에 대한 수직적 쳬게 수립 전략이 양호함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_x000D_④목표시장과 수익모델은 비교적 명확하게 제시 됨. _x000D_⑤시장을 분석하고 그 필요성에 대해 정확하게 공략하고 있어 돋보인다. 능력으로 구성된 팀과 적극적으로 외부자원을 활용하여 단계별로 사업을 수행하고 시장의 확보를 위해 시제품을 개발하는등 기술적 능력도 우수하다. 다만, 기존 시장제품대비 차별성이나 기술 경쟁력을 보완하는것이 필요하다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hidden="1" customHeight="1" x14ac:dyDescent="0.35">
      <c r="A20" s="4">
        <v>34</v>
      </c>
      <c r="B20" s="2">
        <v>20440240</v>
      </c>
      <c r="C20" s="38" t="str">
        <f>IFERROR(VLOOKUP($B20,대상!$B:$AC,MATCH(C$2,대상!$1:$1,0)-1,FALSE),"")</f>
        <v>지역기반</v>
      </c>
      <c r="D20" s="38" t="str">
        <f>IFERROR(VLOOKUP($B20,대상!$B:$AC,MATCH(D$2,대상!$1:$1,0)-1,FALSE),"")</f>
        <v>주한나</v>
      </c>
      <c r="E20" s="36" t="str">
        <f>IFERROR(VLOOKUP($B20,대상!$B:$AC,MATCH(E$2,대상!$1:$1,0)-1,FALSE),"")</f>
        <v>화공ㆍ섬유</v>
      </c>
      <c r="F20" s="38" t="str">
        <f>IFERROR(VLOOKUP($B20,대상!$B:$AC,MATCH(F$2,대상!$1:$1,0)-1,FALSE),"")</f>
        <v>살균·세정 기능이 결합된 듀얼 챔버 2in1 플러셔블 위생 티슈 '털썩&amp;뽀득'</v>
      </c>
      <c r="G20" s="38" t="str">
        <f>IFERROR(VLOOKUP($B20,대상!$B:$AC,MATCH(G$2,대상!$1:$1,0)-1,FALSE),"")</f>
        <v/>
      </c>
      <c r="H20" s="33">
        <f>IFERROR(VLOOKUP($B20,[1]평가!$B:$Z,MATCH(LEFT(H$2,2),[1]평가!$7:$7,0)-1,FALSE),"")</f>
        <v>0</v>
      </c>
      <c r="I20" s="36">
        <f>IFERROR(VLOOKUP($B20,[1]평가!$B:$Z,MATCH(LEFT(I$2,2),[1]평가!$7:$7,0)-1,FALSE),"")</f>
        <v>83</v>
      </c>
      <c r="J20" s="36">
        <f>IFERROR(VLOOKUP($B20,[1]평가!$B:$Z,MATCH(LEFT(J$2,2),[1]평가!$7:$7,0)-1,FALSE),"")</f>
        <v>22</v>
      </c>
      <c r="K20" s="33">
        <f>IFERROR(VLOOKUP($B20,[2]평가!$B:$Z,MATCH(LEFT(K$2,2),[2]평가!$7:$7,0)-1,FALSE),"")</f>
        <v>0</v>
      </c>
      <c r="L20" s="36">
        <f>IFERROR(VLOOKUP($B20,[2]평가!$B:$Z,MATCH(LEFT(L$2,2),[2]평가!$7:$7,0)-1,FALSE),"")</f>
        <v>78</v>
      </c>
      <c r="M20" s="39">
        <f>IFERROR(VLOOKUP($B20,[2]평가!$B:$Z,MATCH(LEFT(M$2,2),[2]평가!$7:$7,0)-1,FALSE),"")</f>
        <v>55</v>
      </c>
      <c r="N20" s="33">
        <f>IFERROR(VLOOKUP($B20,[3]평가!$B:$Z,MATCH(LEFT(N$2,2),[3]평가!$7:$7,0)-1,FALSE),"")</f>
        <v>0</v>
      </c>
      <c r="O20" s="36">
        <f>IFERROR(VLOOKUP($B20,[3]평가!$B:$Z,MATCH(LEFT(O$2,2),[3]평가!$7:$7,0)-1,FALSE),"")</f>
        <v>85</v>
      </c>
      <c r="P20" s="39">
        <f>IFERROR(VLOOKUP($B20,[3]평가!$B:$Z,MATCH(LEFT(P$2,2),[3]평가!$7:$7,0)-1,FALSE),"")</f>
        <v>24</v>
      </c>
      <c r="Q20" s="33">
        <f>IFERROR(VLOOKUP($B20,[4]평가!$B:$Z,MATCH(LEFT(Q$2,2),[4]평가!$7:$7,0)-1,FALSE),"")</f>
        <v>0</v>
      </c>
      <c r="R20" s="36">
        <f>IFERROR(VLOOKUP($B20,[4]평가!$B:$Z,MATCH(LEFT(R$2,2),[4]평가!$7:$7,0)-1,FALSE),"")</f>
        <v>83</v>
      </c>
      <c r="S20" s="39">
        <f>IFERROR(VLOOKUP($B20,[4]평가!$B:$Z,MATCH(LEFT(S$2,2),[4]평가!$7:$7,0)-1,FALSE),"")</f>
        <v>39</v>
      </c>
      <c r="T20" s="33">
        <f>IFERROR(VLOOKUP($B20,[5]평가!$B:$Z,MATCH(LEFT(T$2,2),[5]평가!$7:$7,0)-1,FALSE),"")</f>
        <v>0</v>
      </c>
      <c r="U20" s="36">
        <f>IFERROR(VLOOKUP($B20,[5]평가!$B:$Z,MATCH(LEFT(U$2,2),[5]평가!$7:$7,0)-1,FALSE),"")</f>
        <v>84</v>
      </c>
      <c r="V20" s="39">
        <f>IFERROR(VLOOKUP($B20,[5]평가!$B:$Z,MATCH(LEFT(V$2,2),[5]평가!$7:$7,0)-1,FALSE),"")</f>
        <v>30</v>
      </c>
      <c r="W20" s="33">
        <f>IFERROR(VLOOKUP($B20,대상!$B:$AD,MATCH(W$2,대상!$1:$1,0)-1,FALSE),"")</f>
        <v>0</v>
      </c>
      <c r="X20" s="20">
        <f>IF(ISBLANK(B20),"",T$1-COUNTIF(H20:V20,"회피"))</f>
        <v>5</v>
      </c>
      <c r="Y20" s="21">
        <f>IF($T$1=X20,(SUM(I20,L20,O20,R20,U20)-MIN(I20,L20,O20,R20,U20)-MAX(I20,L20,O20,R20,U20))/($T$1-2),SUM(I20,L20,O20,R20,U20/X20))</f>
        <v>83.333333333333329</v>
      </c>
      <c r="Z20" s="40">
        <f>IFERROR(VLOOKUP($B20,대상!$B:$AD,MATCH(Z$2,대상!$1:$1,0)-1,FALSE),0)</f>
        <v>0</v>
      </c>
      <c r="AA20" s="41">
        <f>IFERROR(IF(W20="면제","100"+Z20,Y20+Z20),"")</f>
        <v>83.333333333333329</v>
      </c>
      <c r="AB20" s="35" t="str">
        <f>IF(OR(W20="면제",N(Y20)=0),"",IF(AA20&lt;60,"과락",""))</f>
        <v/>
      </c>
      <c r="AC20" s="54">
        <f>IF(N(AA20)=0,"",RANK(AA20,AA$3:AA$202))</f>
        <v>19</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①-사업의 지속성 확보를 위해 보다 자세한 수익창출 기반의 마케팅 전략에 대한 설명이 필요해 보입니다.
-제품의 경쟁력 강화를 위해 기존 시장의 유사제품에 대한 차별화 요소에 대한 보다 상세한 설명이 필요해 보입니다.
-창업지원사업의 특성을 감안한 정량적 성과목표 제시 및 달성 방안에 대한 설명이 필요해 보입니다.  _x000D_②개발 제품의 소재 개발이 아닌 포장기술로써 제품의 차별성은 있으나 시장 경쟁력 및 확장성 확보가 어려우며 제품화 기술의 난이성이 낮은 것으로 판단됨. _x000D_③아이템의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_x000D_④경쟁사 대비 차별화 요소를 제시한 점은 긍정적으로 평가되나, 차별성이 실제 일상 생활에서의 활용성으로 연결될 수 있는 지에 대한 근거는 다소 미흡 함. _x000D_⑤시장에서의 불편함을 극복할 수 있는 사업아이템의 방향과 제품설계 및 사업화 방향까지 잘 정리되어져 있다. 이미 제품의 설계방향과 성능을 검증하기 위한 다양한 창구를 탐색해 둔 부분도 잘 구성되어져 있다. 다만, 각각의 제품이 이미 시장을 지배하고 있는 환경에서 2in1제품이 가지는 독자성, 제품경쟁력과 사업을 위한 조직활용면에서 다소 보완이 필요할 것으로 판단된다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hidden="1" customHeight="1" x14ac:dyDescent="0.35">
      <c r="A21" s="4">
        <v>36</v>
      </c>
      <c r="B21" s="2">
        <v>20400362</v>
      </c>
      <c r="C21" s="38" t="str">
        <f>IFERROR(VLOOKUP($B21,대상!$B:$AC,MATCH(C$2,대상!$1:$1,0)-1,FALSE),"")</f>
        <v>지역기반</v>
      </c>
      <c r="D21" s="38" t="str">
        <f>IFERROR(VLOOKUP($B21,대상!$B:$AC,MATCH(D$2,대상!$1:$1,0)-1,FALSE),"")</f>
        <v>이승주</v>
      </c>
      <c r="E21" s="36" t="str">
        <f>IFERROR(VLOOKUP($B21,대상!$B:$AC,MATCH(E$2,대상!$1:$1,0)-1,FALSE),"")</f>
        <v>화공ㆍ섬유</v>
      </c>
      <c r="F21" s="38" t="str">
        <f>IFERROR(VLOOKUP($B21,대상!$B:$AC,MATCH(F$2,대상!$1:$1,0)-1,FALSE),"")</f>
        <v>고기능성 반려견 퀵-레이스 하네스</v>
      </c>
      <c r="G21" s="38" t="str">
        <f>IFERROR(VLOOKUP($B21,대상!$B:$AC,MATCH(G$2,대상!$1:$1,0)-1,FALSE),"")</f>
        <v/>
      </c>
      <c r="H21" s="33">
        <f>IFERROR(VLOOKUP($B21,[1]평가!$B:$Z,MATCH(LEFT(H$2,2),[1]평가!$7:$7,0)-1,FALSE),"")</f>
        <v>0</v>
      </c>
      <c r="I21" s="36">
        <f>IFERROR(VLOOKUP($B21,[1]평가!$B:$Z,MATCH(LEFT(I$2,2),[1]평가!$7:$7,0)-1,FALSE),"")</f>
        <v>83</v>
      </c>
      <c r="J21" s="36">
        <f>IFERROR(VLOOKUP($B21,[1]평가!$B:$Z,MATCH(LEFT(J$2,2),[1]평가!$7:$7,0)-1,FALSE),"")</f>
        <v>22</v>
      </c>
      <c r="K21" s="33">
        <f>IFERROR(VLOOKUP($B21,[2]평가!$B:$Z,MATCH(LEFT(K$2,2),[2]평가!$7:$7,0)-1,FALSE),"")</f>
        <v>0</v>
      </c>
      <c r="L21" s="36">
        <f>IFERROR(VLOOKUP($B21,[2]평가!$B:$Z,MATCH(LEFT(L$2,2),[2]평가!$7:$7,0)-1,FALSE),"")</f>
        <v>83</v>
      </c>
      <c r="M21" s="39">
        <f>IFERROR(VLOOKUP($B21,[2]평가!$B:$Z,MATCH(LEFT(M$2,2),[2]평가!$7:$7,0)-1,FALSE),"")</f>
        <v>26</v>
      </c>
      <c r="N21" s="33">
        <f>IFERROR(VLOOKUP($B21,[3]평가!$B:$Z,MATCH(LEFT(N$2,2),[3]평가!$7:$7,0)-1,FALSE),"")</f>
        <v>0</v>
      </c>
      <c r="O21" s="36">
        <f>IFERROR(VLOOKUP($B21,[3]평가!$B:$Z,MATCH(LEFT(O$2,2),[3]평가!$7:$7,0)-1,FALSE),"")</f>
        <v>83</v>
      </c>
      <c r="P21" s="39">
        <f>IFERROR(VLOOKUP($B21,[3]평가!$B:$Z,MATCH(LEFT(P$2,2),[3]평가!$7:$7,0)-1,FALSE),"")</f>
        <v>35</v>
      </c>
      <c r="Q21" s="33">
        <f>IFERROR(VLOOKUP($B21,[4]평가!$B:$Z,MATCH(LEFT(Q$2,2),[4]평가!$7:$7,0)-1,FALSE),"")</f>
        <v>0</v>
      </c>
      <c r="R21" s="36">
        <f>IFERROR(VLOOKUP($B21,[4]평가!$B:$Z,MATCH(LEFT(R$2,2),[4]평가!$7:$7,0)-1,FALSE),"")</f>
        <v>73</v>
      </c>
      <c r="S21" s="39">
        <f>IFERROR(VLOOKUP($B21,[4]평가!$B:$Z,MATCH(LEFT(S$2,2),[4]평가!$7:$7,0)-1,FALSE),"")</f>
        <v>90</v>
      </c>
      <c r="T21" s="33">
        <f>IFERROR(VLOOKUP($B21,[5]평가!$B:$Z,MATCH(LEFT(T$2,2),[5]평가!$7:$7,0)-1,FALSE),"")</f>
        <v>0</v>
      </c>
      <c r="U21" s="36">
        <f>IFERROR(VLOOKUP($B21,[5]평가!$B:$Z,MATCH(LEFT(U$2,2),[5]평가!$7:$7,0)-1,FALSE),"")</f>
        <v>88</v>
      </c>
      <c r="V21" s="39">
        <f>IFERROR(VLOOKUP($B21,[5]평가!$B:$Z,MATCH(LEFT(V$2,2),[5]평가!$7:$7,0)-1,FALSE),"")</f>
        <v>12</v>
      </c>
      <c r="W21" s="33">
        <f>IFERROR(VLOOKUP($B21,대상!$B:$AD,MATCH(W$2,대상!$1:$1,0)-1,FALSE),"")</f>
        <v>0</v>
      </c>
      <c r="X21" s="20">
        <f>IF(ISBLANK(B21),"",T$1-COUNTIF(H21:V21,"회피"))</f>
        <v>5</v>
      </c>
      <c r="Y21" s="21">
        <f>IF($T$1=X21,(SUM(I21,L21,O21,R21,U21)-MIN(I21,L21,O21,R21,U21)-MAX(I21,L21,O21,R21,U21))/($T$1-2),SUM(I21,L21,O21,R21,U21/X21))</f>
        <v>83</v>
      </c>
      <c r="Z21" s="40">
        <f>IFERROR(VLOOKUP($B21,대상!$B:$AD,MATCH(Z$2,대상!$1:$1,0)-1,FALSE),0)</f>
        <v>0</v>
      </c>
      <c r="AA21" s="41">
        <f>IFERROR(IF(W21="면제","100"+Z21,Y21+Z21),"")</f>
        <v>83</v>
      </c>
      <c r="AB21" s="35" t="str">
        <f>IF(OR(W21="면제",N(Y21)=0),"",IF(AA21&lt;60,"과락",""))</f>
        <v/>
      </c>
      <c r="AC21" s="54">
        <f>IF(N(AA21)=0,"",RANK(AA21,AA$3:AA$202))</f>
        <v>21</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①-사업화아이템의 성공 가능성 향상을 위해 보다 다양한 관점에서 기존 시장에 출시된 유사제품에 대한 차별화요소 발굴이 필요해 보입니다. 
-후발 경쟁자에 대한 진입장벽 구축을 위해 보다 다양한 산업재산권 확보 방안에 대한 고민이 필요해 보입니다.
-창업지원사업의 성격에 맞는 정량적 성과지표 제시 및 달성방안에 대해 보다 상세한 설명이 필요해 보입니다.  _x000D_②하네스 디자인 기술로 유사 제품과의 차별성 확보로 시장성 검토는 양호하게 이우러졌고 영업 전략 구성은 제시되었으나 최종 매출 연계에 대한 전략의 구체성이 부족하고 구체화된 공급처 제시가 없어 매출 확보 검증이 어려움 _x000D_③창업 아이템의 개발 배경과 목적이 뚜렷하게 제시되어 있으며, 목표 시장 및 고객 분석 수준 또한 우수합니다. 다만, 제품에 대한 자사만의 차별성과 기술력 독보적인 경쟁력을 증명하기 위한 창업지원사업 성격에 따른 기술적 객관적 지표와 추가 보완이 필요합니다. _x000D_④창업동기와 문제인식은 비교적 명확하게 제시되었으나, 고객 검증자료는 다소 미흡한 것으로 판단 됨. _x000D_⑤기존시장의 면밀한 분석을 위해 새로운 제품을 기획하고 해당 제품에 대한 디자인권리와 ROAS를 매우 충분히 확보해 둔 면에서 사업성에 뛰어난 능력을 가진 사업계획서라 할 수 있다. 경쟁제품에 대한 한계성을 명확히 표현하고 새로운 제품의 우수성 비교를 통해 입증하고 있다. 다만 사업화를 위한 인력구성면에서 아쉬운 부분이 있으나, 이는 사업진행단계에서 충분히 극복할 수 있는 역량이 있는것으로 판단된다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hidden="1" customHeight="1" x14ac:dyDescent="0.35">
      <c r="A22" s="4">
        <v>42</v>
      </c>
      <c r="B22" s="2">
        <v>20406503</v>
      </c>
      <c r="C22" s="38" t="str">
        <f>IFERROR(VLOOKUP($B22,대상!$B:$AC,MATCH(C$2,대상!$1:$1,0)-1,FALSE),"")</f>
        <v>지역기반</v>
      </c>
      <c r="D22" s="38" t="str">
        <f>IFERROR(VLOOKUP($B22,대상!$B:$AC,MATCH(D$2,대상!$1:$1,0)-1,FALSE),"")</f>
        <v>오권</v>
      </c>
      <c r="E22" s="36" t="str">
        <f>IFERROR(VLOOKUP($B22,대상!$B:$AC,MATCH(E$2,대상!$1:$1,0)-1,FALSE),"")</f>
        <v>화공ㆍ섬유</v>
      </c>
      <c r="F22" s="38" t="str">
        <f>IFERROR(VLOOKUP($B22,대상!$B:$AC,MATCH(F$2,대상!$1:$1,0)-1,FALSE),"")</f>
        <v>친환경 생분해 소재 기반 HDPE(High-Density Polyethylene) 대체용  탄소절감, 빗물 재활용, 수목 성장촉진을 위한 수목통 기관 설계 개발</v>
      </c>
      <c r="G22" s="38" t="str">
        <f>IFERROR(VLOOKUP($B22,대상!$B:$AC,MATCH(G$2,대상!$1:$1,0)-1,FALSE),"")</f>
        <v/>
      </c>
      <c r="H22" s="33">
        <f>IFERROR(VLOOKUP($B22,[1]평가!$B:$Z,MATCH(LEFT(H$2,2),[1]평가!$7:$7,0)-1,FALSE),"")</f>
        <v>0</v>
      </c>
      <c r="I22" s="36">
        <f>IFERROR(VLOOKUP($B22,[1]평가!$B:$Z,MATCH(LEFT(I$2,2),[1]평가!$7:$7,0)-1,FALSE),"")</f>
        <v>79</v>
      </c>
      <c r="J22" s="36">
        <f>IFERROR(VLOOKUP($B22,[1]평가!$B:$Z,MATCH(LEFT(J$2,2),[1]평가!$7:$7,0)-1,FALSE),"")</f>
        <v>47</v>
      </c>
      <c r="K22" s="33">
        <f>IFERROR(VLOOKUP($B22,[2]평가!$B:$Z,MATCH(LEFT(K$2,2),[2]평가!$7:$7,0)-1,FALSE),"")</f>
        <v>0</v>
      </c>
      <c r="L22" s="36">
        <f>IFERROR(VLOOKUP($B22,[2]평가!$B:$Z,MATCH(LEFT(L$2,2),[2]평가!$7:$7,0)-1,FALSE),"")</f>
        <v>82</v>
      </c>
      <c r="M22" s="39">
        <f>IFERROR(VLOOKUP($B22,[2]평가!$B:$Z,MATCH(LEFT(M$2,2),[2]평가!$7:$7,0)-1,FALSE),"")</f>
        <v>34</v>
      </c>
      <c r="N22" s="33">
        <f>IFERROR(VLOOKUP($B22,[3]평가!$B:$Z,MATCH(LEFT(N$2,2),[3]평가!$7:$7,0)-1,FALSE),"")</f>
        <v>0</v>
      </c>
      <c r="O22" s="36">
        <f>IFERROR(VLOOKUP($B22,[3]평가!$B:$Z,MATCH(LEFT(O$2,2),[3]평가!$7:$7,0)-1,FALSE),"")</f>
        <v>88</v>
      </c>
      <c r="P22" s="39">
        <f>IFERROR(VLOOKUP($B22,[3]평가!$B:$Z,MATCH(LEFT(P$2,2),[3]평가!$7:$7,0)-1,FALSE),"")</f>
        <v>9</v>
      </c>
      <c r="Q22" s="33">
        <f>IFERROR(VLOOKUP($B22,[4]평가!$B:$Z,MATCH(LEFT(Q$2,2),[4]평가!$7:$7,0)-1,FALSE),"")</f>
        <v>0</v>
      </c>
      <c r="R22" s="36">
        <f>IFERROR(VLOOKUP($B22,[4]평가!$B:$Z,MATCH(LEFT(R$2,2),[4]평가!$7:$7,0)-1,FALSE),"")</f>
        <v>70</v>
      </c>
      <c r="S22" s="39">
        <f>IFERROR(VLOOKUP($B22,[4]평가!$B:$Z,MATCH(LEFT(S$2,2),[4]평가!$7:$7,0)-1,FALSE),"")</f>
        <v>100</v>
      </c>
      <c r="T22" s="33">
        <f>IFERROR(VLOOKUP($B22,[5]평가!$B:$Z,MATCH(LEFT(T$2,2),[5]평가!$7:$7,0)-1,FALSE),"")</f>
        <v>0</v>
      </c>
      <c r="U22" s="36">
        <f>IFERROR(VLOOKUP($B22,[5]평가!$B:$Z,MATCH(LEFT(U$2,2),[5]평가!$7:$7,0)-1,FALSE),"")</f>
        <v>88</v>
      </c>
      <c r="V22" s="39">
        <f>IFERROR(VLOOKUP($B22,[5]평가!$B:$Z,MATCH(LEFT(V$2,2),[5]평가!$7:$7,0)-1,FALSE),"")</f>
        <v>12</v>
      </c>
      <c r="W22" s="33">
        <f>IFERROR(VLOOKUP($B22,대상!$B:$AD,MATCH(W$2,대상!$1:$1,0)-1,FALSE),"")</f>
        <v>0</v>
      </c>
      <c r="X22" s="20">
        <f>IF(ISBLANK(B22),"",T$1-COUNTIF(H22:V22,"회피"))</f>
        <v>5</v>
      </c>
      <c r="Y22" s="21">
        <f>IF($T$1=X22,(SUM(I22,L22,O22,R22,U22)-MIN(I22,L22,O22,R22,U22)-MAX(I22,L22,O22,R22,U22))/($T$1-2),SUM(I22,L22,O22,R22,U22/X22))</f>
        <v>83</v>
      </c>
      <c r="Z22" s="40">
        <f>IFERROR(VLOOKUP($B22,대상!$B:$AD,MATCH(Z$2,대상!$1:$1,0)-1,FALSE),0)</f>
        <v>0</v>
      </c>
      <c r="AA22" s="41">
        <f>IFERROR(IF(W22="면제","100"+Z22,Y22+Z22),"")</f>
        <v>83</v>
      </c>
      <c r="AB22" s="35" t="str">
        <f>IF(OR(W22="면제",N(Y22)=0),"",IF(AA22&lt;60,"과락",""))</f>
        <v/>
      </c>
      <c r="AC22" s="54">
        <f>IF(N(AA22)=0,"",RANK(AA22,AA$3:AA$202))</f>
        <v>21</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①-개발제품의 경쟁력 확보를 위한 기존 제품 대비 차별화 요소 및 경쟁력에 대한 구체적인 설명이 필요해 보입니다.
-제품에 대한 후발경쟁 제품의 시장 진입억제를 위한 산업재산권 확보방안에 대한 검토가 필요해 보입니다.
-개발제품의 특성상 지속적인 원재료 확보방안에 대한 고민이 필요해 보입니다. _x000D_②적용 소재의 특이성과 친환경 제품에 대한 의의 및 소재 적용 기술의 난이성 등 기존 제품에 대한 대체 효과는 있으나 경쟁력 비교 및 제품화를 위한 구체적 매출 전략이 미흡함 _x000D_③전반적으로 사업화 가능성을 검토한 수준이 우수하다고 판단됩니다.기술 추진 의지는 확고해 보이나, 창업중심대학 지원사업 성격에 따른 실질적인 구현 가능성에 대해서는 추가적인 검토가 요구됩니다. _x000D_④아이템의 핵심 기능과 활용 방안의 실효성에 대한 검증과 실제 적용시 사업성에 대한 검토가 미흡한 것으로 판단 됨. _x000D_⑤아보카도'라는 친환경 생분해 소재를 활용한 대체제 시장의 발굴과 이를 위한 제품의 설계 및 검증까지 사업화를 위한 충분한 준비성을 갖추고 있는 보고서이다. 사용이 편리하면서도 안전한 친환경 대체품을 위해 기술적인 준비가 되어져 있는것으로 보인다. 다만, 목표시장 진입을 위한 사전조사가 충분히 반영되어 있지 않아, 시장성이 명확하지 않는 부분에 대해 보완이 필요하다.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hidden="1" customHeight="1" x14ac:dyDescent="0.35">
      <c r="A23" s="4">
        <v>110</v>
      </c>
      <c r="B23" s="2">
        <v>20413097</v>
      </c>
      <c r="C23" s="38" t="str">
        <f>IFERROR(VLOOKUP($B23,대상!$B:$AC,MATCH(C$2,대상!$1:$1,0)-1,FALSE),"")</f>
        <v>지역기반</v>
      </c>
      <c r="D23" s="38" t="str">
        <f>IFERROR(VLOOKUP($B23,대상!$B:$AC,MATCH(D$2,대상!$1:$1,0)-1,FALSE),"")</f>
        <v>박유진</v>
      </c>
      <c r="E23" s="36" t="str">
        <f>IFERROR(VLOOKUP($B23,대상!$B:$AC,MATCH(E$2,대상!$1:$1,0)-1,FALSE),"")</f>
        <v>화공ㆍ섬유</v>
      </c>
      <c r="F23" s="38" t="str">
        <f>IFERROR(VLOOKUP($B23,대상!$B:$AC,MATCH(F$2,대상!$1:$1,0)-1,FALSE),"")</f>
        <v>AI 기반 제조 공정 혁신 기술이 적용된 글로벌 타겟 프리미엄 K-디저트 개발 및 사업화</v>
      </c>
      <c r="G23" s="38" t="str">
        <f>IFERROR(VLOOKUP($B23,대상!$B:$AC,MATCH(G$2,대상!$1:$1,0)-1,FALSE),"")</f>
        <v/>
      </c>
      <c r="H23" s="33">
        <f>IFERROR(VLOOKUP($B23,[1]평가!$B:$Z,MATCH(LEFT(H$2,2),[1]평가!$7:$7,0)-1,FALSE),"")</f>
        <v>0</v>
      </c>
      <c r="I23" s="36">
        <f>IFERROR(VLOOKUP($B23,[1]평가!$B:$Z,MATCH(LEFT(I$2,2),[1]평가!$7:$7,0)-1,FALSE),"")</f>
        <v>86</v>
      </c>
      <c r="J23" s="36">
        <f>IFERROR(VLOOKUP($B23,[1]평가!$B:$Z,MATCH(LEFT(J$2,2),[1]평가!$7:$7,0)-1,FALSE),"")</f>
        <v>12</v>
      </c>
      <c r="K23" s="33">
        <f>IFERROR(VLOOKUP($B23,[2]평가!$B:$Z,MATCH(LEFT(K$2,2),[2]평가!$7:$7,0)-1,FALSE),"")</f>
        <v>0</v>
      </c>
      <c r="L23" s="36">
        <f>IFERROR(VLOOKUP($B23,[2]평가!$B:$Z,MATCH(LEFT(L$2,2),[2]평가!$7:$7,0)-1,FALSE),"")</f>
        <v>73</v>
      </c>
      <c r="M23" s="39">
        <f>IFERROR(VLOOKUP($B23,[2]평가!$B:$Z,MATCH(LEFT(M$2,2),[2]평가!$7:$7,0)-1,FALSE),"")</f>
        <v>80</v>
      </c>
      <c r="N23" s="33">
        <f>IFERROR(VLOOKUP($B23,[3]평가!$B:$Z,MATCH(LEFT(N$2,2),[3]평가!$7:$7,0)-1,FALSE),"")</f>
        <v>0</v>
      </c>
      <c r="O23" s="36">
        <f>IFERROR(VLOOKUP($B23,[3]평가!$B:$Z,MATCH(LEFT(O$2,2),[3]평가!$7:$7,0)-1,FALSE),"")</f>
        <v>81</v>
      </c>
      <c r="P23" s="39">
        <f>IFERROR(VLOOKUP($B23,[3]평가!$B:$Z,MATCH(LEFT(P$2,2),[3]평가!$7:$7,0)-1,FALSE),"")</f>
        <v>44</v>
      </c>
      <c r="Q23" s="33">
        <f>IFERROR(VLOOKUP($B23,[4]평가!$B:$Z,MATCH(LEFT(Q$2,2),[4]평가!$7:$7,0)-1,FALSE),"")</f>
        <v>0</v>
      </c>
      <c r="R23" s="36">
        <f>IFERROR(VLOOKUP($B23,[4]평가!$B:$Z,MATCH(LEFT(R$2,2),[4]평가!$7:$7,0)-1,FALSE),"")</f>
        <v>82</v>
      </c>
      <c r="S23" s="39">
        <f>IFERROR(VLOOKUP($B23,[4]평가!$B:$Z,MATCH(LEFT(S$2,2),[4]평가!$7:$7,0)-1,FALSE),"")</f>
        <v>41</v>
      </c>
      <c r="T23" s="33">
        <f>IFERROR(VLOOKUP($B23,[5]평가!$B:$Z,MATCH(LEFT(T$2,2),[5]평가!$7:$7,0)-1,FALSE),"")</f>
        <v>0</v>
      </c>
      <c r="U23" s="36">
        <f>IFERROR(VLOOKUP($B23,[5]평가!$B:$Z,MATCH(LEFT(U$2,2),[5]평가!$7:$7,0)-1,FALSE),"")</f>
        <v>86</v>
      </c>
      <c r="V23" s="39">
        <f>IFERROR(VLOOKUP($B23,[5]평가!$B:$Z,MATCH(LEFT(V$2,2),[5]평가!$7:$7,0)-1,FALSE),"")</f>
        <v>20</v>
      </c>
      <c r="W23" s="33">
        <f>IFERROR(VLOOKUP($B23,대상!$B:$AD,MATCH(W$2,대상!$1:$1,0)-1,FALSE),"")</f>
        <v>0</v>
      </c>
      <c r="X23" s="20">
        <f>IF(ISBLANK(B23),"",T$1-COUNTIF(H23:V23,"회피"))</f>
        <v>5</v>
      </c>
      <c r="Y23" s="21">
        <f>IF($T$1=X23,(SUM(I23,L23,O23,R23,U23)-MIN(I23,L23,O23,R23,U23)-MAX(I23,L23,O23,R23,U23))/($T$1-2),SUM(I23,L23,O23,R23,U23/X23))</f>
        <v>83</v>
      </c>
      <c r="Z23" s="40">
        <f>IFERROR(VLOOKUP($B23,대상!$B:$AD,MATCH(Z$2,대상!$1:$1,0)-1,FALSE),0)</f>
        <v>0</v>
      </c>
      <c r="AA23" s="41">
        <f>IFERROR(IF(W23="면제","100"+Z23,Y23+Z23),"")</f>
        <v>83</v>
      </c>
      <c r="AB23" s="35" t="str">
        <f>IF(OR(W23="면제",N(Y23)=0),"",IF(AA23&lt;60,"과락",""))</f>
        <v/>
      </c>
      <c r="AC23" s="54">
        <f>IF(N(AA23)=0,"",RANK(AA23,AA$3:AA$202))</f>
        <v>21</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①-소비자의 니즈 및 기존시장의 유사제품에 대한 우리 제품의 차별화 요소를 바탕으로 다각적인 경쟁분석을 통한 사업화 아이템의 성공가능성 향상에 대한 고민이 필요해 보입니다.
-창업지원사업의 특성을 고려한 정량적 성과지표 및 달성방안에 대한 설명이 필요해 보입니다. _x000D_②식품 제조 방식의 자동화에 의한 품질 균일화의 의미는 있으나 감성에 의한 부분에 대한 검토가 필요함. 관련 개발 기술 및 개발에 대한 유사성과 용이성이 높아 사업화 진행이후 확장성은 높지 않을 것으로 판단됨 _x000D_③기술적 구현 로드맵과 비즈니스 모델 간의 정합성이 우수하며, 전체적인 사업 실행 계획의 기획 완성도가 높은 수준으로 평가됩니다.
그러나 세부적인 매출 파이프라인과 실질적인 시장 침투 전략은 구체화가 더 필요해 보입니다.  _x000D_④창업아이템의 개발 배경과 목적이 비교적 명확하게 제시되었으나,  사업비 집행계획에서 인건비와 컨설팅 비용 비율이 사업비 집행금액의 90%로 제품개발에 대한 투자비가 미미함.  _x000D_⑤기존에 수행중인 창업 아이템에 대해 충분히 사업화 능력과 신규시장 개척을 위한 의지를 확인할 수 있다. 다만 해외진출을 위해 유해성 검증과 인증 문제를 선행해서 해결해야 할 것으로 판단되며, 이에 대한 객관적인 자료가 제시되어야 한다.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hidden="1" customHeight="1" x14ac:dyDescent="0.35">
      <c r="A24" s="4">
        <v>4</v>
      </c>
      <c r="B24" s="2">
        <v>20408072</v>
      </c>
      <c r="C24" s="38" t="str">
        <f>IFERROR(VLOOKUP($B24,대상!$B:$AC,MATCH(C$2,대상!$1:$1,0)-1,FALSE),"")</f>
        <v>지역기반</v>
      </c>
      <c r="D24" s="38" t="str">
        <f>IFERROR(VLOOKUP($B24,대상!$B:$AC,MATCH(D$2,대상!$1:$1,0)-1,FALSE),"")</f>
        <v>안혜선</v>
      </c>
      <c r="E24" s="36" t="str">
        <f>IFERROR(VLOOKUP($B24,대상!$B:$AC,MATCH(E$2,대상!$1:$1,0)-1,FALSE),"")</f>
        <v>화공ㆍ섬유</v>
      </c>
      <c r="F24" s="38" t="str">
        <f>IFERROR(VLOOKUP($B24,대상!$B:$AC,MATCH(F$2,대상!$1:$1,0)-1,FALSE),"")</f>
        <v>수면·휴식 케어를 위한 수출형 맞춤 웰니스 K-뷰티 아로마 롤온&amp;룸·필로우 스프레이</v>
      </c>
      <c r="G24" s="38" t="str">
        <f>IFERROR(VLOOKUP($B24,대상!$B:$AC,MATCH(G$2,대상!$1:$1,0)-1,FALSE),"")</f>
        <v/>
      </c>
      <c r="H24" s="33">
        <f>IFERROR(VLOOKUP($B24,[1]평가!$B:$Z,MATCH(LEFT(H$2,2),[1]평가!$7:$7,0)-1,FALSE),"")</f>
        <v>0</v>
      </c>
      <c r="I24" s="36">
        <f>IFERROR(VLOOKUP($B24,[1]평가!$B:$Z,MATCH(LEFT(I$2,2),[1]평가!$7:$7,0)-1,FALSE),"")</f>
        <v>80</v>
      </c>
      <c r="J24" s="36">
        <f>IFERROR(VLOOKUP($B24,[1]평가!$B:$Z,MATCH(LEFT(J$2,2),[1]평가!$7:$7,0)-1,FALSE),"")</f>
        <v>31</v>
      </c>
      <c r="K24" s="33">
        <f>IFERROR(VLOOKUP($B24,[2]평가!$B:$Z,MATCH(LEFT(K$2,2),[2]평가!$7:$7,0)-1,FALSE),"")</f>
        <v>0</v>
      </c>
      <c r="L24" s="36">
        <f>IFERROR(VLOOKUP($B24,[2]평가!$B:$Z,MATCH(LEFT(L$2,2),[2]평가!$7:$7,0)-1,FALSE),"")</f>
        <v>81</v>
      </c>
      <c r="M24" s="39">
        <f>IFERROR(VLOOKUP($B24,[2]평가!$B:$Z,MATCH(LEFT(M$2,2),[2]평가!$7:$7,0)-1,FALSE),"")</f>
        <v>26</v>
      </c>
      <c r="N24" s="33">
        <f>IFERROR(VLOOKUP($B24,[3]평가!$B:$Z,MATCH(LEFT(N$2,2),[3]평가!$7:$7,0)-1,FALSE),"")</f>
        <v>0</v>
      </c>
      <c r="O24" s="36">
        <f>IFERROR(VLOOKUP($B24,[3]평가!$B:$Z,MATCH(LEFT(O$2,2),[3]평가!$7:$7,0)-1,FALSE),"")</f>
        <v>81</v>
      </c>
      <c r="P24" s="39">
        <f>IFERROR(VLOOKUP($B24,[3]평가!$B:$Z,MATCH(LEFT(P$2,2),[3]평가!$7:$7,0)-1,FALSE),"")</f>
        <v>35</v>
      </c>
      <c r="Q24" s="33">
        <f>IFERROR(VLOOKUP($B24,[4]평가!$B:$Z,MATCH(LEFT(Q$2,2),[4]평가!$7:$7,0)-1,FALSE),"")</f>
        <v>0</v>
      </c>
      <c r="R24" s="36">
        <f>IFERROR(VLOOKUP($B24,[4]평가!$B:$Z,MATCH(LEFT(R$2,2),[4]평가!$7:$7,0)-1,FALSE),"")</f>
        <v>77</v>
      </c>
      <c r="S24" s="39">
        <f>IFERROR(VLOOKUP($B24,[4]평가!$B:$Z,MATCH(LEFT(S$2,2),[4]평가!$7:$7,0)-1,FALSE),"")</f>
        <v>58</v>
      </c>
      <c r="T24" s="33">
        <f>IFERROR(VLOOKUP($B24,[5]평가!$B:$Z,MATCH(LEFT(T$2,2),[5]평가!$7:$7,0)-1,FALSE),"")</f>
        <v>0</v>
      </c>
      <c r="U24" s="36">
        <f>IFERROR(VLOOKUP($B24,[5]평가!$B:$Z,MATCH(LEFT(U$2,2),[5]평가!$7:$7,0)-1,FALSE),"")</f>
        <v>84</v>
      </c>
      <c r="V24" s="39">
        <f>IFERROR(VLOOKUP($B24,[5]평가!$B:$Z,MATCH(LEFT(V$2,2),[5]평가!$7:$7,0)-1,FALSE),"")</f>
        <v>20</v>
      </c>
      <c r="W24" s="33">
        <f>IFERROR(VLOOKUP($B24,대상!$B:$AD,MATCH(W$2,대상!$1:$1,0)-1,FALSE),"")</f>
        <v>0</v>
      </c>
      <c r="X24" s="20">
        <f>IF(ISBLANK(B24),"",T$1-COUNTIF(H24:V24,"회피"))</f>
        <v>5</v>
      </c>
      <c r="Y24" s="21">
        <f>IF($T$1=X24,(SUM(I24,L24,O24,R24,U24)-MIN(I24,L24,O24,R24,U24)-MAX(I24,L24,O24,R24,U24))/($T$1-2),SUM(I24,L24,O24,R24,U24/X24))</f>
        <v>80.666666666666671</v>
      </c>
      <c r="Z24" s="40">
        <f>IFERROR(VLOOKUP($B24,대상!$B:$AD,MATCH(Z$2,대상!$1:$1,0)-1,FALSE),0)</f>
        <v>2</v>
      </c>
      <c r="AA24" s="41">
        <f>IFERROR(IF(W24="면제","100"+Z24,Y24+Z24),"")</f>
        <v>82.666666666666671</v>
      </c>
      <c r="AB24" s="35" t="str">
        <f>IF(OR(W24="면제",N(Y24)=0),"",IF(AA24&lt;60,"과락",""))</f>
        <v/>
      </c>
      <c r="AC24" s="54">
        <f>IF(N(AA24)=0,"",RANK(AA24,AA$3:AA$202))</f>
        <v>24</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①-사업화 아이템의 성공가능성 향상 및 사업의 지속성 확보를 위하여 보다 상세한 마케팅 전략에 대한 고민이 필요해 보입니다.
-정부지원사업의 성격을 고려하여 보다 구체적이고 정량적 성과목표제시가 아쉽습니다. _x000D_②대표의 역량이 높고 관련 시장 조사 및 분석이 우수하며 향후 시장 진입력이 높을 것으로 평가되나 영업 확장성이 낮아 지속적 성장에 대한 대응 전략이 미흡함 _x000D_③창업 동기와 문제 해결의 필요성, 기술추진 의지가 설득력 있게 제시되었습니다. 
다만, 독보적인 경쟁력을 증명하기 위한 객관적 지표와 추가 보완이 필요합니다. _x000D_④창업아이템의 개발 배경과 목적이 비교적 명확하게 제시되었으나, 목표 시장과 고객에 대한 이해 수준이 다소 부족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인체에 대한 유해성이나 이에 준하는 객관성 있는 자료가 보완될 필요가 있다.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hidden="1" customHeight="1" x14ac:dyDescent="0.35">
      <c r="A25" s="4">
        <v>118</v>
      </c>
      <c r="B25" s="2">
        <v>20429165</v>
      </c>
      <c r="C25" s="38" t="str">
        <f>IFERROR(VLOOKUP($B25,대상!$B:$AC,MATCH(C$2,대상!$1:$1,0)-1,FALSE),"")</f>
        <v>지역기반</v>
      </c>
      <c r="D25" s="38" t="str">
        <f>IFERROR(VLOOKUP($B25,대상!$B:$AC,MATCH(D$2,대상!$1:$1,0)-1,FALSE),"")</f>
        <v>고현일</v>
      </c>
      <c r="E25" s="36" t="str">
        <f>IFERROR(VLOOKUP($B25,대상!$B:$AC,MATCH(E$2,대상!$1:$1,0)-1,FALSE),"")</f>
        <v>화공ㆍ섬유</v>
      </c>
      <c r="F25" s="38" t="str">
        <f>IFERROR(VLOOKUP($B25,대상!$B:$AC,MATCH(F$2,대상!$1:$1,0)-1,FALSE),"")</f>
        <v>AI x IoT 기반 Off-Grid 재난·안전 대응 스마트 모바일 쉘터</v>
      </c>
      <c r="G25" s="38" t="str">
        <f>IFERROR(VLOOKUP($B25,대상!$B:$AC,MATCH(G$2,대상!$1:$1,0)-1,FALSE),"")</f>
        <v/>
      </c>
      <c r="H25" s="33">
        <f>IFERROR(VLOOKUP($B25,[1]평가!$B:$Z,MATCH(LEFT(H$2,2),[1]평가!$7:$7,0)-1,FALSE),"")</f>
        <v>0</v>
      </c>
      <c r="I25" s="36">
        <f>IFERROR(VLOOKUP($B25,[1]평가!$B:$Z,MATCH(LEFT(I$2,2),[1]평가!$7:$7,0)-1,FALSE),"")</f>
        <v>79</v>
      </c>
      <c r="J25" s="36">
        <f>IFERROR(VLOOKUP($B25,[1]평가!$B:$Z,MATCH(LEFT(J$2,2),[1]평가!$7:$7,0)-1,FALSE),"")</f>
        <v>47</v>
      </c>
      <c r="K25" s="33">
        <f>IFERROR(VLOOKUP($B25,[2]평가!$B:$Z,MATCH(LEFT(K$2,2),[2]평가!$7:$7,0)-1,FALSE),"")</f>
        <v>0</v>
      </c>
      <c r="L25" s="36">
        <f>IFERROR(VLOOKUP($B25,[2]평가!$B:$Z,MATCH(LEFT(L$2,2),[2]평가!$7:$7,0)-1,FALSE),"")</f>
        <v>89</v>
      </c>
      <c r="M25" s="39">
        <f>IFERROR(VLOOKUP($B25,[2]평가!$B:$Z,MATCH(LEFT(M$2,2),[2]평가!$7:$7,0)-1,FALSE),"")</f>
        <v>9</v>
      </c>
      <c r="N25" s="33">
        <f>IFERROR(VLOOKUP($B25,[3]평가!$B:$Z,MATCH(LEFT(N$2,2),[3]평가!$7:$7,0)-1,FALSE),"")</f>
        <v>0</v>
      </c>
      <c r="O25" s="36">
        <f>IFERROR(VLOOKUP($B25,[3]평가!$B:$Z,MATCH(LEFT(O$2,2),[3]평가!$7:$7,0)-1,FALSE),"")</f>
        <v>84</v>
      </c>
      <c r="P25" s="39">
        <f>IFERROR(VLOOKUP($B25,[3]평가!$B:$Z,MATCH(LEFT(P$2,2),[3]평가!$7:$7,0)-1,FALSE),"")</f>
        <v>31</v>
      </c>
      <c r="Q25" s="33">
        <f>IFERROR(VLOOKUP($B25,[4]평가!$B:$Z,MATCH(LEFT(Q$2,2),[4]평가!$7:$7,0)-1,FALSE),"")</f>
        <v>0</v>
      </c>
      <c r="R25" s="36">
        <f>IFERROR(VLOOKUP($B25,[4]평가!$B:$Z,MATCH(LEFT(R$2,2),[4]평가!$7:$7,0)-1,FALSE),"")</f>
        <v>85</v>
      </c>
      <c r="S25" s="39">
        <f>IFERROR(VLOOKUP($B25,[4]평가!$B:$Z,MATCH(LEFT(S$2,2),[4]평가!$7:$7,0)-1,FALSE),"")</f>
        <v>31</v>
      </c>
      <c r="T25" s="33">
        <f>IFERROR(VLOOKUP($B25,[5]평가!$B:$Z,MATCH(LEFT(T$2,2),[5]평가!$7:$7,0)-1,FALSE),"")</f>
        <v>0</v>
      </c>
      <c r="U25" s="36">
        <f>IFERROR(VLOOKUP($B25,[5]평가!$B:$Z,MATCH(LEFT(U$2,2),[5]평가!$7:$7,0)-1,FALSE),"")</f>
        <v>65</v>
      </c>
      <c r="V25" s="39">
        <f>IFERROR(VLOOKUP($B25,[5]평가!$B:$Z,MATCH(LEFT(V$2,2),[5]평가!$7:$7,0)-1,FALSE),"")</f>
        <v>108</v>
      </c>
      <c r="W25" s="33">
        <f>IFERROR(VLOOKUP($B25,대상!$B:$AD,MATCH(W$2,대상!$1:$1,0)-1,FALSE),"")</f>
        <v>0</v>
      </c>
      <c r="X25" s="20">
        <f>IF(ISBLANK(B25),"",T$1-COUNTIF(H25:V25,"회피"))</f>
        <v>5</v>
      </c>
      <c r="Y25" s="21">
        <f>IF($T$1=X25,(SUM(I25,L25,O25,R25,U25)-MIN(I25,L25,O25,R25,U25)-MAX(I25,L25,O25,R25,U25))/($T$1-2),SUM(I25,L25,O25,R25,U25/X25))</f>
        <v>82.666666666666671</v>
      </c>
      <c r="Z25" s="40">
        <f>IFERROR(VLOOKUP($B25,대상!$B:$AD,MATCH(Z$2,대상!$1:$1,0)-1,FALSE),0)</f>
        <v>0</v>
      </c>
      <c r="AA25" s="41">
        <f>IFERROR(IF(W25="면제","100"+Z25,Y25+Z25),"")</f>
        <v>82.666666666666671</v>
      </c>
      <c r="AB25" s="35" t="str">
        <f>IF(OR(W25="면제",N(Y25)=0),"",IF(AA25&lt;60,"과락",""))</f>
        <v/>
      </c>
      <c r="AC25" s="54">
        <f>IF(N(AA25)=0,"",RANK(AA25,AA$3:AA$202))</f>
        <v>24</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신규성과 기존 제품과의 차별성이 있고 펀딩 유치 등 해외 영업 기반 구축도 완료되어 사업화 가능성은 높을 것으로 판단됨.  과제 기업의 역량이 높고 지적 재산권 등 제품 독창성과 독점적 위치 확보가 된 상태로 확인됨 _x000D_③시장 타겟팅과 수익 구조의 틀은 잘 잡혀 있습니다.
기술적 특징과 향후 개발 경로가 직관적으로 서술되었습니다. 세부적인 매출 파이프라인과 실질적인 시장 침투 전략은 구체화가 더 필요해 보입니다.  _x000D_④창업 동기와 문제 인식이 비교적 명확하게 제시가 되어 있으며, 사업화 가능성을 검토한 수준도 비교적 양호하다고 판단 됨.  _x000D_⑤AI와 IOT가 연계된 안전 대응 스마트 모바일 쉘터 사업을 기반으로 재난 대응 및 안전을 위한 방안들이 잘 기술되어져 있으나, 실제 안전성이나 이를 검증하기 위한 방안들이 제시되어 있지 않아 보완이 필요함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hidden="1" customHeight="1" x14ac:dyDescent="0.35">
      <c r="A26" s="4">
        <v>47</v>
      </c>
      <c r="B26" s="2">
        <v>20410189</v>
      </c>
      <c r="C26" s="38" t="str">
        <f>IFERROR(VLOOKUP($B26,대상!$B:$AC,MATCH(C$2,대상!$1:$1,0)-1,FALSE),"")</f>
        <v>지역기반</v>
      </c>
      <c r="D26" s="38" t="str">
        <f>IFERROR(VLOOKUP($B26,대상!$B:$AC,MATCH(D$2,대상!$1:$1,0)-1,FALSE),"")</f>
        <v>황현두</v>
      </c>
      <c r="E26" s="36" t="str">
        <f>IFERROR(VLOOKUP($B26,대상!$B:$AC,MATCH(E$2,대상!$1:$1,0)-1,FALSE),"")</f>
        <v>화공ㆍ섬유</v>
      </c>
      <c r="F26" s="38" t="str">
        <f>IFERROR(VLOOKUP($B26,대상!$B:$AC,MATCH(F$2,대상!$1:$1,0)-1,FALSE),"")</f>
        <v>모듈형 교체식 관절 연동 체결 기술을 적용한 소프트 스윔베이트 (Soft Swim Bait Incorporating Modular Interchangeable Articulated Joint Coupling Technology)</v>
      </c>
      <c r="G26" s="38" t="str">
        <f>IFERROR(VLOOKUP($B26,대상!$B:$AC,MATCH(G$2,대상!$1:$1,0)-1,FALSE),"")</f>
        <v/>
      </c>
      <c r="H26" s="33">
        <f>IFERROR(VLOOKUP($B26,[1]평가!$B:$Z,MATCH(LEFT(H$2,2),[1]평가!$7:$7,0)-1,FALSE),"")</f>
        <v>0</v>
      </c>
      <c r="I26" s="36">
        <f>IFERROR(VLOOKUP($B26,[1]평가!$B:$Z,MATCH(LEFT(I$2,2),[1]평가!$7:$7,0)-1,FALSE),"")</f>
        <v>77</v>
      </c>
      <c r="J26" s="36">
        <f>IFERROR(VLOOKUP($B26,[1]평가!$B:$Z,MATCH(LEFT(J$2,2),[1]평가!$7:$7,0)-1,FALSE),"")</f>
        <v>70</v>
      </c>
      <c r="K26" s="33">
        <f>IFERROR(VLOOKUP($B26,[2]평가!$B:$Z,MATCH(LEFT(K$2,2),[2]평가!$7:$7,0)-1,FALSE),"")</f>
        <v>0</v>
      </c>
      <c r="L26" s="36">
        <f>IFERROR(VLOOKUP($B26,[2]평가!$B:$Z,MATCH(LEFT(L$2,2),[2]평가!$7:$7,0)-1,FALSE),"")</f>
        <v>78</v>
      </c>
      <c r="M26" s="39">
        <f>IFERROR(VLOOKUP($B26,[2]평가!$B:$Z,MATCH(LEFT(M$2,2),[2]평가!$7:$7,0)-1,FALSE),"")</f>
        <v>55</v>
      </c>
      <c r="N26" s="33">
        <f>IFERROR(VLOOKUP($B26,[3]평가!$B:$Z,MATCH(LEFT(N$2,2),[3]평가!$7:$7,0)-1,FALSE),"")</f>
        <v>0</v>
      </c>
      <c r="O26" s="36">
        <f>IFERROR(VLOOKUP($B26,[3]평가!$B:$Z,MATCH(LEFT(O$2,2),[3]평가!$7:$7,0)-1,FALSE),"")</f>
        <v>82</v>
      </c>
      <c r="P26" s="39">
        <f>IFERROR(VLOOKUP($B26,[3]평가!$B:$Z,MATCH(LEFT(P$2,2),[3]평가!$7:$7,0)-1,FALSE),"")</f>
        <v>42</v>
      </c>
      <c r="Q26" s="33">
        <f>IFERROR(VLOOKUP($B26,[4]평가!$B:$Z,MATCH(LEFT(Q$2,2),[4]평가!$7:$7,0)-1,FALSE),"")</f>
        <v>0</v>
      </c>
      <c r="R26" s="36">
        <f>IFERROR(VLOOKUP($B26,[4]평가!$B:$Z,MATCH(LEFT(R$2,2),[4]평가!$7:$7,0)-1,FALSE),"")</f>
        <v>89</v>
      </c>
      <c r="S26" s="39">
        <f>IFERROR(VLOOKUP($B26,[4]평가!$B:$Z,MATCH(LEFT(S$2,2),[4]평가!$7:$7,0)-1,FALSE),"")</f>
        <v>10</v>
      </c>
      <c r="T26" s="33">
        <f>IFERROR(VLOOKUP($B26,[5]평가!$B:$Z,MATCH(LEFT(T$2,2),[5]평가!$7:$7,0)-1,FALSE),"")</f>
        <v>0</v>
      </c>
      <c r="U26" s="36">
        <f>IFERROR(VLOOKUP($B26,[5]평가!$B:$Z,MATCH(LEFT(U$2,2),[5]평가!$7:$7,0)-1,FALSE),"")</f>
        <v>86</v>
      </c>
      <c r="V26" s="39">
        <f>IFERROR(VLOOKUP($B26,[5]평가!$B:$Z,MATCH(LEFT(V$2,2),[5]평가!$7:$7,0)-1,FALSE),"")</f>
        <v>20</v>
      </c>
      <c r="W26" s="33">
        <f>IFERROR(VLOOKUP($B26,대상!$B:$AD,MATCH(W$2,대상!$1:$1,0)-1,FALSE),"")</f>
        <v>0</v>
      </c>
      <c r="X26" s="20">
        <f>IF(ISBLANK(B26),"",T$1-COUNTIF(H26:V26,"회피"))</f>
        <v>5</v>
      </c>
      <c r="Y26" s="21">
        <f>IF($T$1=X26,(SUM(I26,L26,O26,R26,U26)-MIN(I26,L26,O26,R26,U26)-MAX(I26,L26,O26,R26,U26))/($T$1-2),SUM(I26,L26,O26,R26,U26/X26))</f>
        <v>82</v>
      </c>
      <c r="Z26" s="40">
        <f>IFERROR(VLOOKUP($B26,대상!$B:$AD,MATCH(Z$2,대상!$1:$1,0)-1,FALSE),0)</f>
        <v>0</v>
      </c>
      <c r="AA26" s="41">
        <f>IFERROR(IF(W26="면제","100"+Z26,Y26+Z26),"")</f>
        <v>82</v>
      </c>
      <c r="AB26" s="35" t="str">
        <f>IF(OR(W26="면제",N(Y26)=0),"",IF(AA26&lt;60,"과락",""))</f>
        <v/>
      </c>
      <c r="AC26" s="54">
        <f>IF(N(AA26)=0,"",RANK(AA26,AA$3:AA$202))</f>
        <v>26</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①-기존시장의 유사제품에 대한 경쟁요소 발굴을 통해 경쟁력있는 마케팅 이슈 도출에 대한 고민이 필요해 보입니다.
-창업지원사업의 성격에 적합한 성과 지표 제시 및 달성방안에 대한 고민이 필요해 보입니다. _x000D_②스윔 베이터의 단점에 대한 파악과 시장 요구성에 대한 조사가 양호하고 개발 제품의 시장성도 높을 것으로 예상됨. 국내 시장 규모 및 활용방안 및 판매 전략 수립 등도 양호하게 제시되었으나 가격 경쟁력 확보가 어렵고 시장 진입시 문제점 제시 및 대응 전략이 미흡함 _x000D_③아이템의 핵심 기능과 구체적인 활용 방안이 잘 정리되어 있으며, 기술적 구현 방법과 사업화 전략이 논리적으로 연결됩니다. 다만, 이러한 차별성이 실질적인 기술적 우위로 이어지는 근거가 다소 부족합니다.  _x000D_④창업아이템의 개발 배경과 목적이 명확하게 제시가 되어 있고, 사업계획의 방향성과 구체성도 비교적 적절한 것으로 판단 됨. _x000D_⑤기존의 하드베이트 이상의 소프트 베이트 모듈결합형 제품 개발을 통해 루어낚시 시장의 제품시장 확대와 이를 위한 기술력 및 마케팅 능력등에 대해 충분히 잘 설명되어져 있다. 다만, 기존 해외제품들의 성능과 기술력이 포화된 HIGH END 시장의 빠른 진입을 위해서는 시장에서의 성능대비 가격경쟁력 확보와 다양한 온라인에서의 홍보채널망을 통해 해외시장의 진출이 우선검토되어야 할 것이다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hidden="1" customHeight="1" x14ac:dyDescent="0.35">
      <c r="A27" s="4">
        <v>88</v>
      </c>
      <c r="B27" s="2">
        <v>20428180</v>
      </c>
      <c r="C27" s="38" t="str">
        <f>IFERROR(VLOOKUP($B27,대상!$B:$AC,MATCH(C$2,대상!$1:$1,0)-1,FALSE),"")</f>
        <v>지역기반</v>
      </c>
      <c r="D27" s="38" t="str">
        <f>IFERROR(VLOOKUP($B27,대상!$B:$AC,MATCH(D$2,대상!$1:$1,0)-1,FALSE),"")</f>
        <v>이미숙</v>
      </c>
      <c r="E27" s="36" t="str">
        <f>IFERROR(VLOOKUP($B27,대상!$B:$AC,MATCH(E$2,대상!$1:$1,0)-1,FALSE),"")</f>
        <v>화공ㆍ섬유</v>
      </c>
      <c r="F27" s="38" t="str">
        <f>IFERROR(VLOOKUP($B27,대상!$B:$AC,MATCH(F$2,대상!$1:$1,0)-1,FALSE),"")</f>
        <v>소각되는 우유팩을 고부가가치 ‘비건 레더’로 재탄생시켜, 공공기관의녹색제품 구매 딜레마를 해결하는 ‘실속형 ESG 오피스 키트’ 제품</v>
      </c>
      <c r="G27" s="38" t="str">
        <f>IFERROR(VLOOKUP($B27,대상!$B:$AC,MATCH(G$2,대상!$1:$1,0)-1,FALSE),"")</f>
        <v/>
      </c>
      <c r="H27" s="33">
        <f>IFERROR(VLOOKUP($B27,[1]평가!$B:$Z,MATCH(LEFT(H$2,2),[1]평가!$7:$7,0)-1,FALSE),"")</f>
        <v>0</v>
      </c>
      <c r="I27" s="36">
        <f>IFERROR(VLOOKUP($B27,[1]평가!$B:$Z,MATCH(LEFT(I$2,2),[1]평가!$7:$7,0)-1,FALSE),"")</f>
        <v>73</v>
      </c>
      <c r="J27" s="36">
        <f>IFERROR(VLOOKUP($B27,[1]평가!$B:$Z,MATCH(LEFT(J$2,2),[1]평가!$7:$7,0)-1,FALSE),"")</f>
        <v>97</v>
      </c>
      <c r="K27" s="33">
        <f>IFERROR(VLOOKUP($B27,[2]평가!$B:$Z,MATCH(LEFT(K$2,2),[2]평가!$7:$7,0)-1,FALSE),"")</f>
        <v>0</v>
      </c>
      <c r="L27" s="36">
        <f>IFERROR(VLOOKUP($B27,[2]평가!$B:$Z,MATCH(LEFT(L$2,2),[2]평가!$7:$7,0)-1,FALSE),"")</f>
        <v>82</v>
      </c>
      <c r="M27" s="39">
        <f>IFERROR(VLOOKUP($B27,[2]평가!$B:$Z,MATCH(LEFT(M$2,2),[2]평가!$7:$7,0)-1,FALSE),"")</f>
        <v>34</v>
      </c>
      <c r="N27" s="33">
        <f>IFERROR(VLOOKUP($B27,[3]평가!$B:$Z,MATCH(LEFT(N$2,2),[3]평가!$7:$7,0)-1,FALSE),"")</f>
        <v>0</v>
      </c>
      <c r="O27" s="36">
        <f>IFERROR(VLOOKUP($B27,[3]평가!$B:$Z,MATCH(LEFT(O$2,2),[3]평가!$7:$7,0)-1,FALSE),"")</f>
        <v>87</v>
      </c>
      <c r="P27" s="39">
        <f>IFERROR(VLOOKUP($B27,[3]평가!$B:$Z,MATCH(LEFT(P$2,2),[3]평가!$7:$7,0)-1,FALSE),"")</f>
        <v>11</v>
      </c>
      <c r="Q27" s="33">
        <f>IFERROR(VLOOKUP($B27,[4]평가!$B:$Z,MATCH(LEFT(Q$2,2),[4]평가!$7:$7,0)-1,FALSE),"")</f>
        <v>0</v>
      </c>
      <c r="R27" s="36">
        <f>IFERROR(VLOOKUP($B27,[4]평가!$B:$Z,MATCH(LEFT(R$2,2),[4]평가!$7:$7,0)-1,FALSE),"")</f>
        <v>85</v>
      </c>
      <c r="S27" s="39">
        <f>IFERROR(VLOOKUP($B27,[4]평가!$B:$Z,MATCH(LEFT(S$2,2),[4]평가!$7:$7,0)-1,FALSE),"")</f>
        <v>31</v>
      </c>
      <c r="T27" s="33">
        <f>IFERROR(VLOOKUP($B27,[5]평가!$B:$Z,MATCH(LEFT(T$2,2),[5]평가!$7:$7,0)-1,FALSE),"")</f>
        <v>0</v>
      </c>
      <c r="U27" s="36">
        <f>IFERROR(VLOOKUP($B27,[5]평가!$B:$Z,MATCH(LEFT(U$2,2),[5]평가!$7:$7,0)-1,FALSE),"")</f>
        <v>79</v>
      </c>
      <c r="V27" s="39">
        <f>IFERROR(VLOOKUP($B27,[5]평가!$B:$Z,MATCH(LEFT(V$2,2),[5]평가!$7:$7,0)-1,FALSE),"")</f>
        <v>43</v>
      </c>
      <c r="W27" s="33">
        <f>IFERROR(VLOOKUP($B27,대상!$B:$AD,MATCH(W$2,대상!$1:$1,0)-1,FALSE),"")</f>
        <v>0</v>
      </c>
      <c r="X27" s="20">
        <f>IF(ISBLANK(B27),"",T$1-COUNTIF(H27:V27,"회피"))</f>
        <v>5</v>
      </c>
      <c r="Y27" s="21">
        <f>IF($T$1=X27,(SUM(I27,L27,O27,R27,U27)-MIN(I27,L27,O27,R27,U27)-MAX(I27,L27,O27,R27,U27))/($T$1-2),SUM(I27,L27,O27,R27,U27/X27))</f>
        <v>82</v>
      </c>
      <c r="Z27" s="40">
        <f>IFERROR(VLOOKUP($B27,대상!$B:$AD,MATCH(Z$2,대상!$1:$1,0)-1,FALSE),0)</f>
        <v>0</v>
      </c>
      <c r="AA27" s="41">
        <f>IFERROR(IF(W27="면제","100"+Z27,Y27+Z27),"")</f>
        <v>82</v>
      </c>
      <c r="AB27" s="35" t="str">
        <f>IF(OR(W27="면제",N(Y27)=0),"",IF(AA27&lt;60,"과락",""))</f>
        <v/>
      </c>
      <c r="AC27" s="54">
        <f>IF(N(AA27)=0,"",RANK(AA27,AA$3:AA$202))</f>
        <v>26</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_x000D_②폐자원 활용 및 친환경 제품 개발로 기존 제품과의 차별성과 기술적 역량이 있는 것으로 판단되나 개발 제품의 성능 평가 및 경쟁 제품에 대한 비교 분석 자료가 부족함.  조달 및 친환경 선호 수요처에 대한 영업력 확대는 가능할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_x000D_④아이템의 기술수요와 개발 방향이 이해하기 쉽게 작성되었으며,  사업화 가능성을 검토한 수준도 양호하다고 판단 됨. _x000D_⑤폐식품 포장재 업사이크을 활용한 굿즈 및 사무용품을 활용한 창업아이템으로 사업전반의 내용과 기술력 확보에 대한 부분을 충분히 잘 설명하고 있다. 다만, 친환경성을 지니고 있다고 하더라도 굿즈 특성상 해당 아이템들의 가격 경쟁력이 충분히 확보되어져 있는지 객관적인 자료가 나타나 있지 않으며, 폐자원의 확보 방안에 대해서도 구체화 할 필요가 있다.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hidden="1" customHeight="1" x14ac:dyDescent="0.35">
      <c r="A28" s="4">
        <v>106</v>
      </c>
      <c r="B28" s="2">
        <v>20404514</v>
      </c>
      <c r="C28" s="38" t="str">
        <f>IFERROR(VLOOKUP($B28,대상!$B:$AC,MATCH(C$2,대상!$1:$1,0)-1,FALSE),"")</f>
        <v>지역기반</v>
      </c>
      <c r="D28" s="38" t="str">
        <f>IFERROR(VLOOKUP($B28,대상!$B:$AC,MATCH(D$2,대상!$1:$1,0)-1,FALSE),"")</f>
        <v>이현경</v>
      </c>
      <c r="E28" s="36" t="str">
        <f>IFERROR(VLOOKUP($B28,대상!$B:$AC,MATCH(E$2,대상!$1:$1,0)-1,FALSE),"")</f>
        <v>화공ㆍ섬유</v>
      </c>
      <c r="F28" s="38" t="str">
        <f>IFERROR(VLOOKUP($B28,대상!$B:$AC,MATCH(F$2,대상!$1:$1,0)-1,FALSE),"")</f>
        <v>건조기/스타일러 겸용 로컬라이징 천연 섬유유연제 시트 개발</v>
      </c>
      <c r="G28" s="38" t="str">
        <f>IFERROR(VLOOKUP($B28,대상!$B:$AC,MATCH(G$2,대상!$1:$1,0)-1,FALSE),"")</f>
        <v/>
      </c>
      <c r="H28" s="33">
        <f>IFERROR(VLOOKUP($B28,[1]평가!$B:$Z,MATCH(LEFT(H$2,2),[1]평가!$7:$7,0)-1,FALSE),"")</f>
        <v>0</v>
      </c>
      <c r="I28" s="36">
        <f>IFERROR(VLOOKUP($B28,[1]평가!$B:$Z,MATCH(LEFT(I$2,2),[1]평가!$7:$7,0)-1,FALSE),"")</f>
        <v>84</v>
      </c>
      <c r="J28" s="36">
        <f>IFERROR(VLOOKUP($B28,[1]평가!$B:$Z,MATCH(LEFT(J$2,2),[1]평가!$7:$7,0)-1,FALSE),"")</f>
        <v>19</v>
      </c>
      <c r="K28" s="33">
        <f>IFERROR(VLOOKUP($B28,[2]평가!$B:$Z,MATCH(LEFT(K$2,2),[2]평가!$7:$7,0)-1,FALSE),"")</f>
        <v>0</v>
      </c>
      <c r="L28" s="36">
        <f>IFERROR(VLOOKUP($B28,[2]평가!$B:$Z,MATCH(LEFT(L$2,2),[2]평가!$7:$7,0)-1,FALSE),"")</f>
        <v>69</v>
      </c>
      <c r="M28" s="39">
        <f>IFERROR(VLOOKUP($B28,[2]평가!$B:$Z,MATCH(LEFT(M$2,2),[2]평가!$7:$7,0)-1,FALSE),"")</f>
        <v>88</v>
      </c>
      <c r="N28" s="33">
        <f>IFERROR(VLOOKUP($B28,[3]평가!$B:$Z,MATCH(LEFT(N$2,2),[3]평가!$7:$7,0)-1,FALSE),"")</f>
        <v>0</v>
      </c>
      <c r="O28" s="36">
        <f>IFERROR(VLOOKUP($B28,[3]평가!$B:$Z,MATCH(LEFT(O$2,2),[3]평가!$7:$7,0)-1,FALSE),"")</f>
        <v>87</v>
      </c>
      <c r="P28" s="39">
        <f>IFERROR(VLOOKUP($B28,[3]평가!$B:$Z,MATCH(LEFT(P$2,2),[3]평가!$7:$7,0)-1,FALSE),"")</f>
        <v>11</v>
      </c>
      <c r="Q28" s="33">
        <f>IFERROR(VLOOKUP($B28,[4]평가!$B:$Z,MATCH(LEFT(Q$2,2),[4]평가!$7:$7,0)-1,FALSE),"")</f>
        <v>0</v>
      </c>
      <c r="R28" s="36">
        <f>IFERROR(VLOOKUP($B28,[4]평가!$B:$Z,MATCH(LEFT(R$2,2),[4]평가!$7:$7,0)-1,FALSE),"")</f>
        <v>78</v>
      </c>
      <c r="S28" s="39">
        <f>IFERROR(VLOOKUP($B28,[4]평가!$B:$Z,MATCH(LEFT(S$2,2),[4]평가!$7:$7,0)-1,FALSE),"")</f>
        <v>66</v>
      </c>
      <c r="T28" s="33">
        <f>IFERROR(VLOOKUP($B28,[5]평가!$B:$Z,MATCH(LEFT(T$2,2),[5]평가!$7:$7,0)-1,FALSE),"")</f>
        <v>0</v>
      </c>
      <c r="U28" s="36">
        <f>IFERROR(VLOOKUP($B28,[5]평가!$B:$Z,MATCH(LEFT(U$2,2),[5]평가!$7:$7,0)-1,FALSE),"")</f>
        <v>84</v>
      </c>
      <c r="V28" s="39">
        <f>IFERROR(VLOOKUP($B28,[5]평가!$B:$Z,MATCH(LEFT(V$2,2),[5]평가!$7:$7,0)-1,FALSE),"")</f>
        <v>30</v>
      </c>
      <c r="W28" s="33">
        <f>IFERROR(VLOOKUP($B28,대상!$B:$AD,MATCH(W$2,대상!$1:$1,0)-1,FALSE),"")</f>
        <v>0</v>
      </c>
      <c r="X28" s="20">
        <f>IF(ISBLANK(B28),"",T$1-COUNTIF(H28:V28,"회피"))</f>
        <v>5</v>
      </c>
      <c r="Y28" s="21">
        <f>IF($T$1=X28,(SUM(I28,L28,O28,R28,U28)-MIN(I28,L28,O28,R28,U28)-MAX(I28,L28,O28,R28,U28))/($T$1-2),SUM(I28,L28,O28,R28,U28/X28))</f>
        <v>82</v>
      </c>
      <c r="Z28" s="40">
        <f>IFERROR(VLOOKUP($B28,대상!$B:$AD,MATCH(Z$2,대상!$1:$1,0)-1,FALSE),0)</f>
        <v>0</v>
      </c>
      <c r="AA28" s="41">
        <f>IFERROR(IF(W28="면제","100"+Z28,Y28+Z28),"")</f>
        <v>82</v>
      </c>
      <c r="AB28" s="35" t="str">
        <f>IF(OR(W28="면제",N(Y28)=0),"",IF(AA28&lt;60,"과락",""))</f>
        <v/>
      </c>
      <c r="AC28" s="54">
        <f>IF(N(AA28)=0,"",RANK(AA28,AA$3:AA$202))</f>
        <v>26</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_x000D_②기존 유사 제품과의 차별성이 미흡하고 시장 진입 가능성이 낮을 것으로 판단됨. 목표 제품 개발은 가능하나 기술적 난이도가 낮고 시장 경쟁력 확보가 어려울 것으로 판단되 _x000D_③기술적 특징과 향후 개발 경로가 직관적으로 서술되었습니다. 
세부적인 매출 파이프라인과 실질적인 시장 침투 전략은 구체화가 더 필요해 보입니다. _x000D_④창업 동기와 문제 인식은 비교적 명확하게 제시가 되어 있으나, 실제 차별성이 기술 우위로 연결되는 설명은 다소 미흠 함. _x000D_⑤기 개발된 창업아이템의 개발과 최적화 및 다양한 성능, 안전성 검증을 진행한 상태로 시장진입 능력 및 연구내용이 검증되어져 있다. 전반적으로 추진계획의 완성도는 양호한 것으로 보이나, 양산을 위한 팀 역량 측면에서는 추가 검토가 필요할 것으로 보인다.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hidden="1" customHeight="1" x14ac:dyDescent="0.35">
      <c r="A29" s="4">
        <v>15</v>
      </c>
      <c r="B29" s="2">
        <v>20420834</v>
      </c>
      <c r="C29" s="38" t="str">
        <f>IFERROR(VLOOKUP($B29,대상!$B:$AC,MATCH(C$2,대상!$1:$1,0)-1,FALSE),"")</f>
        <v>지역기반</v>
      </c>
      <c r="D29" s="38" t="str">
        <f>IFERROR(VLOOKUP($B29,대상!$B:$AC,MATCH(D$2,대상!$1:$1,0)-1,FALSE),"")</f>
        <v>김선호</v>
      </c>
      <c r="E29" s="36" t="str">
        <f>IFERROR(VLOOKUP($B29,대상!$B:$AC,MATCH(E$2,대상!$1:$1,0)-1,FALSE),"")</f>
        <v>화공ㆍ섬유</v>
      </c>
      <c r="F29" s="38" t="str">
        <f>IFERROR(VLOOKUP($B29,대상!$B:$AC,MATCH(F$2,대상!$1:$1,0)-1,FALSE),"")</f>
        <v>키토산 소재기반, 피부노폐물을 안전하고 효과적으로 제거할 수 있는 화장품용 미립자 소재회</v>
      </c>
      <c r="G29" s="38" t="str">
        <f>IFERROR(VLOOKUP($B29,대상!$B:$AC,MATCH(G$2,대상!$1:$1,0)-1,FALSE),"")</f>
        <v/>
      </c>
      <c r="H29" s="33">
        <f>IFERROR(VLOOKUP($B29,[1]평가!$B:$Z,MATCH(LEFT(H$2,2),[1]평가!$7:$7,0)-1,FALSE),"")</f>
        <v>0</v>
      </c>
      <c r="I29" s="36">
        <f>IFERROR(VLOOKUP($B29,[1]평가!$B:$Z,MATCH(LEFT(I$2,2),[1]평가!$7:$7,0)-1,FALSE),"")</f>
        <v>77</v>
      </c>
      <c r="J29" s="36">
        <f>IFERROR(VLOOKUP($B29,[1]평가!$B:$Z,MATCH(LEFT(J$2,2),[1]평가!$7:$7,0)-1,FALSE),"")</f>
        <v>47</v>
      </c>
      <c r="K29" s="33">
        <f>IFERROR(VLOOKUP($B29,[2]평가!$B:$Z,MATCH(LEFT(K$2,2),[2]평가!$7:$7,0)-1,FALSE),"")</f>
        <v>0</v>
      </c>
      <c r="L29" s="36">
        <f>IFERROR(VLOOKUP($B29,[2]평가!$B:$Z,MATCH(LEFT(L$2,2),[2]평가!$7:$7,0)-1,FALSE),"")</f>
        <v>75</v>
      </c>
      <c r="M29" s="39">
        <f>IFERROR(VLOOKUP($B29,[2]평가!$B:$Z,MATCH(LEFT(M$2,2),[2]평가!$7:$7,0)-1,FALSE),"")</f>
        <v>64</v>
      </c>
      <c r="N29" s="33">
        <f>IFERROR(VLOOKUP($B29,[3]평가!$B:$Z,MATCH(LEFT(N$2,2),[3]평가!$7:$7,0)-1,FALSE),"")</f>
        <v>0</v>
      </c>
      <c r="O29" s="36">
        <f>IFERROR(VLOOKUP($B29,[3]평가!$B:$Z,MATCH(LEFT(O$2,2),[3]평가!$7:$7,0)-1,FALSE),"")</f>
        <v>84</v>
      </c>
      <c r="P29" s="39">
        <f>IFERROR(VLOOKUP($B29,[3]평가!$B:$Z,MATCH(LEFT(P$2,2),[3]평가!$7:$7,0)-1,FALSE),"")</f>
        <v>20</v>
      </c>
      <c r="Q29" s="33">
        <f>IFERROR(VLOOKUP($B29,[4]평가!$B:$Z,MATCH(LEFT(Q$2,2),[4]평가!$7:$7,0)-1,FALSE),"")</f>
        <v>0</v>
      </c>
      <c r="R29" s="36">
        <f>IFERROR(VLOOKUP($B29,[4]평가!$B:$Z,MATCH(LEFT(R$2,2),[4]평가!$7:$7,0)-1,FALSE),"")</f>
        <v>78</v>
      </c>
      <c r="S29" s="39">
        <f>IFERROR(VLOOKUP($B29,[4]평가!$B:$Z,MATCH(LEFT(S$2,2),[4]평가!$7:$7,0)-1,FALSE),"")</f>
        <v>50</v>
      </c>
      <c r="T29" s="33">
        <f>IFERROR(VLOOKUP($B29,[5]평가!$B:$Z,MATCH(LEFT(T$2,2),[5]평가!$7:$7,0)-1,FALSE),"")</f>
        <v>0</v>
      </c>
      <c r="U29" s="36">
        <f>IFERROR(VLOOKUP($B29,[5]평가!$B:$Z,MATCH(LEFT(U$2,2),[5]평가!$7:$7,0)-1,FALSE),"")</f>
        <v>85</v>
      </c>
      <c r="V29" s="39">
        <f>IFERROR(VLOOKUP($B29,[5]평가!$B:$Z,MATCH(LEFT(V$2,2),[5]평가!$7:$7,0)-1,FALSE),"")</f>
        <v>14</v>
      </c>
      <c r="W29" s="33">
        <f>IFERROR(VLOOKUP($B29,대상!$B:$AD,MATCH(W$2,대상!$1:$1,0)-1,FALSE),"")</f>
        <v>0</v>
      </c>
      <c r="X29" s="20">
        <f>IF(ISBLANK(B29),"",T$1-COUNTIF(H29:V29,"회피"))</f>
        <v>5</v>
      </c>
      <c r="Y29" s="21">
        <f>IF($T$1=X29,(SUM(I29,L29,O29,R29,U29)-MIN(I29,L29,O29,R29,U29)-MAX(I29,L29,O29,R29,U29))/($T$1-2),SUM(I29,L29,O29,R29,U29/X29))</f>
        <v>79.666666666666671</v>
      </c>
      <c r="Z29" s="40">
        <f>IFERROR(VLOOKUP($B29,대상!$B:$AD,MATCH(Z$2,대상!$1:$1,0)-1,FALSE),0)</f>
        <v>2</v>
      </c>
      <c r="AA29" s="41">
        <f>IFERROR(IF(W29="면제","100"+Z29,Y29+Z29),"")</f>
        <v>81.666666666666671</v>
      </c>
      <c r="AB29" s="35" t="str">
        <f>IF(OR(W29="면제",N(Y29)=0),"",IF(AA29&lt;60,"과락",""))</f>
        <v/>
      </c>
      <c r="AC29" s="54">
        <f>IF(N(AA29)=0,"",RANK(AA29,AA$3:AA$202))</f>
        <v>29</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①-사업의 지속성 확보 및 사업화 아이템의 경쟁력 확보를 위한 방안에 대하여 고민이 필요해 보입니다.
-사업화 아이템의 지속적 수익창출을 위해 기술적 독자성 확보 방안에 대해 고민해 볼 필요가 있어보입니다.
-사업화 아이템의 특성상 지속적인 원재료 확보방안에 고민이 필요해 보입니다. _x000D_②단계별 개발 방향은 양호하나 외부 설비활용에 의한 기술 보호와 관련 시장 진입 전략이 부족하고 시장성에 대한 사전 조사가 미흡함 _x000D_③아이템의 핵심 기능과 구체적인 활용 방안이 잘 정리되어 있으며, 기술적 구현 방법과 사업화 전략이 논리적으로 연결. 
전달하고자 하는 가치는 매력적이니 마케팅과 판로개척에 대해서는 추가적 검토 요구됨 _x000D_④창업아이템의 개발 배경과 목적이 비교적 명확하게 제시되었으나, 목표시장과 고객에 대한 이해 수준이 다소 부족 함. _x000D_⑤개발하고자 하는 제품에 대한 시장분석과 기존 제품들과의 차별성등이 잘 서술되어 있다. 우수한 세정력을 가진 미립자를 활용하여 시장진출의 방안까지 잘 설명되어져 있으나, 세정용 미립자 성분의 대체제로 제시된 원재료 가격으로 시장가격을 확보하는 방안에 충분히 설명이 필요할것으로 판단된다.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hidden="1" customHeight="1" x14ac:dyDescent="0.35">
      <c r="A30" s="4">
        <v>22</v>
      </c>
      <c r="B30" s="2">
        <v>20426667</v>
      </c>
      <c r="C30" s="38" t="str">
        <f>IFERROR(VLOOKUP($B30,대상!$B:$AC,MATCH(C$2,대상!$1:$1,0)-1,FALSE),"")</f>
        <v>지역기반</v>
      </c>
      <c r="D30" s="38" t="str">
        <f>IFERROR(VLOOKUP($B30,대상!$B:$AC,MATCH(D$2,대상!$1:$1,0)-1,FALSE),"")</f>
        <v>이민재</v>
      </c>
      <c r="E30" s="36" t="str">
        <f>IFERROR(VLOOKUP($B30,대상!$B:$AC,MATCH(E$2,대상!$1:$1,0)-1,FALSE),"")</f>
        <v>화공ㆍ섬유</v>
      </c>
      <c r="F30" s="38" t="str">
        <f>IFERROR(VLOOKUP($B30,대상!$B:$AC,MATCH(F$2,대상!$1:$1,0)-1,FALSE),"")</f>
        <v>민감성 피부를 위한 단계 조절형 분리형 스피큘 볼 스킨케어 세트</v>
      </c>
      <c r="G30" s="38" t="str">
        <f>IFERROR(VLOOKUP($B30,대상!$B:$AC,MATCH(G$2,대상!$1:$1,0)-1,FALSE),"")</f>
        <v/>
      </c>
      <c r="H30" s="33">
        <f>IFERROR(VLOOKUP($B30,[1]평가!$B:$Z,MATCH(LEFT(H$2,2),[1]평가!$7:$7,0)-1,FALSE),"")</f>
        <v>0</v>
      </c>
      <c r="I30" s="36">
        <f>IFERROR(VLOOKUP($B30,[1]평가!$B:$Z,MATCH(LEFT(I$2,2),[1]평가!$7:$7,0)-1,FALSE),"")</f>
        <v>81</v>
      </c>
      <c r="J30" s="36">
        <f>IFERROR(VLOOKUP($B30,[1]평가!$B:$Z,MATCH(LEFT(J$2,2),[1]평가!$7:$7,0)-1,FALSE),"")</f>
        <v>22</v>
      </c>
      <c r="K30" s="33">
        <f>IFERROR(VLOOKUP($B30,[2]평가!$B:$Z,MATCH(LEFT(K$2,2),[2]평가!$7:$7,0)-1,FALSE),"")</f>
        <v>0</v>
      </c>
      <c r="L30" s="36">
        <f>IFERROR(VLOOKUP($B30,[2]평가!$B:$Z,MATCH(LEFT(L$2,2),[2]평가!$7:$7,0)-1,FALSE),"")</f>
        <v>74</v>
      </c>
      <c r="M30" s="39">
        <f>IFERROR(VLOOKUP($B30,[2]평가!$B:$Z,MATCH(LEFT(M$2,2),[2]평가!$7:$7,0)-1,FALSE),"")</f>
        <v>67</v>
      </c>
      <c r="N30" s="33">
        <f>IFERROR(VLOOKUP($B30,[3]평가!$B:$Z,MATCH(LEFT(N$2,2),[3]평가!$7:$7,0)-1,FALSE),"")</f>
        <v>0</v>
      </c>
      <c r="O30" s="36">
        <f>IFERROR(VLOOKUP($B30,[3]평가!$B:$Z,MATCH(LEFT(O$2,2),[3]평가!$7:$7,0)-1,FALSE),"")</f>
        <v>81</v>
      </c>
      <c r="P30" s="39">
        <f>IFERROR(VLOOKUP($B30,[3]평가!$B:$Z,MATCH(LEFT(P$2,2),[3]평가!$7:$7,0)-1,FALSE),"")</f>
        <v>35</v>
      </c>
      <c r="Q30" s="33">
        <f>IFERROR(VLOOKUP($B30,[4]평가!$B:$Z,MATCH(LEFT(Q$2,2),[4]평가!$7:$7,0)-1,FALSE),"")</f>
        <v>0</v>
      </c>
      <c r="R30" s="36">
        <f>IFERROR(VLOOKUP($B30,[4]평가!$B:$Z,MATCH(LEFT(R$2,2),[4]평가!$7:$7,0)-1,FALSE),"")</f>
        <v>77</v>
      </c>
      <c r="S30" s="39">
        <f>IFERROR(VLOOKUP($B30,[4]평가!$B:$Z,MATCH(LEFT(S$2,2),[4]평가!$7:$7,0)-1,FALSE),"")</f>
        <v>58</v>
      </c>
      <c r="T30" s="33">
        <f>IFERROR(VLOOKUP($B30,[5]평가!$B:$Z,MATCH(LEFT(T$2,2),[5]평가!$7:$7,0)-1,FALSE),"")</f>
        <v>0</v>
      </c>
      <c r="U30" s="36">
        <f>IFERROR(VLOOKUP($B30,[5]평가!$B:$Z,MATCH(LEFT(U$2,2),[5]평가!$7:$7,0)-1,FALSE),"")</f>
        <v>84</v>
      </c>
      <c r="V30" s="39">
        <f>IFERROR(VLOOKUP($B30,[5]평가!$B:$Z,MATCH(LEFT(V$2,2),[5]평가!$7:$7,0)-1,FALSE),"")</f>
        <v>20</v>
      </c>
      <c r="W30" s="33">
        <f>IFERROR(VLOOKUP($B30,대상!$B:$AD,MATCH(W$2,대상!$1:$1,0)-1,FALSE),"")</f>
        <v>0</v>
      </c>
      <c r="X30" s="20">
        <f>IF(ISBLANK(B30),"",T$1-COUNTIF(H30:V30,"회피"))</f>
        <v>5</v>
      </c>
      <c r="Y30" s="21">
        <f>IF($T$1=X30,(SUM(I30,L30,O30,R30,U30)-MIN(I30,L30,O30,R30,U30)-MAX(I30,L30,O30,R30,U30))/($T$1-2),SUM(I30,L30,O30,R30,U30/X30))</f>
        <v>79.666666666666671</v>
      </c>
      <c r="Z30" s="40">
        <f>IFERROR(VLOOKUP($B30,대상!$B:$AD,MATCH(Z$2,대상!$1:$1,0)-1,FALSE),0)</f>
        <v>2</v>
      </c>
      <c r="AA30" s="41">
        <f>IFERROR(IF(W30="면제","100"+Z30,Y30+Z30),"")</f>
        <v>81.666666666666671</v>
      </c>
      <c r="AB30" s="35" t="str">
        <f>IF(OR(W30="면제",N(Y30)=0),"",IF(AA30&lt;60,"과락",""))</f>
        <v/>
      </c>
      <c r="AC30" s="54">
        <f>IF(N(AA30)=0,"",RANK(AA30,AA$3:AA$202))</f>
        <v>29</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①-사업화아이템의 특성상 경쟁제품에 대해 보다 다각적인 측면에서 차별화 요소 도출 및 후발 경쟁자의 진입 억제를 위한 지식재산권 확보방안 등 진입장벽 구축 방안에 대한 고민이 필욯 보입니다, 
- 창업지원 사업의 특성을 고려한 성과목표 제시 및 달성방안에 대한 설명이 보강되었으면 합니다.   _x000D_②기존 제품과의 차별성이 배합 기술로 인한 특이성외 유사성으로 인한 시장 대체 효과는 미흡할 것으로 판단되며 민감 피부 수요층에 대한 진입 전략이 자사몰로 한정되어 확장성이 부족함.  _x000D_③스피큘 소재를 활용한 아이템의 핵심 기능과 구체적인 활용 방안이 잘 정리되어 있으며, 사업화 전략이 논리적으로 연결됩니다
다만, 독보적인 경쟁력과 차별성을 증명하기 위한 시장에 대한 객관적 지표와 추가 보완이 필요합니다. _x000D_④아이템의 기술수요와 개발방향은 이해하기 쉽게 작성되었으나, 현재 개발 단계와 목표 수준의 구분은 다소 미흡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hidden="1" customHeight="1" x14ac:dyDescent="0.35">
      <c r="A31" s="4">
        <v>69</v>
      </c>
      <c r="B31" s="2">
        <v>20421819</v>
      </c>
      <c r="C31" s="38" t="str">
        <f>IFERROR(VLOOKUP($B31,대상!$B:$AC,MATCH(C$2,대상!$1:$1,0)-1,FALSE),"")</f>
        <v>지역기반</v>
      </c>
      <c r="D31" s="38" t="str">
        <f>IFERROR(VLOOKUP($B31,대상!$B:$AC,MATCH(D$2,대상!$1:$1,0)-1,FALSE),"")</f>
        <v>장진주</v>
      </c>
      <c r="E31" s="36" t="str">
        <f>IFERROR(VLOOKUP($B31,대상!$B:$AC,MATCH(E$2,대상!$1:$1,0)-1,FALSE),"")</f>
        <v>화공ㆍ섬유</v>
      </c>
      <c r="F31" s="38" t="str">
        <f>IFERROR(VLOOKUP($B31,대상!$B:$AC,MATCH(F$2,대상!$1:$1,0)-1,FALSE),"")</f>
        <v>노령견 피부장벽 예방 기능성 케어 크림 개발</v>
      </c>
      <c r="G31" s="38" t="str">
        <f>IFERROR(VLOOKUP($B31,대상!$B:$AC,MATCH(G$2,대상!$1:$1,0)-1,FALSE),"")</f>
        <v/>
      </c>
      <c r="H31" s="33">
        <f>IFERROR(VLOOKUP($B31,[1]평가!$B:$Z,MATCH(LEFT(H$2,2),[1]평가!$7:$7,0)-1,FALSE),"")</f>
        <v>0</v>
      </c>
      <c r="I31" s="36">
        <f>IFERROR(VLOOKUP($B31,[1]평가!$B:$Z,MATCH(LEFT(I$2,2),[1]평가!$7:$7,0)-1,FALSE),"")</f>
        <v>88</v>
      </c>
      <c r="J31" s="36">
        <f>IFERROR(VLOOKUP($B31,[1]평가!$B:$Z,MATCH(LEFT(J$2,2),[1]평가!$7:$7,0)-1,FALSE),"")</f>
        <v>10</v>
      </c>
      <c r="K31" s="33">
        <f>IFERROR(VLOOKUP($B31,[2]평가!$B:$Z,MATCH(LEFT(K$2,2),[2]평가!$7:$7,0)-1,FALSE),"")</f>
        <v>0</v>
      </c>
      <c r="L31" s="36">
        <f>IFERROR(VLOOKUP($B31,[2]평가!$B:$Z,MATCH(LEFT(L$2,2),[2]평가!$7:$7,0)-1,FALSE),"")</f>
        <v>87</v>
      </c>
      <c r="M31" s="39">
        <f>IFERROR(VLOOKUP($B31,[2]평가!$B:$Z,MATCH(LEFT(M$2,2),[2]평가!$7:$7,0)-1,FALSE),"")</f>
        <v>11</v>
      </c>
      <c r="N31" s="33">
        <f>IFERROR(VLOOKUP($B31,[3]평가!$B:$Z,MATCH(LEFT(N$2,2),[3]평가!$7:$7,0)-1,FALSE),"")</f>
        <v>0</v>
      </c>
      <c r="O31" s="36">
        <f>IFERROR(VLOOKUP($B31,[3]평가!$B:$Z,MATCH(LEFT(O$2,2),[3]평가!$7:$7,0)-1,FALSE),"")</f>
        <v>69</v>
      </c>
      <c r="P31" s="39">
        <f>IFERROR(VLOOKUP($B31,[3]평가!$B:$Z,MATCH(LEFT(P$2,2),[3]평가!$7:$7,0)-1,FALSE),"")</f>
        <v>88</v>
      </c>
      <c r="Q31" s="33">
        <f>IFERROR(VLOOKUP($B31,[4]평가!$B:$Z,MATCH(LEFT(Q$2,2),[4]평가!$7:$7,0)-1,FALSE),"")</f>
        <v>0</v>
      </c>
      <c r="R31" s="36">
        <f>IFERROR(VLOOKUP($B31,[4]평가!$B:$Z,MATCH(LEFT(R$2,2),[4]평가!$7:$7,0)-1,FALSE),"")</f>
        <v>75</v>
      </c>
      <c r="S31" s="39">
        <f>IFERROR(VLOOKUP($B31,[4]평가!$B:$Z,MATCH(LEFT(S$2,2),[4]평가!$7:$7,0)-1,FALSE),"")</f>
        <v>80</v>
      </c>
      <c r="T31" s="33">
        <f>IFERROR(VLOOKUP($B31,[5]평가!$B:$Z,MATCH(LEFT(T$2,2),[5]평가!$7:$7,0)-1,FALSE),"")</f>
        <v>0</v>
      </c>
      <c r="U31" s="36">
        <f>IFERROR(VLOOKUP($B31,[5]평가!$B:$Z,MATCH(LEFT(U$2,2),[5]평가!$7:$7,0)-1,FALSE),"")</f>
        <v>83</v>
      </c>
      <c r="V31" s="39">
        <f>IFERROR(VLOOKUP($B31,[5]평가!$B:$Z,MATCH(LEFT(V$2,2),[5]평가!$7:$7,0)-1,FALSE),"")</f>
        <v>33</v>
      </c>
      <c r="W31" s="33">
        <f>IFERROR(VLOOKUP($B31,대상!$B:$AD,MATCH(W$2,대상!$1:$1,0)-1,FALSE),"")</f>
        <v>0</v>
      </c>
      <c r="X31" s="20">
        <f>IF(ISBLANK(B31),"",T$1-COUNTIF(H31:V31,"회피"))</f>
        <v>5</v>
      </c>
      <c r="Y31" s="21">
        <f>IF($T$1=X31,(SUM(I31,L31,O31,R31,U31)-MIN(I31,L31,O31,R31,U31)-MAX(I31,L31,O31,R31,U31))/($T$1-2),SUM(I31,L31,O31,R31,U31/X31))</f>
        <v>81.666666666666671</v>
      </c>
      <c r="Z31" s="40">
        <f>IFERROR(VLOOKUP($B31,대상!$B:$AD,MATCH(Z$2,대상!$1:$1,0)-1,FALSE),0)</f>
        <v>0</v>
      </c>
      <c r="AA31" s="41">
        <f>IFERROR(IF(W31="면제","100"+Z31,Y31+Z31),"")</f>
        <v>81.666666666666671</v>
      </c>
      <c r="AB31" s="35" t="str">
        <f>IF(OR(W31="면제",N(Y31)=0),"",IF(AA31&lt;60,"과락",""))</f>
        <v/>
      </c>
      <c r="AC31" s="54">
        <f>IF(N(AA31)=0,"",RANK(AA31,AA$3:AA$202))</f>
        <v>29</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①-사업화 아이템의 특성을 고려하여 기존의 유사제품에 대한 차별화 요소를 바탕으로 세부적인 경쟁분석이 필요해 보입니다.
-사업의 지속성 확보를 위해 보다 구체적인 수익창출을 기반으로 하는 마케팅 전략에 대한 고민이 필요해 보입니다.
-창업지원사업의 특성을 고려한 정량적 성과지표 및 달성방안에 대한 설명이 필요해 보입니다.   _x000D_②노령견 피부케어의 특성화 개발 제품으로 제품의 독창성이 있고 시장 가능성도 높아 영업 연계가 충분할 것으로 판단됨.  다양한 제품 개발 대비 과제 개발 제품에 집중하는 영업 성장 전략의 효과가 높을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필요하다. _x000D_④창업 동기와 문제 인식은 비교적 명확하게 제시가 되어 있으나, 실제 차별성이 기술 우위로 연결되는 설명이 다소 미흠 함. _x000D_⑤반려동물을 위한 헬스케어 제품을 창업 아이템으로 하여 기존 견들의 피부예방 기능성 크림과의 비교를 통해 개발하는 제품의 성능을 명확히 제시하고 있으며, 가격과 시장성에 대해서도 잘 설명되어져 있다. 다만, 혁신적인 가격을 제시하기 위한 근거의 내용이 다소 부족해 보이며, 제시된 경쟁사대비의 피부안정화 효과에 대해서도 충분한 검증이 필요해 보이는 부분은 보완이 필요하다.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hidden="1" customHeight="1" x14ac:dyDescent="0.35">
      <c r="A32" s="4">
        <v>82</v>
      </c>
      <c r="B32" s="2">
        <v>20427195</v>
      </c>
      <c r="C32" s="38" t="str">
        <f>IFERROR(VLOOKUP($B32,대상!$B:$AC,MATCH(C$2,대상!$1:$1,0)-1,FALSE),"")</f>
        <v>지역기반</v>
      </c>
      <c r="D32" s="38" t="str">
        <f>IFERROR(VLOOKUP($B32,대상!$B:$AC,MATCH(D$2,대상!$1:$1,0)-1,FALSE),"")</f>
        <v>조영기</v>
      </c>
      <c r="E32" s="36" t="str">
        <f>IFERROR(VLOOKUP($B32,대상!$B:$AC,MATCH(E$2,대상!$1:$1,0)-1,FALSE),"")</f>
        <v>화공ㆍ섬유</v>
      </c>
      <c r="F32" s="38" t="str">
        <f>IFERROR(VLOOKUP($B32,대상!$B:$AC,MATCH(F$2,대상!$1:$1,0)-1,FALSE),"")</f>
        <v>제올라이트를 활용한 어싱길 포장재 개발</v>
      </c>
      <c r="G32" s="38" t="str">
        <f>IFERROR(VLOOKUP($B32,대상!$B:$AC,MATCH(G$2,대상!$1:$1,0)-1,FALSE),"")</f>
        <v/>
      </c>
      <c r="H32" s="33">
        <f>IFERROR(VLOOKUP($B32,[1]평가!$B:$Z,MATCH(LEFT(H$2,2),[1]평가!$7:$7,0)-1,FALSE),"")</f>
        <v>0</v>
      </c>
      <c r="I32" s="36">
        <f>IFERROR(VLOOKUP($B32,[1]평가!$B:$Z,MATCH(LEFT(I$2,2),[1]평가!$7:$7,0)-1,FALSE),"")</f>
        <v>83</v>
      </c>
      <c r="J32" s="36">
        <f>IFERROR(VLOOKUP($B32,[1]평가!$B:$Z,MATCH(LEFT(J$2,2),[1]평가!$7:$7,0)-1,FALSE),"")</f>
        <v>22</v>
      </c>
      <c r="K32" s="33">
        <f>IFERROR(VLOOKUP($B32,[2]평가!$B:$Z,MATCH(LEFT(K$2,2),[2]평가!$7:$7,0)-1,FALSE),"")</f>
        <v>0</v>
      </c>
      <c r="L32" s="36">
        <f>IFERROR(VLOOKUP($B32,[2]평가!$B:$Z,MATCH(LEFT(L$2,2),[2]평가!$7:$7,0)-1,FALSE),"")</f>
        <v>84</v>
      </c>
      <c r="M32" s="39">
        <f>IFERROR(VLOOKUP($B32,[2]평가!$B:$Z,MATCH(LEFT(M$2,2),[2]평가!$7:$7,0)-1,FALSE),"")</f>
        <v>21</v>
      </c>
      <c r="N32" s="33">
        <f>IFERROR(VLOOKUP($B32,[3]평가!$B:$Z,MATCH(LEFT(N$2,2),[3]평가!$7:$7,0)-1,FALSE),"")</f>
        <v>0</v>
      </c>
      <c r="O32" s="36">
        <f>IFERROR(VLOOKUP($B32,[3]평가!$B:$Z,MATCH(LEFT(O$2,2),[3]평가!$7:$7,0)-1,FALSE),"")</f>
        <v>85</v>
      </c>
      <c r="P32" s="39">
        <f>IFERROR(VLOOKUP($B32,[3]평가!$B:$Z,MATCH(LEFT(P$2,2),[3]평가!$7:$7,0)-1,FALSE),"")</f>
        <v>24</v>
      </c>
      <c r="Q32" s="33">
        <f>IFERROR(VLOOKUP($B32,[4]평가!$B:$Z,MATCH(LEFT(Q$2,2),[4]평가!$7:$7,0)-1,FALSE),"")</f>
        <v>0</v>
      </c>
      <c r="R32" s="36">
        <f>IFERROR(VLOOKUP($B32,[4]평가!$B:$Z,MATCH(LEFT(R$2,2),[4]평가!$7:$7,0)-1,FALSE),"")</f>
        <v>78</v>
      </c>
      <c r="S32" s="39">
        <f>IFERROR(VLOOKUP($B32,[4]평가!$B:$Z,MATCH(LEFT(S$2,2),[4]평가!$7:$7,0)-1,FALSE),"")</f>
        <v>66</v>
      </c>
      <c r="T32" s="33">
        <f>IFERROR(VLOOKUP($B32,[5]평가!$B:$Z,MATCH(LEFT(T$2,2),[5]평가!$7:$7,0)-1,FALSE),"")</f>
        <v>0</v>
      </c>
      <c r="U32" s="36">
        <f>IFERROR(VLOOKUP($B32,[5]평가!$B:$Z,MATCH(LEFT(U$2,2),[5]평가!$7:$7,0)-1,FALSE),"")</f>
        <v>72</v>
      </c>
      <c r="V32" s="39">
        <f>IFERROR(VLOOKUP($B32,[5]평가!$B:$Z,MATCH(LEFT(V$2,2),[5]평가!$7:$7,0)-1,FALSE),"")</f>
        <v>75</v>
      </c>
      <c r="W32" s="33">
        <f>IFERROR(VLOOKUP($B32,대상!$B:$AD,MATCH(W$2,대상!$1:$1,0)-1,FALSE),"")</f>
        <v>0</v>
      </c>
      <c r="X32" s="20">
        <f>IF(ISBLANK(B32),"",T$1-COUNTIF(H32:V32,"회피"))</f>
        <v>5</v>
      </c>
      <c r="Y32" s="21">
        <f>IF($T$1=X32,(SUM(I32,L32,O32,R32,U32)-MIN(I32,L32,O32,R32,U32)-MAX(I32,L32,O32,R32,U32))/($T$1-2),SUM(I32,L32,O32,R32,U32/X32))</f>
        <v>81.666666666666671</v>
      </c>
      <c r="Z32" s="40">
        <f>IFERROR(VLOOKUP($B32,대상!$B:$AD,MATCH(Z$2,대상!$1:$1,0)-1,FALSE),0)</f>
        <v>0</v>
      </c>
      <c r="AA32" s="41">
        <f>IFERROR(IF(W32="면제","100"+Z32,Y32+Z32),"")</f>
        <v>81.666666666666671</v>
      </c>
      <c r="AB32" s="35" t="str">
        <f>IF(OR(W32="면제",N(Y32)=0),"",IF(AA32&lt;60,"과락",""))</f>
        <v/>
      </c>
      <c r="AC32" s="54">
        <f>IF(N(AA32)=0,"",RANK(AA32,AA$3:AA$202))</f>
        <v>29</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_x000D_②개발제품의 신규성과 특이성이 있고 시장 요구성에 부합하는 부분은 있으나 제조 모방 방지 방안과 영업적 부분에서 관급 조달 및 민간 공급등에서도 경쟁력이 치열하므로 이에 대한 대응 방안이 구체화되어야 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인식이 비교적 명확하게 제시가 되어 있으나 사업화 가능성을 검토한 수준은 다소 미흡한 것으로 판단 됨. _x000D_⑤기능성 원료인 제올라이트를 활용한 어싱길 포장재를 창업아이템으로 하여 기존 어싱길의 한계와 본 사업성을 잘 설명하고 있다. 다만, 제올라이트를 활용하여 본 사업계획서에서 제시한 향균, 흡습, 배수의 다양한 기능을 동시에 구현할 수 있는 기술력에 대해 보완이 필요할 것으로 보인다.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hidden="1" customHeight="1" x14ac:dyDescent="0.35">
      <c r="A33" s="4">
        <v>27</v>
      </c>
      <c r="B33" s="2">
        <v>20430515</v>
      </c>
      <c r="C33" s="38" t="str">
        <f>IFERROR(VLOOKUP($B33,대상!$B:$AC,MATCH(C$2,대상!$1:$1,0)-1,FALSE),"")</f>
        <v>지역기반</v>
      </c>
      <c r="D33" s="38" t="str">
        <f>IFERROR(VLOOKUP($B33,대상!$B:$AC,MATCH(D$2,대상!$1:$1,0)-1,FALSE),"")</f>
        <v>김도연</v>
      </c>
      <c r="E33" s="36" t="str">
        <f>IFERROR(VLOOKUP($B33,대상!$B:$AC,MATCH(E$2,대상!$1:$1,0)-1,FALSE),"")</f>
        <v>화공ㆍ섬유</v>
      </c>
      <c r="F33" s="38" t="str">
        <f>IFERROR(VLOOKUP($B33,대상!$B:$AC,MATCH(F$2,대상!$1:$1,0)-1,FALSE),"")</f>
        <v>소재의 한지의 느낌을 살려 수묵화 등 한국 전통의 디자인을 적용한  글로벌 진출용 친환경(타이벡) 양산</v>
      </c>
      <c r="G33" s="38" t="str">
        <f>IFERROR(VLOOKUP($B33,대상!$B:$AC,MATCH(G$2,대상!$1:$1,0)-1,FALSE),"")</f>
        <v/>
      </c>
      <c r="H33" s="33">
        <f>IFERROR(VLOOKUP($B33,[1]평가!$B:$Z,MATCH(LEFT(H$2,2),[1]평가!$7:$7,0)-1,FALSE),"")</f>
        <v>0</v>
      </c>
      <c r="I33" s="36">
        <f>IFERROR(VLOOKUP($B33,[1]평가!$B:$Z,MATCH(LEFT(I$2,2),[1]평가!$7:$7,0)-1,FALSE),"")</f>
        <v>76</v>
      </c>
      <c r="J33" s="36">
        <f>IFERROR(VLOOKUP($B33,[1]평가!$B:$Z,MATCH(LEFT(J$2,2),[1]평가!$7:$7,0)-1,FALSE),"")</f>
        <v>76</v>
      </c>
      <c r="K33" s="33">
        <f>IFERROR(VLOOKUP($B33,[2]평가!$B:$Z,MATCH(LEFT(K$2,2),[2]평가!$7:$7,0)-1,FALSE),"")</f>
        <v>0</v>
      </c>
      <c r="L33" s="36">
        <f>IFERROR(VLOOKUP($B33,[2]평가!$B:$Z,MATCH(LEFT(L$2,2),[2]평가!$7:$7,0)-1,FALSE),"")</f>
        <v>84</v>
      </c>
      <c r="M33" s="39">
        <f>IFERROR(VLOOKUP($B33,[2]평가!$B:$Z,MATCH(LEFT(M$2,2),[2]평가!$7:$7,0)-1,FALSE),"")</f>
        <v>21</v>
      </c>
      <c r="N33" s="33">
        <f>IFERROR(VLOOKUP($B33,[3]평가!$B:$Z,MATCH(LEFT(N$2,2),[3]평가!$7:$7,0)-1,FALSE),"")</f>
        <v>0</v>
      </c>
      <c r="O33" s="36">
        <f>IFERROR(VLOOKUP($B33,[3]평가!$B:$Z,MATCH(LEFT(O$2,2),[3]평가!$7:$7,0)-1,FALSE),"")</f>
        <v>84</v>
      </c>
      <c r="P33" s="39">
        <f>IFERROR(VLOOKUP($B33,[3]평가!$B:$Z,MATCH(LEFT(P$2,2),[3]평가!$7:$7,0)-1,FALSE),"")</f>
        <v>31</v>
      </c>
      <c r="Q33" s="33">
        <f>IFERROR(VLOOKUP($B33,[4]평가!$B:$Z,MATCH(LEFT(Q$2,2),[4]평가!$7:$7,0)-1,FALSE),"")</f>
        <v>0</v>
      </c>
      <c r="R33" s="36">
        <f>IFERROR(VLOOKUP($B33,[4]평가!$B:$Z,MATCH(LEFT(R$2,2),[4]평가!$7:$7,0)-1,FALSE),"")</f>
        <v>85</v>
      </c>
      <c r="S33" s="39">
        <f>IFERROR(VLOOKUP($B33,[4]평가!$B:$Z,MATCH(LEFT(S$2,2),[4]평가!$7:$7,0)-1,FALSE),"")</f>
        <v>31</v>
      </c>
      <c r="T33" s="33">
        <f>IFERROR(VLOOKUP($B33,[5]평가!$B:$Z,MATCH(LEFT(T$2,2),[5]평가!$7:$7,0)-1,FALSE),"")</f>
        <v>0</v>
      </c>
      <c r="U33" s="36">
        <f>IFERROR(VLOOKUP($B33,[5]평가!$B:$Z,MATCH(LEFT(U$2,2),[5]평가!$7:$7,0)-1,FALSE),"")</f>
        <v>63</v>
      </c>
      <c r="V33" s="39">
        <f>IFERROR(VLOOKUP($B33,[5]평가!$B:$Z,MATCH(LEFT(V$2,2),[5]평가!$7:$7,0)-1,FALSE),"")</f>
        <v>113</v>
      </c>
      <c r="W33" s="33">
        <f>IFERROR(VLOOKUP($B33,대상!$B:$AD,MATCH(W$2,대상!$1:$1,0)-1,FALSE),"")</f>
        <v>0</v>
      </c>
      <c r="X33" s="20">
        <f>IF(ISBLANK(B33),"",T$1-COUNTIF(H33:V33,"회피"))</f>
        <v>5</v>
      </c>
      <c r="Y33" s="21">
        <f>IF($T$1=X33,(SUM(I33,L33,O33,R33,U33)-MIN(I33,L33,O33,R33,U33)-MAX(I33,L33,O33,R33,U33))/($T$1-2),SUM(I33,L33,O33,R33,U33/X33))</f>
        <v>81.333333333333329</v>
      </c>
      <c r="Z33" s="40">
        <f>IFERROR(VLOOKUP($B33,대상!$B:$AD,MATCH(Z$2,대상!$1:$1,0)-1,FALSE),0)</f>
        <v>0</v>
      </c>
      <c r="AA33" s="41">
        <f>IFERROR(IF(W33="면제","100"+Z33,Y33+Z33),"")</f>
        <v>81.333333333333329</v>
      </c>
      <c r="AB33" s="35" t="str">
        <f>IF(OR(W33="면제",N(Y33)=0),"",IF(AA33&lt;60,"과락",""))</f>
        <v/>
      </c>
      <c r="AC33" s="54">
        <f>IF(N(AA33)=0,"",RANK(AA33,AA$3:AA$202))</f>
        <v>33</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①-사업화 아이템의 특성을 고려하여 기존 시장의 유사제품에 대해 다양한 관점에서 경쟁력 확보방안에 대한 설명이 필요해 보입니다.
-창업지원 사업의 특성을 고려하여 보다 세부적인 사업성과 목표 시 및 달성방안에 대한 고민이 필요해 보입니다.  _x000D_②타이벡 소재의 용도 확대 및 국내 제품화에 대한 개발방향은 긍정적이며 자체 기술 보유로 제품개발은 가능할 것으로 판단되나 중국산 유사 소재에 대한 대응전략 수립이 미흡하고 영업망에 대한 구체성이 부족함.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_x000D_④창업동기와 문제인식은 비교적 명확하게 제시되었으나, 고객 검증자료는 다소 미흡한 것으로 판단 됨. _x000D_⑤천연소재를 활용하여 기존 화학소재를 대체하는 시장을 위한 제품에 대해 그 문제인식과 필요성 및 사업성 전반에 대해 잘 설명하고 있다. 다만, 개발제품에 대한 성능 확인이나 분석 그리고 기존시장의 제품을 대체하기 위한 가격 확보, 마케팅 방안등이 사업화를 위해 보완되어야 하기에 아쉬운 부분이 있다.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hidden="1" customHeight="1" x14ac:dyDescent="0.35">
      <c r="A34" s="4">
        <v>29</v>
      </c>
      <c r="B34" s="2">
        <v>20430941</v>
      </c>
      <c r="C34" s="38" t="str">
        <f>IFERROR(VLOOKUP($B34,대상!$B:$AC,MATCH(C$2,대상!$1:$1,0)-1,FALSE),"")</f>
        <v>지역기반</v>
      </c>
      <c r="D34" s="38" t="str">
        <f>IFERROR(VLOOKUP($B34,대상!$B:$AC,MATCH(D$2,대상!$1:$1,0)-1,FALSE),"")</f>
        <v>기근혜</v>
      </c>
      <c r="E34" s="36" t="str">
        <f>IFERROR(VLOOKUP($B34,대상!$B:$AC,MATCH(E$2,대상!$1:$1,0)-1,FALSE),"")</f>
        <v>화공ㆍ섬유</v>
      </c>
      <c r="F34" s="38" t="str">
        <f>IFERROR(VLOOKUP($B34,대상!$B:$AC,MATCH(F$2,대상!$1:$1,0)-1,FALSE),"")</f>
        <v>버려지는 농업 부산물을 고기능 원료로 전환하고 에어리스 구조로 위생적이고 깔끔한 사용감을 구현한 클렌징 밤</v>
      </c>
      <c r="G34" s="38" t="str">
        <f>IFERROR(VLOOKUP($B34,대상!$B:$AC,MATCH(G$2,대상!$1:$1,0)-1,FALSE),"")</f>
        <v/>
      </c>
      <c r="H34" s="33">
        <f>IFERROR(VLOOKUP($B34,[1]평가!$B:$Z,MATCH(LEFT(H$2,2),[1]평가!$7:$7,0)-1,FALSE),"")</f>
        <v>0</v>
      </c>
      <c r="I34" s="36">
        <f>IFERROR(VLOOKUP($B34,[1]평가!$B:$Z,MATCH(LEFT(I$2,2),[1]평가!$7:$7,0)-1,FALSE),"")</f>
        <v>83</v>
      </c>
      <c r="J34" s="36">
        <f>IFERROR(VLOOKUP($B34,[1]평가!$B:$Z,MATCH(LEFT(J$2,2),[1]평가!$7:$7,0)-1,FALSE),"")</f>
        <v>22</v>
      </c>
      <c r="K34" s="33">
        <f>IFERROR(VLOOKUP($B34,[2]평가!$B:$Z,MATCH(LEFT(K$2,2),[2]평가!$7:$7,0)-1,FALSE),"")</f>
        <v>0</v>
      </c>
      <c r="L34" s="36">
        <f>IFERROR(VLOOKUP($B34,[2]평가!$B:$Z,MATCH(LEFT(L$2,2),[2]평가!$7:$7,0)-1,FALSE),"")</f>
        <v>85</v>
      </c>
      <c r="M34" s="39">
        <f>IFERROR(VLOOKUP($B34,[2]평가!$B:$Z,MATCH(LEFT(M$2,2),[2]평가!$7:$7,0)-1,FALSE),"")</f>
        <v>17</v>
      </c>
      <c r="N34" s="33">
        <f>IFERROR(VLOOKUP($B34,[3]평가!$B:$Z,MATCH(LEFT(N$2,2),[3]평가!$7:$7,0)-1,FALSE),"")</f>
        <v>0</v>
      </c>
      <c r="O34" s="36">
        <f>IFERROR(VLOOKUP($B34,[3]평가!$B:$Z,MATCH(LEFT(O$2,2),[3]평가!$7:$7,0)-1,FALSE),"")</f>
        <v>69</v>
      </c>
      <c r="P34" s="39">
        <f>IFERROR(VLOOKUP($B34,[3]평가!$B:$Z,MATCH(LEFT(P$2,2),[3]평가!$7:$7,0)-1,FALSE),"")</f>
        <v>88</v>
      </c>
      <c r="Q34" s="33">
        <f>IFERROR(VLOOKUP($B34,[4]평가!$B:$Z,MATCH(LEFT(Q$2,2),[4]평가!$7:$7,0)-1,FALSE),"")</f>
        <v>0</v>
      </c>
      <c r="R34" s="36">
        <f>IFERROR(VLOOKUP($B34,[4]평가!$B:$Z,MATCH(LEFT(R$2,2),[4]평가!$7:$7,0)-1,FALSE),"")</f>
        <v>78</v>
      </c>
      <c r="S34" s="39">
        <f>IFERROR(VLOOKUP($B34,[4]평가!$B:$Z,MATCH(LEFT(S$2,2),[4]평가!$7:$7,0)-1,FALSE),"")</f>
        <v>66</v>
      </c>
      <c r="T34" s="33">
        <f>IFERROR(VLOOKUP($B34,[5]평가!$B:$Z,MATCH(LEFT(T$2,2),[5]평가!$7:$7,0)-1,FALSE),"")</f>
        <v>0</v>
      </c>
      <c r="U34" s="36">
        <f>IFERROR(VLOOKUP($B34,[5]평가!$B:$Z,MATCH(LEFT(U$2,2),[5]평가!$7:$7,0)-1,FALSE),"")</f>
        <v>83</v>
      </c>
      <c r="V34" s="39">
        <f>IFERROR(VLOOKUP($B34,[5]평가!$B:$Z,MATCH(LEFT(V$2,2),[5]평가!$7:$7,0)-1,FALSE),"")</f>
        <v>33</v>
      </c>
      <c r="W34" s="33">
        <f>IFERROR(VLOOKUP($B34,대상!$B:$AD,MATCH(W$2,대상!$1:$1,0)-1,FALSE),"")</f>
        <v>0</v>
      </c>
      <c r="X34" s="20">
        <f>IF(ISBLANK(B34),"",T$1-COUNTIF(H34:V34,"회피"))</f>
        <v>5</v>
      </c>
      <c r="Y34" s="21">
        <f>IF($T$1=X34,(SUM(I34,L34,O34,R34,U34)-MIN(I34,L34,O34,R34,U34)-MAX(I34,L34,O34,R34,U34))/($T$1-2),SUM(I34,L34,O34,R34,U34/X34))</f>
        <v>81.333333333333329</v>
      </c>
      <c r="Z34" s="40">
        <f>IFERROR(VLOOKUP($B34,대상!$B:$AD,MATCH(Z$2,대상!$1:$1,0)-1,FALSE),0)</f>
        <v>0</v>
      </c>
      <c r="AA34" s="41">
        <f>IFERROR(IF(W34="면제","100"+Z34,Y34+Z34),"")</f>
        <v>81.333333333333329</v>
      </c>
      <c r="AB34" s="35" t="str">
        <f>IF(OR(W34="면제",N(Y34)=0),"",IF(AA34&lt;60,"과락",""))</f>
        <v/>
      </c>
      <c r="AC34" s="54">
        <f>IF(N(AA34)=0,"",RANK(AA34,AA$3:AA$202))</f>
        <v>33</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①-사업화 모델의 성공가능성 향상을 위해 보다 구체적인 마케팅 전략에 대한 고민이 필요해 보입니다.
-창업지원사업의 성격을 고려한 성과달성 방안에 대한 고민이 필요해 보입니다.  _x000D_②농업 부산물 활용과 비접촉식 용기개발 등 시장 요구성에 적합하며 개발 단계별 추진 전략도 양호하게 기술되었으며 경쟁력 비교 분석과 향후 마켓팅 전략 체계 수립도 양호가게 설정됨 _x000D_③창업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 _x000D_④전반적으로 차별화 방향은 확인되나 독창성 판단에는 추가 검토가 필요 함 _x000D_⑤시장조사를 기반으로 하여 고객의 needs를 검토하고 이에 맞는 새로운제품을 개발하여 고객만족을 위해 진출하는 전반적인 사업설계가 우수하다. 다만, 경쟁이 심한 뷰티시장에서 새로운 공정도입에 따른 품질의 검증과 가격경쟁 확보를 위한 해결방안이 도출되어야 할 것이다.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hidden="1" customHeight="1" x14ac:dyDescent="0.35">
      <c r="A35" s="4">
        <v>54</v>
      </c>
      <c r="B35" s="2">
        <v>20414836</v>
      </c>
      <c r="C35" s="38" t="str">
        <f>IFERROR(VLOOKUP($B35,대상!$B:$AC,MATCH(C$2,대상!$1:$1,0)-1,FALSE),"")</f>
        <v>지역기반</v>
      </c>
      <c r="D35" s="38" t="str">
        <f>IFERROR(VLOOKUP($B35,대상!$B:$AC,MATCH(D$2,대상!$1:$1,0)-1,FALSE),"")</f>
        <v>이현지</v>
      </c>
      <c r="E35" s="36" t="str">
        <f>IFERROR(VLOOKUP($B35,대상!$B:$AC,MATCH(E$2,대상!$1:$1,0)-1,FALSE),"")</f>
        <v>화공ㆍ섬유</v>
      </c>
      <c r="F35" s="38" t="str">
        <f>IFERROR(VLOOKUP($B35,대상!$B:$AC,MATCH(F$2,대상!$1:$1,0)-1,FALSE),"")</f>
        <v>백리향 기반 pH 중화 기술을 적용한 친환경 섬유유연제</v>
      </c>
      <c r="G35" s="38" t="str">
        <f>IFERROR(VLOOKUP($B35,대상!$B:$AC,MATCH(G$2,대상!$1:$1,0)-1,FALSE),"")</f>
        <v/>
      </c>
      <c r="H35" s="33">
        <f>IFERROR(VLOOKUP($B35,[1]평가!$B:$Z,MATCH(LEFT(H$2,2),[1]평가!$7:$7,0)-1,FALSE),"")</f>
        <v>0</v>
      </c>
      <c r="I35" s="36">
        <f>IFERROR(VLOOKUP($B35,[1]평가!$B:$Z,MATCH(LEFT(I$2,2),[1]평가!$7:$7,0)-1,FALSE),"")</f>
        <v>82</v>
      </c>
      <c r="J35" s="36">
        <f>IFERROR(VLOOKUP($B35,[1]평가!$B:$Z,MATCH(LEFT(J$2,2),[1]평가!$7:$7,0)-1,FALSE),"")</f>
        <v>31</v>
      </c>
      <c r="K35" s="33">
        <f>IFERROR(VLOOKUP($B35,[2]평가!$B:$Z,MATCH(LEFT(K$2,2),[2]평가!$7:$7,0)-1,FALSE),"")</f>
        <v>0</v>
      </c>
      <c r="L35" s="36">
        <f>IFERROR(VLOOKUP($B35,[2]평가!$B:$Z,MATCH(LEFT(L$2,2),[2]평가!$7:$7,0)-1,FALSE),"")</f>
        <v>77</v>
      </c>
      <c r="M35" s="39">
        <f>IFERROR(VLOOKUP($B35,[2]평가!$B:$Z,MATCH(LEFT(M$2,2),[2]평가!$7:$7,0)-1,FALSE),"")</f>
        <v>64</v>
      </c>
      <c r="N35" s="33">
        <f>IFERROR(VLOOKUP($B35,[3]평가!$B:$Z,MATCH(LEFT(N$2,2),[3]평가!$7:$7,0)-1,FALSE),"")</f>
        <v>0</v>
      </c>
      <c r="O35" s="36">
        <f>IFERROR(VLOOKUP($B35,[3]평가!$B:$Z,MATCH(LEFT(O$2,2),[3]평가!$7:$7,0)-1,FALSE),"")</f>
        <v>85</v>
      </c>
      <c r="P35" s="39">
        <f>IFERROR(VLOOKUP($B35,[3]평가!$B:$Z,MATCH(LEFT(P$2,2),[3]평가!$7:$7,0)-1,FALSE),"")</f>
        <v>24</v>
      </c>
      <c r="Q35" s="33">
        <f>IFERROR(VLOOKUP($B35,[4]평가!$B:$Z,MATCH(LEFT(Q$2,2),[4]평가!$7:$7,0)-1,FALSE),"")</f>
        <v>0</v>
      </c>
      <c r="R35" s="36">
        <f>IFERROR(VLOOKUP($B35,[4]평가!$B:$Z,MATCH(LEFT(R$2,2),[4]평가!$7:$7,0)-1,FALSE),"")</f>
        <v>84</v>
      </c>
      <c r="S35" s="39">
        <f>IFERROR(VLOOKUP($B35,[4]평가!$B:$Z,MATCH(LEFT(S$2,2),[4]평가!$7:$7,0)-1,FALSE),"")</f>
        <v>35</v>
      </c>
      <c r="T35" s="33">
        <f>IFERROR(VLOOKUP($B35,[5]평가!$B:$Z,MATCH(LEFT(T$2,2),[5]평가!$7:$7,0)-1,FALSE),"")</f>
        <v>0</v>
      </c>
      <c r="U35" s="36">
        <f>IFERROR(VLOOKUP($B35,[5]평가!$B:$Z,MATCH(LEFT(U$2,2),[5]평가!$7:$7,0)-1,FALSE),"")</f>
        <v>68</v>
      </c>
      <c r="V35" s="39">
        <f>IFERROR(VLOOKUP($B35,[5]평가!$B:$Z,MATCH(LEFT(V$2,2),[5]평가!$7:$7,0)-1,FALSE),"")</f>
        <v>86</v>
      </c>
      <c r="W35" s="33">
        <f>IFERROR(VLOOKUP($B35,대상!$B:$AD,MATCH(W$2,대상!$1:$1,0)-1,FALSE),"")</f>
        <v>0</v>
      </c>
      <c r="X35" s="20">
        <f>IF(ISBLANK(B35),"",T$1-COUNTIF(H35:V35,"회피"))</f>
        <v>5</v>
      </c>
      <c r="Y35" s="21">
        <f>IF($T$1=X35,(SUM(I35,L35,O35,R35,U35)-MIN(I35,L35,O35,R35,U35)-MAX(I35,L35,O35,R35,U35))/($T$1-2),SUM(I35,L35,O35,R35,U35/X35))</f>
        <v>81</v>
      </c>
      <c r="Z35" s="40">
        <f>IFERROR(VLOOKUP($B35,대상!$B:$AD,MATCH(Z$2,대상!$1:$1,0)-1,FALSE),0)</f>
        <v>0</v>
      </c>
      <c r="AA35" s="41">
        <f>IFERROR(IF(W35="면제","100"+Z35,Y35+Z35),"")</f>
        <v>81</v>
      </c>
      <c r="AB35" s="35" t="str">
        <f>IF(OR(W35="면제",N(Y35)=0),"",IF(AA35&lt;60,"과락",""))</f>
        <v/>
      </c>
      <c r="AC35" s="54">
        <f>IF(N(AA35)=0,"",RANK(AA35,AA$3:AA$202))</f>
        <v>35</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①-기존제품 대비 특화된 경쟁요소 도출 및 그것의 활용에 대한 설명이 필요해 보입니다.
-후발 경쟁자의 시장진입 억제를 위한 방안에 대한 고민이 필요해 보입니다.
-창업지원사업의 특성을 고려한 성과지표제시 및 달성방안에 대한 설명이 필요해 보입니다.  _x000D_②화학물질 대체 항균제품 개발의 의미가 있고 관련 기술 역량은 있으나 개발 제품의 기능성인 항균에 대한 사전 시험 및 검증 자료가 부족하며 항균 특성상 내구성 부분에 대한 기술력 확보 방안의 구체성이 부족함. 사업화 가능성에 대한 객관적 자료 제시 필요함 _x000D_③기존 시장 제품들과 비교하여 기술적 차별성이 보여지며, 관련 특허 및 인증을 통해 진입 장벽을 견고히 구축함.
추진력과 아이디어에 구체적인 마케팅과 판로개척에 대해 추가적인 검토 요구
 _x000D_④창업동기와 문제 인식은 비교적 명확하게 제시가 되어 있으나, 실제 차별성이 기술 우위로 연결되는 설명이 다소 미흠 함. _x000D_⑤다양한 알레르기 및 피부질환등을 야기할 수 있는 화학세제 및 섬유유연제를 대체하기 위한 창업아이템으로 개발하고자 하는 부분의 정의와 기존 제품들과의 차이점, 시장성 등에 대해 잘 설명되어져 있다. 다만, 기존 제품들과의 차별성을 가지는 개발제품이 어느정도 효용성이 있는지 나타나 있지 않아 보완할 필요가 있으며, 현재 매출이 있는 제품과의 연계성이 충분치 못해 보이는 아쉬움이 있다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hidden="1" customHeight="1" x14ac:dyDescent="0.35">
      <c r="A36" s="4">
        <v>61</v>
      </c>
      <c r="B36" s="2">
        <v>20417598</v>
      </c>
      <c r="C36" s="38" t="str">
        <f>IFERROR(VLOOKUP($B36,대상!$B:$AC,MATCH(C$2,대상!$1:$1,0)-1,FALSE),"")</f>
        <v>지역기반</v>
      </c>
      <c r="D36" s="38" t="str">
        <f>IFERROR(VLOOKUP($B36,대상!$B:$AC,MATCH(D$2,대상!$1:$1,0)-1,FALSE),"")</f>
        <v>서인석</v>
      </c>
      <c r="E36" s="36" t="str">
        <f>IFERROR(VLOOKUP($B36,대상!$B:$AC,MATCH(E$2,대상!$1:$1,0)-1,FALSE),"")</f>
        <v>화공ㆍ섬유</v>
      </c>
      <c r="F36" s="38" t="str">
        <f>IFERROR(VLOOKUP($B36,대상!$B:$AC,MATCH(F$2,대상!$1:$1,0)-1,FALSE),"")</f>
        <v>편리한 위생관리를 위한 건조형 음식물처리기 전용세제</v>
      </c>
      <c r="G36" s="38" t="str">
        <f>IFERROR(VLOOKUP($B36,대상!$B:$AC,MATCH(G$2,대상!$1:$1,0)-1,FALSE),"")</f>
        <v/>
      </c>
      <c r="H36" s="33">
        <f>IFERROR(VLOOKUP($B36,[1]평가!$B:$Z,MATCH(LEFT(H$2,2),[1]평가!$7:$7,0)-1,FALSE),"")</f>
        <v>0</v>
      </c>
      <c r="I36" s="36">
        <f>IFERROR(VLOOKUP($B36,[1]평가!$B:$Z,MATCH(LEFT(I$2,2),[1]평가!$7:$7,0)-1,FALSE),"")</f>
        <v>76</v>
      </c>
      <c r="J36" s="36">
        <f>IFERROR(VLOOKUP($B36,[1]평가!$B:$Z,MATCH(LEFT(J$2,2),[1]평가!$7:$7,0)-1,FALSE),"")</f>
        <v>76</v>
      </c>
      <c r="K36" s="33">
        <f>IFERROR(VLOOKUP($B36,[2]평가!$B:$Z,MATCH(LEFT(K$2,2),[2]평가!$7:$7,0)-1,FALSE),"")</f>
        <v>0</v>
      </c>
      <c r="L36" s="36">
        <f>IFERROR(VLOOKUP($B36,[2]평가!$B:$Z,MATCH(LEFT(L$2,2),[2]평가!$7:$7,0)-1,FALSE),"")</f>
        <v>83</v>
      </c>
      <c r="M36" s="39">
        <f>IFERROR(VLOOKUP($B36,[2]평가!$B:$Z,MATCH(LEFT(M$2,2),[2]평가!$7:$7,0)-1,FALSE),"")</f>
        <v>26</v>
      </c>
      <c r="N36" s="33">
        <f>IFERROR(VLOOKUP($B36,[3]평가!$B:$Z,MATCH(LEFT(N$2,2),[3]평가!$7:$7,0)-1,FALSE),"")</f>
        <v>0</v>
      </c>
      <c r="O36" s="36">
        <f>IFERROR(VLOOKUP($B36,[3]평가!$B:$Z,MATCH(LEFT(O$2,2),[3]평가!$7:$7,0)-1,FALSE),"")</f>
        <v>83</v>
      </c>
      <c r="P36" s="39">
        <f>IFERROR(VLOOKUP($B36,[3]평가!$B:$Z,MATCH(LEFT(P$2,2),[3]평가!$7:$7,0)-1,FALSE),"")</f>
        <v>35</v>
      </c>
      <c r="Q36" s="33">
        <f>IFERROR(VLOOKUP($B36,[4]평가!$B:$Z,MATCH(LEFT(Q$2,2),[4]평가!$7:$7,0)-1,FALSE),"")</f>
        <v>0</v>
      </c>
      <c r="R36" s="36">
        <f>IFERROR(VLOOKUP($B36,[4]평가!$B:$Z,MATCH(LEFT(R$2,2),[4]평가!$7:$7,0)-1,FALSE),"")</f>
        <v>86</v>
      </c>
      <c r="S36" s="39">
        <f>IFERROR(VLOOKUP($B36,[4]평가!$B:$Z,MATCH(LEFT(S$2,2),[4]평가!$7:$7,0)-1,FALSE),"")</f>
        <v>23</v>
      </c>
      <c r="T36" s="33">
        <f>IFERROR(VLOOKUP($B36,[5]평가!$B:$Z,MATCH(LEFT(T$2,2),[5]평가!$7:$7,0)-1,FALSE),"")</f>
        <v>0</v>
      </c>
      <c r="U36" s="36">
        <f>IFERROR(VLOOKUP($B36,[5]평가!$B:$Z,MATCH(LEFT(U$2,2),[5]평가!$7:$7,0)-1,FALSE),"")</f>
        <v>67</v>
      </c>
      <c r="V36" s="39">
        <f>IFERROR(VLOOKUP($B36,[5]평가!$B:$Z,MATCH(LEFT(V$2,2),[5]평가!$7:$7,0)-1,FALSE),"")</f>
        <v>95</v>
      </c>
      <c r="W36" s="33">
        <f>IFERROR(VLOOKUP($B36,대상!$B:$AD,MATCH(W$2,대상!$1:$1,0)-1,FALSE),"")</f>
        <v>0</v>
      </c>
      <c r="X36" s="20">
        <f>IF(ISBLANK(B36),"",T$1-COUNTIF(H36:V36,"회피"))</f>
        <v>5</v>
      </c>
      <c r="Y36" s="21">
        <f>IF($T$1=X36,(SUM(I36,L36,O36,R36,U36)-MIN(I36,L36,O36,R36,U36)-MAX(I36,L36,O36,R36,U36))/($T$1-2),SUM(I36,L36,O36,R36,U36/X36))</f>
        <v>80.666666666666671</v>
      </c>
      <c r="Z36" s="40">
        <f>IFERROR(VLOOKUP($B36,대상!$B:$AD,MATCH(Z$2,대상!$1:$1,0)-1,FALSE),0)</f>
        <v>0</v>
      </c>
      <c r="AA36" s="41">
        <f>IFERROR(IF(W36="면제","100"+Z36,Y36+Z36),"")</f>
        <v>80.666666666666671</v>
      </c>
      <c r="AB36" s="35" t="str">
        <f>IF(OR(W36="면제",N(Y36)=0),"",IF(AA36&lt;60,"과락",""))</f>
        <v/>
      </c>
      <c r="AC36" s="54">
        <f>IF(N(AA36)=0,"",RANK(AA36,AA$3:AA$202))</f>
        <v>36</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_x000D_②소비자의 요구방향과 실제적 검증을 통한 제품 개발이 진행되었고 실질적 사용이 가능하여 기존 시장 진입이 용이한 아이템으로 판단됨.  제품 개발의 방향은 명확하나 영업 전략의 구체성이 미흡함 _x000D_③전달하고자 하는 가치는 충분히 매력적이며 기존 시장에 페인포인트를 해결할 수 있는 창업과제로 판단됨. 
다만  매출발생경로와 시장 진입 전략의 구체성은 다소 부족. 전반적으로 기술 추진 의지는 확인되나 실현가능성은 추가 검토필요
 _x000D_④창업 동기와 문제 인식은 비교적 명확하게 제시가 되어 있으나, 실제 차별성이 기술 우위로 연결되는 설명이 다소 미흠 함. _x000D_⑤기존 음식물처리기 등에서 불가피하게 발생하는 기름때, 잔여물등을 세정하기 위한 전용 세정액을 창업아이템으로 하여 그 필요성이나 사업성등에 대해 잘 설명되어져 있다. 다만, 음식물처리기 판매회사와 연계하여 실제 환경을 모사한 세정능력 등에 대한 결과물들이 나타나 있지 않으며, 음식물 처리기 별로도 그 성능이 달라 동일한 세제로 동일한 성능을 구현할 수 있을지에 대한 기술적 의문에 대해 보완이 필요하다.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35</v>
      </c>
      <c r="B37" s="2">
        <v>20421393</v>
      </c>
      <c r="C37" s="38" t="str">
        <f>IFERROR(VLOOKUP($B37,대상!$B:$AC,MATCH(C$2,대상!$1:$1,0)-1,FALSE),"")</f>
        <v>대학발</v>
      </c>
      <c r="D37" s="38" t="str">
        <f>IFERROR(VLOOKUP($B37,대상!$B:$AC,MATCH(D$2,대상!$1:$1,0)-1,FALSE),"")</f>
        <v>류영대</v>
      </c>
      <c r="E37" s="36" t="str">
        <f>IFERROR(VLOOKUP($B37,대상!$B:$AC,MATCH(E$2,대상!$1:$1,0)-1,FALSE),"")</f>
        <v>화공ㆍ섬유</v>
      </c>
      <c r="F37" s="38" t="str">
        <f>IFERROR(VLOOKUP($B37,대상!$B:$AC,MATCH(F$2,대상!$1:$1,0)-1,FALSE),"")</f>
        <v>AI, IOT 다중시설 환경 위생관리 솔루션</v>
      </c>
      <c r="G37" s="38" t="str">
        <f>IFERROR(VLOOKUP($B37,대상!$B:$AC,MATCH(G$2,대상!$1:$1,0)-1,FALSE),"")</f>
        <v/>
      </c>
      <c r="H37" s="33" t="str">
        <f>IFERROR(VLOOKUP($B37,[1]평가!$B:$Z,MATCH(LEFT(H$2,2),[1]평가!$7:$7,0)-1,FALSE),"")</f>
        <v>요건탈락</v>
      </c>
      <c r="I37" s="36" t="str">
        <f>IFERROR(VLOOKUP($B37,[1]평가!$B:$Z,MATCH(LEFT(I$2,2),[1]평가!$7:$7,0)-1,FALSE),"")</f>
        <v/>
      </c>
      <c r="J37" s="36" t="str">
        <f>IFERROR(VLOOKUP($B37,[1]평가!$B:$Z,MATCH(LEFT(J$2,2),[1]평가!$7:$7,0)-1,FALSE),"")</f>
        <v/>
      </c>
      <c r="K37" s="33" t="str">
        <f>IFERROR(VLOOKUP($B37,[2]평가!$B:$Z,MATCH(LEFT(K$2,2),[2]평가!$7:$7,0)-1,FALSE),"")</f>
        <v>요건탈락</v>
      </c>
      <c r="L37" s="36" t="str">
        <f>IFERROR(VLOOKUP($B37,[2]평가!$B:$Z,MATCH(LEFT(L$2,2),[2]평가!$7:$7,0)-1,FALSE),"")</f>
        <v/>
      </c>
      <c r="M37" s="39" t="str">
        <f>IFERROR(VLOOKUP($B37,[2]평가!$B:$Z,MATCH(LEFT(M$2,2),[2]평가!$7:$7,0)-1,FALSE),"")</f>
        <v/>
      </c>
      <c r="N37" s="33" t="str">
        <f>IFERROR(VLOOKUP($B37,[3]평가!$B:$Z,MATCH(LEFT(N$2,2),[3]평가!$7:$7,0)-1,FALSE),"")</f>
        <v>요건탈락</v>
      </c>
      <c r="O37" s="36" t="str">
        <f>IFERROR(VLOOKUP($B37,[3]평가!$B:$Z,MATCH(LEFT(O$2,2),[3]평가!$7:$7,0)-1,FALSE),"")</f>
        <v/>
      </c>
      <c r="P37" s="39" t="str">
        <f>IFERROR(VLOOKUP($B37,[3]평가!$B:$Z,MATCH(LEFT(P$2,2),[3]평가!$7:$7,0)-1,FALSE),"")</f>
        <v/>
      </c>
      <c r="Q37" s="33" t="str">
        <f>IFERROR(VLOOKUP($B37,[4]평가!$B:$Z,MATCH(LEFT(Q$2,2),[4]평가!$7:$7,0)-1,FALSE),"")</f>
        <v>요건탈락</v>
      </c>
      <c r="R37" s="36" t="str">
        <f>IFERROR(VLOOKUP($B37,[4]평가!$B:$Z,MATCH(LEFT(R$2,2),[4]평가!$7:$7,0)-1,FALSE),"")</f>
        <v/>
      </c>
      <c r="S37" s="39" t="str">
        <f>IFERROR(VLOOKUP($B37,[4]평가!$B:$Z,MATCH(LEFT(S$2,2),[4]평가!$7:$7,0)-1,FALSE),"")</f>
        <v/>
      </c>
      <c r="T37" s="33" t="str">
        <f>IFERROR(VLOOKUP($B37,[5]평가!$B:$Z,MATCH(LEFT(T$2,2),[5]평가!$7:$7,0)-1,FALSE),"")</f>
        <v>요건탈락</v>
      </c>
      <c r="U37" s="36" t="str">
        <f>IFERROR(VLOOKUP($B37,[5]평가!$B:$Z,MATCH(LEFT(U$2,2),[5]평가!$7:$7,0)-1,FALSE),"")</f>
        <v/>
      </c>
      <c r="V37" s="39" t="str">
        <f>IFERROR(VLOOKUP($B37,[5]평가!$B:$Z,MATCH(LEFT(V$2,2),[5]평가!$7:$7,0)-1,FALSE),"")</f>
        <v/>
      </c>
      <c r="W37" s="33" t="str">
        <f>IFERROR(VLOOKUP($B37,대상!$B:$AD,MATCH(W$2,대상!$1:$1,0)-1,FALSE),"")</f>
        <v>요건탈락</v>
      </c>
      <c r="X37" s="20">
        <f>IF(ISBLANK(B37),"",T$1-COUNTIF(H37:V37,"회피"))</f>
        <v>5</v>
      </c>
      <c r="Y37" s="21">
        <f>IF($T$1=X37,(SUM(I37,L37,O37,R37,U37)-MIN(I37,L37,O37,R37,U37)-MAX(I37,L37,O37,R37,U37))/($T$1-2),SUM(I37,L37,O37,R37,U37/X37))</f>
        <v>0</v>
      </c>
      <c r="Z37" s="40">
        <f>IFERROR(VLOOKUP($B37,대상!$B:$AD,MATCH(Z$2,대상!$1:$1,0)-1,FALSE),0)</f>
        <v>0</v>
      </c>
      <c r="AA37" s="41">
        <f>IFERROR(IF(W37="면제","100"+Z37,Y37+Z37),"")</f>
        <v>0</v>
      </c>
      <c r="AB37" s="35" t="str">
        <f>IF(OR(W37="면제",N(Y37)=0),"",IF(AA37&lt;60,"과락",""))</f>
        <v/>
      </c>
      <c r="AC37" s="54" t="str">
        <f>IF(N(AA37)=0,"",RANK(AA37,AA$3:AA$202))</f>
        <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0_x000D_0_x000D_0_x000D_0_x000D_0</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hidden="1" customHeight="1" x14ac:dyDescent="0.35">
      <c r="A38" s="4">
        <v>71</v>
      </c>
      <c r="B38" s="2">
        <v>20422688</v>
      </c>
      <c r="C38" s="38" t="str">
        <f>IFERROR(VLOOKUP($B38,대상!$B:$AC,MATCH(C$2,대상!$1:$1,0)-1,FALSE),"")</f>
        <v>지역기반</v>
      </c>
      <c r="D38" s="38" t="str">
        <f>IFERROR(VLOOKUP($B38,대상!$B:$AC,MATCH(D$2,대상!$1:$1,0)-1,FALSE),"")</f>
        <v>조윤경</v>
      </c>
      <c r="E38" s="36" t="str">
        <f>IFERROR(VLOOKUP($B38,대상!$B:$AC,MATCH(E$2,대상!$1:$1,0)-1,FALSE),"")</f>
        <v>화공ㆍ섬유</v>
      </c>
      <c r="F38" s="38" t="str">
        <f>IFERROR(VLOOKUP($B38,대상!$B:$AC,MATCH(F$2,대상!$1:$1,0)-1,FALSE),"")</f>
        <v>산업현장 지속가능성 강화를 위한 업사이클 섬유, 모듈형 설계 기술을 활용한 다기능 워크웨어 서비스</v>
      </c>
      <c r="G38" s="38" t="str">
        <f>IFERROR(VLOOKUP($B38,대상!$B:$AC,MATCH(G$2,대상!$1:$1,0)-1,FALSE),"")</f>
        <v/>
      </c>
      <c r="H38" s="33">
        <f>IFERROR(VLOOKUP($B38,[1]평가!$B:$Z,MATCH(LEFT(H$2,2),[1]평가!$7:$7,0)-1,FALSE),"")</f>
        <v>0</v>
      </c>
      <c r="I38" s="36">
        <f>IFERROR(VLOOKUP($B38,[1]평가!$B:$Z,MATCH(LEFT(I$2,2),[1]평가!$7:$7,0)-1,FALSE),"")</f>
        <v>81</v>
      </c>
      <c r="J38" s="36">
        <f>IFERROR(VLOOKUP($B38,[1]평가!$B:$Z,MATCH(LEFT(J$2,2),[1]평가!$7:$7,0)-1,FALSE),"")</f>
        <v>37</v>
      </c>
      <c r="K38" s="33">
        <f>IFERROR(VLOOKUP($B38,[2]평가!$B:$Z,MATCH(LEFT(K$2,2),[2]평가!$7:$7,0)-1,FALSE),"")</f>
        <v>0</v>
      </c>
      <c r="L38" s="36">
        <f>IFERROR(VLOOKUP($B38,[2]평가!$B:$Z,MATCH(LEFT(L$2,2),[2]평가!$7:$7,0)-1,FALSE),"")</f>
        <v>83</v>
      </c>
      <c r="M38" s="39">
        <f>IFERROR(VLOOKUP($B38,[2]평가!$B:$Z,MATCH(LEFT(M$2,2),[2]평가!$7:$7,0)-1,FALSE),"")</f>
        <v>26</v>
      </c>
      <c r="N38" s="33">
        <f>IFERROR(VLOOKUP($B38,[3]평가!$B:$Z,MATCH(LEFT(N$2,2),[3]평가!$7:$7,0)-1,FALSE),"")</f>
        <v>0</v>
      </c>
      <c r="O38" s="36">
        <f>IFERROR(VLOOKUP($B38,[3]평가!$B:$Z,MATCH(LEFT(O$2,2),[3]평가!$7:$7,0)-1,FALSE),"")</f>
        <v>85</v>
      </c>
      <c r="P38" s="39">
        <f>IFERROR(VLOOKUP($B38,[3]평가!$B:$Z,MATCH(LEFT(P$2,2),[3]평가!$7:$7,0)-1,FALSE),"")</f>
        <v>24</v>
      </c>
      <c r="Q38" s="33">
        <f>IFERROR(VLOOKUP($B38,[4]평가!$B:$Z,MATCH(LEFT(Q$2,2),[4]평가!$7:$7,0)-1,FALSE),"")</f>
        <v>0</v>
      </c>
      <c r="R38" s="36">
        <f>IFERROR(VLOOKUP($B38,[4]평가!$B:$Z,MATCH(LEFT(R$2,2),[4]평가!$7:$7,0)-1,FALSE),"")</f>
        <v>75</v>
      </c>
      <c r="S38" s="39">
        <f>IFERROR(VLOOKUP($B38,[4]평가!$B:$Z,MATCH(LEFT(S$2,2),[4]평가!$7:$7,0)-1,FALSE),"")</f>
        <v>80</v>
      </c>
      <c r="T38" s="33">
        <f>IFERROR(VLOOKUP($B38,[5]평가!$B:$Z,MATCH(LEFT(T$2,2),[5]평가!$7:$7,0)-1,FALSE),"")</f>
        <v>0</v>
      </c>
      <c r="U38" s="36">
        <f>IFERROR(VLOOKUP($B38,[5]평가!$B:$Z,MATCH(LEFT(U$2,2),[5]평가!$7:$7,0)-1,FALSE),"")</f>
        <v>78</v>
      </c>
      <c r="V38" s="39">
        <f>IFERROR(VLOOKUP($B38,[5]평가!$B:$Z,MATCH(LEFT(V$2,2),[5]평가!$7:$7,0)-1,FALSE),"")</f>
        <v>45</v>
      </c>
      <c r="W38" s="33">
        <f>IFERROR(VLOOKUP($B38,대상!$B:$AD,MATCH(W$2,대상!$1:$1,0)-1,FALSE),"")</f>
        <v>0</v>
      </c>
      <c r="X38" s="20">
        <f>IF(ISBLANK(B38),"",T$1-COUNTIF(H38:V38,"회피"))</f>
        <v>5</v>
      </c>
      <c r="Y38" s="21">
        <f>IF($T$1=X38,(SUM(I38,L38,O38,R38,U38)-MIN(I38,L38,O38,R38,U38)-MAX(I38,L38,O38,R38,U38))/($T$1-2),SUM(I38,L38,O38,R38,U38/X38))</f>
        <v>80.666666666666671</v>
      </c>
      <c r="Z38" s="40">
        <f>IFERROR(VLOOKUP($B38,대상!$B:$AD,MATCH(Z$2,대상!$1:$1,0)-1,FALSE),0)</f>
        <v>0</v>
      </c>
      <c r="AA38" s="41">
        <f>IFERROR(IF(W38="면제","100"+Z38,Y38+Z38),"")</f>
        <v>80.666666666666671</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①-사업의 지속성 확보를 위해 안정적인 원자재 공급 및 수익창출을 기반으로 하는 마케팅 전략에 대해 구체적인 설명이 필요해 보입니다.
-창업지원사업의 특성을 고려한 정량적 성과지표 및 달성방안에 대한 설명이 필요해 보입니다.   _x000D_②산업용 작업복의 부분 재활용을 통한 폐기물 절감 효과와 비용 절감에 대한 효과는 높으나 모듈형 디자인에 대한 불편함과 실제적 사용 검증이 미흡하고 제품 개발 뿐아니라 수선 보수 업체와의 연계성 및 전반적 영업 카테고리에 대한 분석이 필요할 것으로 판단됨.  _x000D_③시장 타겟팅과 수익 구조의 틀은 잘 잡혀 있습니다.
기술적 특징과 향후 개발 경로가 직관적으로 서술되었습니다. 세부적인 매출 파이프라인과 실질적인 시장 침투 전략은 구체화가 더 필요해 보입니다.  _x000D_④아이템의 기술수요와 개발 방향은 이해하기 쉽게 작성되었으나, 전반적으로 팀 구성의 적정성은 다소 미흡한 것으로 판단 됨. _x000D_⑤기존 작업복이 가지는 한계를 명확히 인식하고 고내구성 및 고마모부위를 모듈화하여 교체가 가능하게 만드는 구조 및 그 사업성에 대해서 잘 설명되어져 있다. 다만, 다양한 작업환경에 노출되는 작업복의 특성상 내구성을 강화한다고 하더라도 내오염성에 관련문제를 동시에 해결해야 하나 이에 대한 내용이 다소 부족하며, 실 구매보다는 렌탈로 이어지는 작업복의 시장에서 구매 및 모듈교체가 어떤식으로 시장에 접근할지에 대해 보완이 필요하다.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hidden="1" customHeight="1" x14ac:dyDescent="0.35">
      <c r="A39" s="4">
        <v>8</v>
      </c>
      <c r="B39" s="2">
        <v>20413600</v>
      </c>
      <c r="C39" s="38" t="str">
        <f>IFERROR(VLOOKUP($B39,대상!$B:$AC,MATCH(C$2,대상!$1:$1,0)-1,FALSE),"")</f>
        <v>지역기반</v>
      </c>
      <c r="D39" s="38" t="str">
        <f>IFERROR(VLOOKUP($B39,대상!$B:$AC,MATCH(D$2,대상!$1:$1,0)-1,FALSE),"")</f>
        <v>정승연</v>
      </c>
      <c r="E39" s="36" t="str">
        <f>IFERROR(VLOOKUP($B39,대상!$B:$AC,MATCH(E$2,대상!$1:$1,0)-1,FALSE),"")</f>
        <v>화공ㆍ섬유</v>
      </c>
      <c r="F39" s="38" t="str">
        <f>IFERROR(VLOOKUP($B39,대상!$B:$AC,MATCH(F$2,대상!$1:$1,0)-1,FALSE),"")</f>
        <v>생리통 완화용 하복부 밀착형 온열·전기자극(TENS) 스마트 이너웨어 개발</v>
      </c>
      <c r="G39" s="38" t="str">
        <f>IFERROR(VLOOKUP($B39,대상!$B:$AC,MATCH(G$2,대상!$1:$1,0)-1,FALSE),"")</f>
        <v/>
      </c>
      <c r="H39" s="33">
        <f>IFERROR(VLOOKUP($B39,[1]평가!$B:$Z,MATCH(LEFT(H$2,2),[1]평가!$7:$7,0)-1,FALSE),"")</f>
        <v>0</v>
      </c>
      <c r="I39" s="36">
        <f>IFERROR(VLOOKUP($B39,[1]평가!$B:$Z,MATCH(LEFT(I$2,2),[1]평가!$7:$7,0)-1,FALSE),"")</f>
        <v>80</v>
      </c>
      <c r="J39" s="36">
        <f>IFERROR(VLOOKUP($B39,[1]평가!$B:$Z,MATCH(LEFT(J$2,2),[1]평가!$7:$7,0)-1,FALSE),"")</f>
        <v>45</v>
      </c>
      <c r="K39" s="33">
        <f>IFERROR(VLOOKUP($B39,[2]평가!$B:$Z,MATCH(LEFT(K$2,2),[2]평가!$7:$7,0)-1,FALSE),"")</f>
        <v>0</v>
      </c>
      <c r="L39" s="36">
        <f>IFERROR(VLOOKUP($B39,[2]평가!$B:$Z,MATCH(LEFT(L$2,2),[2]평가!$7:$7,0)-1,FALSE),"")</f>
        <v>79</v>
      </c>
      <c r="M39" s="39">
        <f>IFERROR(VLOOKUP($B39,[2]평가!$B:$Z,MATCH(LEFT(M$2,2),[2]평가!$7:$7,0)-1,FALSE),"")</f>
        <v>48</v>
      </c>
      <c r="N39" s="33">
        <f>IFERROR(VLOOKUP($B39,[3]평가!$B:$Z,MATCH(LEFT(N$2,2),[3]평가!$7:$7,0)-1,FALSE),"")</f>
        <v>0</v>
      </c>
      <c r="O39" s="36">
        <f>IFERROR(VLOOKUP($B39,[3]평가!$B:$Z,MATCH(LEFT(O$2,2),[3]평가!$7:$7,0)-1,FALSE),"")</f>
        <v>86</v>
      </c>
      <c r="P39" s="39">
        <f>IFERROR(VLOOKUP($B39,[3]평가!$B:$Z,MATCH(LEFT(P$2,2),[3]평가!$7:$7,0)-1,FALSE),"")</f>
        <v>20</v>
      </c>
      <c r="Q39" s="33">
        <f>IFERROR(VLOOKUP($B39,[4]평가!$B:$Z,MATCH(LEFT(Q$2,2),[4]평가!$7:$7,0)-1,FALSE),"")</f>
        <v>0</v>
      </c>
      <c r="R39" s="36">
        <f>IFERROR(VLOOKUP($B39,[4]평가!$B:$Z,MATCH(LEFT(R$2,2),[4]평가!$7:$7,0)-1,FALSE),"")</f>
        <v>76</v>
      </c>
      <c r="S39" s="39">
        <f>IFERROR(VLOOKUP($B39,[4]평가!$B:$Z,MATCH(LEFT(S$2,2),[4]평가!$7:$7,0)-1,FALSE),"")</f>
        <v>74</v>
      </c>
      <c r="T39" s="33">
        <f>IFERROR(VLOOKUP($B39,[5]평가!$B:$Z,MATCH(LEFT(T$2,2),[5]평가!$7:$7,0)-1,FALSE),"")</f>
        <v>0</v>
      </c>
      <c r="U39" s="36">
        <f>IFERROR(VLOOKUP($B39,[5]평가!$B:$Z,MATCH(LEFT(U$2,2),[5]평가!$7:$7,0)-1,FALSE),"")</f>
        <v>82</v>
      </c>
      <c r="V39" s="39">
        <f>IFERROR(VLOOKUP($B39,[5]평가!$B:$Z,MATCH(LEFT(V$2,2),[5]평가!$7:$7,0)-1,FALSE),"")</f>
        <v>37</v>
      </c>
      <c r="W39" s="33">
        <f>IFERROR(VLOOKUP($B39,대상!$B:$AD,MATCH(W$2,대상!$1:$1,0)-1,FALSE),"")</f>
        <v>0</v>
      </c>
      <c r="X39" s="20">
        <f>IF(ISBLANK(B39),"",T$1-COUNTIF(H39:V39,"회피"))</f>
        <v>5</v>
      </c>
      <c r="Y39" s="21">
        <f>IF($T$1=X39,(SUM(I39,L39,O39,R39,U39)-MIN(I39,L39,O39,R39,U39)-MAX(I39,L39,O39,R39,U39))/($T$1-2),SUM(I39,L39,O39,R39,U39/X39))</f>
        <v>80.333333333333329</v>
      </c>
      <c r="Z39" s="40">
        <f>IFERROR(VLOOKUP($B39,대상!$B:$AD,MATCH(Z$2,대상!$1:$1,0)-1,FALSE),0)</f>
        <v>0</v>
      </c>
      <c r="AA39" s="41">
        <f>IFERROR(IF(W39="면제","100"+Z39,Y39+Z39),"")</f>
        <v>80.333333333333329</v>
      </c>
      <c r="AB39" s="35" t="str">
        <f>IF(OR(W39="면제",N(Y39)=0),"",IF(AA39&lt;60,"과락",""))</f>
        <v/>
      </c>
      <c r="AC39" s="54">
        <f>IF(N(AA39)=0,"",RANK(AA39,AA$3:AA$202))</f>
        <v>38</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①-사업화아이템의 지속성 및 기존유사제품에 대한 경쟁력 강화를 위해 산업재산권 확보 방안에 대한 고민이 필요해 보입니다.
-사업의 성공가능성 향상을 위해 보다 다각적이고 세부적인 수익창출방안 및 성과 목표달성방안에 대한 고민이 필요해 보입니다. _x000D_②개발제품에 대한 필요성과 시장분석은 양호하고 유통전략은 제시되었으나 유사 제품에 대한 경쟁력확보가 어렵고 개발의 차별성이 부족함. _x000D_③기존 시장 제품들과 비교하여 기술적 차별성이 보여지며, 관련 특허 및 인증을 통해 진입 장벽을 견고히 구축함.
추진력과 아이디어가 훌륭하므로 실무적 완성도를 높인다면 매력적인 사업이 될 것 _x000D_④창업동기와 문제인식은 비교적 명확하게 제시되었으나, 시장규모와 고객 검증자료는 다소 미흡한 것으로 판단 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인체에 직접적으로 효과를 주는 기기인만큼 열, 피부, 전자파 및 장기 인체에 대한 안전성에 대한 검증이 충분히 이뤄져야 할 것이나, 이부분은 단기적인 대응이 어렵고 이를 위한 기술적 극복방안에 대해 보완이 필요하다.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hidden="1" customHeight="1" x14ac:dyDescent="0.35">
      <c r="A40" s="4">
        <v>50</v>
      </c>
      <c r="B40" s="2">
        <v>20412771</v>
      </c>
      <c r="C40" s="38" t="str">
        <f>IFERROR(VLOOKUP($B40,대상!$B:$AC,MATCH(C$2,대상!$1:$1,0)-1,FALSE),"")</f>
        <v>지역기반</v>
      </c>
      <c r="D40" s="38" t="str">
        <f>IFERROR(VLOOKUP($B40,대상!$B:$AC,MATCH(D$2,대상!$1:$1,0)-1,FALSE),"")</f>
        <v>김용환</v>
      </c>
      <c r="E40" s="36" t="str">
        <f>IFERROR(VLOOKUP($B40,대상!$B:$AC,MATCH(E$2,대상!$1:$1,0)-1,FALSE),"")</f>
        <v>화공ㆍ섬유</v>
      </c>
      <c r="F40" s="38" t="str">
        <f>IFERROR(VLOOKUP($B40,대상!$B:$AC,MATCH(F$2,대상!$1:$1,0)-1,FALSE),"")</f>
        <v>고온 향 유지 기반 1인 가구 맞춤형 원스톱 조미료 제조 사업</v>
      </c>
      <c r="G40" s="38" t="str">
        <f>IFERROR(VLOOKUP($B40,대상!$B:$AC,MATCH(G$2,대상!$1:$1,0)-1,FALSE),"")</f>
        <v/>
      </c>
      <c r="H40" s="33">
        <f>IFERROR(VLOOKUP($B40,[1]평가!$B:$Z,MATCH(LEFT(H$2,2),[1]평가!$7:$7,0)-1,FALSE),"")</f>
        <v>0</v>
      </c>
      <c r="I40" s="36">
        <f>IFERROR(VLOOKUP($B40,[1]평가!$B:$Z,MATCH(LEFT(I$2,2),[1]평가!$7:$7,0)-1,FALSE),"")</f>
        <v>81</v>
      </c>
      <c r="J40" s="36">
        <f>IFERROR(VLOOKUP($B40,[1]평가!$B:$Z,MATCH(LEFT(J$2,2),[1]평가!$7:$7,0)-1,FALSE),"")</f>
        <v>22</v>
      </c>
      <c r="K40" s="33">
        <f>IFERROR(VLOOKUP($B40,[2]평가!$B:$Z,MATCH(LEFT(K$2,2),[2]평가!$7:$7,0)-1,FALSE),"")</f>
        <v>0</v>
      </c>
      <c r="L40" s="36">
        <f>IFERROR(VLOOKUP($B40,[2]평가!$B:$Z,MATCH(LEFT(L$2,2),[2]평가!$7:$7,0)-1,FALSE),"")</f>
        <v>70</v>
      </c>
      <c r="M40" s="39">
        <f>IFERROR(VLOOKUP($B40,[2]평가!$B:$Z,MATCH(LEFT(M$2,2),[2]평가!$7:$7,0)-1,FALSE),"")</f>
        <v>85</v>
      </c>
      <c r="N40" s="33">
        <f>IFERROR(VLOOKUP($B40,[3]평가!$B:$Z,MATCH(LEFT(N$2,2),[3]평가!$7:$7,0)-1,FALSE),"")</f>
        <v>0</v>
      </c>
      <c r="O40" s="36">
        <f>IFERROR(VLOOKUP($B40,[3]평가!$B:$Z,MATCH(LEFT(O$2,2),[3]평가!$7:$7,0)-1,FALSE),"")</f>
        <v>83</v>
      </c>
      <c r="P40" s="39">
        <f>IFERROR(VLOOKUP($B40,[3]평가!$B:$Z,MATCH(LEFT(P$2,2),[3]평가!$7:$7,0)-1,FALSE),"")</f>
        <v>24</v>
      </c>
      <c r="Q40" s="33">
        <f>IFERROR(VLOOKUP($B40,[4]평가!$B:$Z,MATCH(LEFT(Q$2,2),[4]평가!$7:$7,0)-1,FALSE),"")</f>
        <v>0</v>
      </c>
      <c r="R40" s="36">
        <f>IFERROR(VLOOKUP($B40,[4]평가!$B:$Z,MATCH(LEFT(R$2,2),[4]평가!$7:$7,0)-1,FALSE),"")</f>
        <v>74</v>
      </c>
      <c r="S40" s="39">
        <f>IFERROR(VLOOKUP($B40,[4]평가!$B:$Z,MATCH(LEFT(S$2,2),[4]평가!$7:$7,0)-1,FALSE),"")</f>
        <v>74</v>
      </c>
      <c r="T40" s="33">
        <f>IFERROR(VLOOKUP($B40,[5]평가!$B:$Z,MATCH(LEFT(T$2,2),[5]평가!$7:$7,0)-1,FALSE),"")</f>
        <v>0</v>
      </c>
      <c r="U40" s="36">
        <f>IFERROR(VLOOKUP($B40,[5]평가!$B:$Z,MATCH(LEFT(U$2,2),[5]평가!$7:$7,0)-1,FALSE),"")</f>
        <v>80</v>
      </c>
      <c r="V40" s="39">
        <f>IFERROR(VLOOKUP($B40,[5]평가!$B:$Z,MATCH(LEFT(V$2,2),[5]평가!$7:$7,0)-1,FALSE),"")</f>
        <v>37</v>
      </c>
      <c r="W40" s="33">
        <f>IFERROR(VLOOKUP($B40,대상!$B:$AD,MATCH(W$2,대상!$1:$1,0)-1,FALSE),"")</f>
        <v>0</v>
      </c>
      <c r="X40" s="20">
        <f>IF(ISBLANK(B40),"",T$1-COUNTIF(H40:V40,"회피"))</f>
        <v>5</v>
      </c>
      <c r="Y40" s="21">
        <f>IF($T$1=X40,(SUM(I40,L40,O40,R40,U40)-MIN(I40,L40,O40,R40,U40)-MAX(I40,L40,O40,R40,U40))/($T$1-2),SUM(I40,L40,O40,R40,U40/X40))</f>
        <v>78.333333333333329</v>
      </c>
      <c r="Z40" s="40">
        <f>IFERROR(VLOOKUP($B40,대상!$B:$AD,MATCH(Z$2,대상!$1:$1,0)-1,FALSE),0)</f>
        <v>2</v>
      </c>
      <c r="AA40" s="41">
        <f>IFERROR(IF(W40="면제","100"+Z40,Y40+Z40),"")</f>
        <v>80.333333333333329</v>
      </c>
      <c r="AB40" s="35" t="str">
        <f>IF(OR(W40="면제",N(Y40)=0),"",IF(AA40&lt;60,"과락",""))</f>
        <v/>
      </c>
      <c r="AC40" s="54">
        <f>IF(N(AA40)=0,"",RANK(AA40,AA$3:AA$202))</f>
        <v>38</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_x000D_②생활 편의성을 위한 제품 개발이나 개발의 난이도는 낮고 실질적 제품화를 통한 매출 확대 가능성이 낮을 것으로 평가되며 제시된 영업 전략에 의한 영업 지속성의 근거가 낮은 것으로 평가됨 _x000D_③시장 문제점에 대한 분석이 피상적이며, 시장의 페인 포인트를 입증할 통계나 근거 자료 보완이 필수적임. 아이템의 참신함이 돋보이므로 시장 데이터 보완시 매력적인 사업이 될 것임.  _x000D_④창업아이템의 개발 배경과 목적은 명확하게 제시가 되어 있으나, 개발된 제품의 차별성과 아이템의 시장 적용 가능성에 대한 구체성은 미흡한 것으로 판단 됨. _x000D_⑤개인화 되어가는 최근 시장의 흐름에 맞춤형인 신규 아이템의 발굴과 자사 유튜브 등의 운영으로 충분한 검증data등을 가지고 있는 부분이 잘 설명되어져 있다. 제품이 개발된다면 충분한 홍보효과나 마케팅의 능력은 갖춘것으로 판단된다. 다만, 1인가구나 유튜브를 보는 고객층이 소비자로 이어진다는 판단은 섣부르며, 경쟁사 제품대비 향과 실온에서 보관가능하다는 차이점은 있으나 시장경쟁력을 확보한다는 부분의 추가적인 설명의 보완이 필요하다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hidden="1" customHeight="1" x14ac:dyDescent="0.35">
      <c r="A41" s="4">
        <v>31</v>
      </c>
      <c r="B41" s="2">
        <v>20432665</v>
      </c>
      <c r="C41" s="38" t="str">
        <f>IFERROR(VLOOKUP($B41,대상!$B:$AC,MATCH(C$2,대상!$1:$1,0)-1,FALSE),"")</f>
        <v>지역기반</v>
      </c>
      <c r="D41" s="38" t="str">
        <f>IFERROR(VLOOKUP($B41,대상!$B:$AC,MATCH(D$2,대상!$1:$1,0)-1,FALSE),"")</f>
        <v>최현</v>
      </c>
      <c r="E41" s="36" t="str">
        <f>IFERROR(VLOOKUP($B41,대상!$B:$AC,MATCH(E$2,대상!$1:$1,0)-1,FALSE),"")</f>
        <v>화공ㆍ섬유</v>
      </c>
      <c r="F41" s="38" t="str">
        <f>IFERROR(VLOOKUP($B41,대상!$B:$AC,MATCH(F$2,대상!$1:$1,0)-1,FALSE),"")</f>
        <v>워크웨어의 진화에 맞춘 툴벨트의 세대교체, 모듈러 테크기어 ‘T.C.R.P.’</v>
      </c>
      <c r="G41" s="38" t="str">
        <f>IFERROR(VLOOKUP($B41,대상!$B:$AC,MATCH(G$2,대상!$1:$1,0)-1,FALSE),"")</f>
        <v/>
      </c>
      <c r="H41" s="33">
        <f>IFERROR(VLOOKUP($B41,[1]평가!$B:$Z,MATCH(LEFT(H$2,2),[1]평가!$7:$7,0)-1,FALSE),"")</f>
        <v>0</v>
      </c>
      <c r="I41" s="36">
        <f>IFERROR(VLOOKUP($B41,[1]평가!$B:$Z,MATCH(LEFT(I$2,2),[1]평가!$7:$7,0)-1,FALSE),"")</f>
        <v>79</v>
      </c>
      <c r="J41" s="36">
        <f>IFERROR(VLOOKUP($B41,[1]평가!$B:$Z,MATCH(LEFT(J$2,2),[1]평가!$7:$7,0)-1,FALSE),"")</f>
        <v>47</v>
      </c>
      <c r="K41" s="33">
        <f>IFERROR(VLOOKUP($B41,[2]평가!$B:$Z,MATCH(LEFT(K$2,2),[2]평가!$7:$7,0)-1,FALSE),"")</f>
        <v>0</v>
      </c>
      <c r="L41" s="36">
        <f>IFERROR(VLOOKUP($B41,[2]평가!$B:$Z,MATCH(LEFT(L$2,2),[2]평가!$7:$7,0)-1,FALSE),"")</f>
        <v>82</v>
      </c>
      <c r="M41" s="39">
        <f>IFERROR(VLOOKUP($B41,[2]평가!$B:$Z,MATCH(LEFT(M$2,2),[2]평가!$7:$7,0)-1,FALSE),"")</f>
        <v>34</v>
      </c>
      <c r="N41" s="33">
        <f>IFERROR(VLOOKUP($B41,[3]평가!$B:$Z,MATCH(LEFT(N$2,2),[3]평가!$7:$7,0)-1,FALSE),"")</f>
        <v>0</v>
      </c>
      <c r="O41" s="36">
        <f>IFERROR(VLOOKUP($B41,[3]평가!$B:$Z,MATCH(LEFT(O$2,2),[3]평가!$7:$7,0)-1,FALSE),"")</f>
        <v>79</v>
      </c>
      <c r="P41" s="39">
        <f>IFERROR(VLOOKUP($B41,[3]평가!$B:$Z,MATCH(LEFT(P$2,2),[3]평가!$7:$7,0)-1,FALSE),"")</f>
        <v>45</v>
      </c>
      <c r="Q41" s="33">
        <f>IFERROR(VLOOKUP($B41,[4]평가!$B:$Z,MATCH(LEFT(Q$2,2),[4]평가!$7:$7,0)-1,FALSE),"")</f>
        <v>0</v>
      </c>
      <c r="R41" s="36">
        <f>IFERROR(VLOOKUP($B41,[4]평가!$B:$Z,MATCH(LEFT(R$2,2),[4]평가!$7:$7,0)-1,FALSE),"")</f>
        <v>71</v>
      </c>
      <c r="S41" s="39">
        <f>IFERROR(VLOOKUP($B41,[4]평가!$B:$Z,MATCH(LEFT(S$2,2),[4]평가!$7:$7,0)-1,FALSE),"")</f>
        <v>98</v>
      </c>
      <c r="T41" s="33">
        <f>IFERROR(VLOOKUP($B41,[5]평가!$B:$Z,MATCH(LEFT(T$2,2),[5]평가!$7:$7,0)-1,FALSE),"")</f>
        <v>0</v>
      </c>
      <c r="U41" s="36">
        <f>IFERROR(VLOOKUP($B41,[5]평가!$B:$Z,MATCH(LEFT(U$2,2),[5]평가!$7:$7,0)-1,FALSE),"")</f>
        <v>85</v>
      </c>
      <c r="V41" s="39">
        <f>IFERROR(VLOOKUP($B41,[5]평가!$B:$Z,MATCH(LEFT(V$2,2),[5]평가!$7:$7,0)-1,FALSE),"")</f>
        <v>27</v>
      </c>
      <c r="W41" s="33">
        <f>IFERROR(VLOOKUP($B41,대상!$B:$AD,MATCH(W$2,대상!$1:$1,0)-1,FALSE),"")</f>
        <v>0</v>
      </c>
      <c r="X41" s="20">
        <f>IF(ISBLANK(B41),"",T$1-COUNTIF(H41:V41,"회피"))</f>
        <v>5</v>
      </c>
      <c r="Y41" s="21">
        <f>IF($T$1=X41,(SUM(I41,L41,O41,R41,U41)-MIN(I41,L41,O41,R41,U41)-MAX(I41,L41,O41,R41,U41))/($T$1-2),SUM(I41,L41,O41,R41,U41/X41))</f>
        <v>80</v>
      </c>
      <c r="Z41" s="40">
        <f>IFERROR(VLOOKUP($B41,대상!$B:$AD,MATCH(Z$2,대상!$1:$1,0)-1,FALSE),0)</f>
        <v>0</v>
      </c>
      <c r="AA41" s="41">
        <f>IFERROR(IF(W41="면제","100"+Z41,Y41+Z41),"")</f>
        <v>80</v>
      </c>
      <c r="AB41" s="35" t="str">
        <f>IF(OR(W41="면제",N(Y41)=0),"",IF(AA41&lt;60,"과락",""))</f>
        <v/>
      </c>
      <c r="AC41" s="54">
        <f>IF(N(AA41)=0,"",RANK(AA41,AA$3:AA$202))</f>
        <v>40</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①-사업화 아이템의 성공가능성 향상을 위하여 기존의 경쟁제품에 대한 차별화 요인 분석을 통한 마케팅 이슈 도출이 필요해 보입니다.
-창업지원사업의 특성을 고려한 성과목표 제시 및 달성방안에 대한 설명이 필요해 보입니다. _x000D_②시장의 필요성이 높고 작업자의 편의성과 안정성을 위한 제품 설계 기술이 확보된 것으로 판단되며 기존 해외 제품대비 경쟁력 확보가 된 것으로 판단됨.  시장 특성상 영업 난이성과 이에 대한 대응전략이 다소 부족함 _x000D_③개발하고자 하는 제품의 핵심기능을 제시하였으나 하중 분산과 근골격계 하중분산에 대한 설계와 근골격계 질환 해결을 위한 제작 방법에 대한 자세한 보완이 필요함.  제조에 참여한 대표의 역량이 뛰어나나 제품개발 관련한 기능과 차별성 검증이 다소 부족하여 보완이 필요함.  _x000D_④창업동기와 문제인식은 비교적 명확하게 제시되었으나, 시장규모와 고객 검증자료는 다소 미흡한 것으로 판단 됨. _x000D_⑤기존의 규격화된 제복, 작업복을 입고 활동하는 블루칼라 근무자들을 위한 착용 플랫폼으로서의 제품설계와  pilot단계를 통한 실용성등을 강조하는 면에서 우수한 아이템이라 볼 수 있다. 다만, 실제 인체에 착용되는 만큼 장기간 착용에 대한 안전성 검토와 근로자들의 위해성 부분에 대한 검증이 이루어져야 할 것이나, 이에 대한 설명과 자료확보를 진행해야 할 필요가 있다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hidden="1" customHeight="1" x14ac:dyDescent="0.35">
      <c r="A42" s="4">
        <v>53</v>
      </c>
      <c r="B42" s="2">
        <v>20414538</v>
      </c>
      <c r="C42" s="38" t="str">
        <f>IFERROR(VLOOKUP($B42,대상!$B:$AC,MATCH(C$2,대상!$1:$1,0)-1,FALSE),"")</f>
        <v>지역기반</v>
      </c>
      <c r="D42" s="38" t="str">
        <f>IFERROR(VLOOKUP($B42,대상!$B:$AC,MATCH(D$2,대상!$1:$1,0)-1,FALSE),"")</f>
        <v>윤나현</v>
      </c>
      <c r="E42" s="36" t="str">
        <f>IFERROR(VLOOKUP($B42,대상!$B:$AC,MATCH(E$2,대상!$1:$1,0)-1,FALSE),"")</f>
        <v>화공ㆍ섬유</v>
      </c>
      <c r="F42" s="38" t="str">
        <f>IFERROR(VLOOKUP($B42,대상!$B:$AC,MATCH(F$2,대상!$1:$1,0)-1,FALSE),"")</f>
        <v>콘텐츠 반응 데이터 기반 소비자 니즈 분석을 통한 PB 제품 개발 및 운영 프로세스 기술 개발</v>
      </c>
      <c r="G42" s="38" t="str">
        <f>IFERROR(VLOOKUP($B42,대상!$B:$AC,MATCH(G$2,대상!$1:$1,0)-1,FALSE),"")</f>
        <v/>
      </c>
      <c r="H42" s="33">
        <f>IFERROR(VLOOKUP($B42,[1]평가!$B:$Z,MATCH(LEFT(H$2,2),[1]평가!$7:$7,0)-1,FALSE),"")</f>
        <v>0</v>
      </c>
      <c r="I42" s="36">
        <f>IFERROR(VLOOKUP($B42,[1]평가!$B:$Z,MATCH(LEFT(I$2,2),[1]평가!$7:$7,0)-1,FALSE),"")</f>
        <v>83</v>
      </c>
      <c r="J42" s="36">
        <f>IFERROR(VLOOKUP($B42,[1]평가!$B:$Z,MATCH(LEFT(J$2,2),[1]평가!$7:$7,0)-1,FALSE),"")</f>
        <v>22</v>
      </c>
      <c r="K42" s="33">
        <f>IFERROR(VLOOKUP($B42,[2]평가!$B:$Z,MATCH(LEFT(K$2,2),[2]평가!$7:$7,0)-1,FALSE),"")</f>
        <v>0</v>
      </c>
      <c r="L42" s="36">
        <f>IFERROR(VLOOKUP($B42,[2]평가!$B:$Z,MATCH(LEFT(L$2,2),[2]평가!$7:$7,0)-1,FALSE),"")</f>
        <v>74</v>
      </c>
      <c r="M42" s="39">
        <f>IFERROR(VLOOKUP($B42,[2]평가!$B:$Z,MATCH(LEFT(M$2,2),[2]평가!$7:$7,0)-1,FALSE),"")</f>
        <v>78</v>
      </c>
      <c r="N42" s="33">
        <f>IFERROR(VLOOKUP($B42,[3]평가!$B:$Z,MATCH(LEFT(N$2,2),[3]평가!$7:$7,0)-1,FALSE),"")</f>
        <v>0</v>
      </c>
      <c r="O42" s="36">
        <f>IFERROR(VLOOKUP($B42,[3]평가!$B:$Z,MATCH(LEFT(O$2,2),[3]평가!$7:$7,0)-1,FALSE),"")</f>
        <v>83</v>
      </c>
      <c r="P42" s="39">
        <f>IFERROR(VLOOKUP($B42,[3]평가!$B:$Z,MATCH(LEFT(P$2,2),[3]평가!$7:$7,0)-1,FALSE),"")</f>
        <v>35</v>
      </c>
      <c r="Q42" s="33">
        <f>IFERROR(VLOOKUP($B42,[4]평가!$B:$Z,MATCH(LEFT(Q$2,2),[4]평가!$7:$7,0)-1,FALSE),"")</f>
        <v>0</v>
      </c>
      <c r="R42" s="36">
        <f>IFERROR(VLOOKUP($B42,[4]평가!$B:$Z,MATCH(LEFT(R$2,2),[4]평가!$7:$7,0)-1,FALSE),"")</f>
        <v>70</v>
      </c>
      <c r="S42" s="39">
        <f>IFERROR(VLOOKUP($B42,[4]평가!$B:$Z,MATCH(LEFT(S$2,2),[4]평가!$7:$7,0)-1,FALSE),"")</f>
        <v>100</v>
      </c>
      <c r="T42" s="33">
        <f>IFERROR(VLOOKUP($B42,[5]평가!$B:$Z,MATCH(LEFT(T$2,2),[5]평가!$7:$7,0)-1,FALSE),"")</f>
        <v>0</v>
      </c>
      <c r="U42" s="36">
        <f>IFERROR(VLOOKUP($B42,[5]평가!$B:$Z,MATCH(LEFT(U$2,2),[5]평가!$7:$7,0)-1,FALSE),"")</f>
        <v>89</v>
      </c>
      <c r="V42" s="39">
        <f>IFERROR(VLOOKUP($B42,[5]평가!$B:$Z,MATCH(LEFT(V$2,2),[5]평가!$7:$7,0)-1,FALSE),"")</f>
        <v>7</v>
      </c>
      <c r="W42" s="33">
        <f>IFERROR(VLOOKUP($B42,대상!$B:$AD,MATCH(W$2,대상!$1:$1,0)-1,FALSE),"")</f>
        <v>0</v>
      </c>
      <c r="X42" s="20">
        <f>IF(ISBLANK(B42),"",T$1-COUNTIF(H42:V42,"회피"))</f>
        <v>5</v>
      </c>
      <c r="Y42" s="21">
        <f>IF($T$1=X42,(SUM(I42,L42,O42,R42,U42)-MIN(I42,L42,O42,R42,U42)-MAX(I42,L42,O42,R42,U42))/($T$1-2),SUM(I42,L42,O42,R42,U42/X42))</f>
        <v>80</v>
      </c>
      <c r="Z42" s="40">
        <f>IFERROR(VLOOKUP($B42,대상!$B:$AD,MATCH(Z$2,대상!$1:$1,0)-1,FALSE),0)</f>
        <v>0</v>
      </c>
      <c r="AA42" s="41">
        <f>IFERROR(IF(W42="면제","100"+Z42,Y42+Z42),"")</f>
        <v>80</v>
      </c>
      <c r="AB42" s="35" t="str">
        <f>IF(OR(W42="면제",N(Y42)=0),"",IF(AA42&lt;60,"과락",""))</f>
        <v/>
      </c>
      <c r="AC42" s="54">
        <f>IF(N(AA42)=0,"",RANK(AA42,AA$3:AA$202))</f>
        <v>40</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①-사업화 대상 서비스 모델의 경쟁력 강화를 위한 자동화 솔루션 적용등 인프라 확장에 대한 고민이 필요해 보입니다.
-서비스 모델의 특성상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_x000D_②기존 OEM 시스템 대비 일원화 시스템 구축의 효과는 높으나 제품의 다양성 개발 및 외주 소싱력 약화 등의 문제점이 예상되고 인풀루언스 활용 등에 의한 자체 마켓팅 역량 강화 방안 등의 제시가 부족함 _x000D_③인플루언서 데이터 기반의 서비스의 필요성, 핵심 기능과 구체적인 활용 방안에 대한 사업화가능성에 대한 정리가 되어 있음.
기술 추진 의지는 확고해 보이나, 화장품 데이터 기반 알고리즘 설계와 자동매칭 ,데이터화 방안에 대한 기술적인 구현방법에 대한 보완이 필요.  _x000D_④창업동기와 문제 인식은 비교적 명확하게 제시가 되었으나, 실제 적용 및 사업성에 대한 검토가 미흡한 것으로 판단 됨. _x000D_⑤창업동기와 문제인식은 비교적 명확하게 제시되어 있다. 시장에 대한 규모와 통합된 일원화 솔루션으로 시장의 feedback이 즉시 반영될 수 있는 기반도 잘 구축되어져 있다. 다만 뷰티 제품인만큼 안정성과 위해성에 대한 객관적인 검증에 대한 보완이 필요하다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hidden="1" customHeight="1" x14ac:dyDescent="0.35">
      <c r="A43" s="4">
        <v>75</v>
      </c>
      <c r="B43" s="2">
        <v>20424877</v>
      </c>
      <c r="C43" s="38" t="str">
        <f>IFERROR(VLOOKUP($B43,대상!$B:$AC,MATCH(C$2,대상!$1:$1,0)-1,FALSE),"")</f>
        <v>지역기반</v>
      </c>
      <c r="D43" s="38" t="str">
        <f>IFERROR(VLOOKUP($B43,대상!$B:$AC,MATCH(D$2,대상!$1:$1,0)-1,FALSE),"")</f>
        <v>장지수</v>
      </c>
      <c r="E43" s="36" t="str">
        <f>IFERROR(VLOOKUP($B43,대상!$B:$AC,MATCH(E$2,대상!$1:$1,0)-1,FALSE),"")</f>
        <v>화공ㆍ섬유</v>
      </c>
      <c r="F43" s="38" t="str">
        <f>IFERROR(VLOOKUP($B43,대상!$B:$AC,MATCH(F$2,대상!$1:$1,0)-1,FALSE),"")</f>
        <v>2,000만 반려인의 동물병원 방문 1순위 ‘피부질환’ 문제를 해결하기 위해3D 유해성분 제로, 강아지 피부세포 실험으로 검증 특허 성분 함유 저자극 기능성 펫 스킨케어 ‘너티포비'</v>
      </c>
      <c r="G43" s="38" t="str">
        <f>IFERROR(VLOOKUP($B43,대상!$B:$AC,MATCH(G$2,대상!$1:$1,0)-1,FALSE),"")</f>
        <v/>
      </c>
      <c r="H43" s="33">
        <f>IFERROR(VLOOKUP($B43,[1]평가!$B:$Z,MATCH(LEFT(H$2,2),[1]평가!$7:$7,0)-1,FALSE),"")</f>
        <v>0</v>
      </c>
      <c r="I43" s="36">
        <f>IFERROR(VLOOKUP($B43,[1]평가!$B:$Z,MATCH(LEFT(I$2,2),[1]평가!$7:$7,0)-1,FALSE),"")</f>
        <v>79</v>
      </c>
      <c r="J43" s="36">
        <f>IFERROR(VLOOKUP($B43,[1]평가!$B:$Z,MATCH(LEFT(J$2,2),[1]평가!$7:$7,0)-1,FALSE),"")</f>
        <v>47</v>
      </c>
      <c r="K43" s="33">
        <f>IFERROR(VLOOKUP($B43,[2]평가!$B:$Z,MATCH(LEFT(K$2,2),[2]평가!$7:$7,0)-1,FALSE),"")</f>
        <v>0</v>
      </c>
      <c r="L43" s="36">
        <f>IFERROR(VLOOKUP($B43,[2]평가!$B:$Z,MATCH(LEFT(L$2,2),[2]평가!$7:$7,0)-1,FALSE),"")</f>
        <v>75</v>
      </c>
      <c r="M43" s="39">
        <f>IFERROR(VLOOKUP($B43,[2]평가!$B:$Z,MATCH(LEFT(M$2,2),[2]평가!$7:$7,0)-1,FALSE),"")</f>
        <v>74</v>
      </c>
      <c r="N43" s="33">
        <f>IFERROR(VLOOKUP($B43,[3]평가!$B:$Z,MATCH(LEFT(N$2,2),[3]평가!$7:$7,0)-1,FALSE),"")</f>
        <v>0</v>
      </c>
      <c r="O43" s="36">
        <f>IFERROR(VLOOKUP($B43,[3]평가!$B:$Z,MATCH(LEFT(O$2,2),[3]평가!$7:$7,0)-1,FALSE),"")</f>
        <v>68</v>
      </c>
      <c r="P43" s="39">
        <f>IFERROR(VLOOKUP($B43,[3]평가!$B:$Z,MATCH(LEFT(P$2,2),[3]평가!$7:$7,0)-1,FALSE),"")</f>
        <v>96</v>
      </c>
      <c r="Q43" s="33">
        <f>IFERROR(VLOOKUP($B43,[4]평가!$B:$Z,MATCH(LEFT(Q$2,2),[4]평가!$7:$7,0)-1,FALSE),"")</f>
        <v>0</v>
      </c>
      <c r="R43" s="36">
        <f>IFERROR(VLOOKUP($B43,[4]평가!$B:$Z,MATCH(LEFT(R$2,2),[4]평가!$7:$7,0)-1,FALSE),"")</f>
        <v>86</v>
      </c>
      <c r="S43" s="39">
        <f>IFERROR(VLOOKUP($B43,[4]평가!$B:$Z,MATCH(LEFT(S$2,2),[4]평가!$7:$7,0)-1,FALSE),"")</f>
        <v>23</v>
      </c>
      <c r="T43" s="33">
        <f>IFERROR(VLOOKUP($B43,[5]평가!$B:$Z,MATCH(LEFT(T$2,2),[5]평가!$7:$7,0)-1,FALSE),"")</f>
        <v>0</v>
      </c>
      <c r="U43" s="36">
        <f>IFERROR(VLOOKUP($B43,[5]평가!$B:$Z,MATCH(LEFT(U$2,2),[5]평가!$7:$7,0)-1,FALSE),"")</f>
        <v>87</v>
      </c>
      <c r="V43" s="39">
        <f>IFERROR(VLOOKUP($B43,[5]평가!$B:$Z,MATCH(LEFT(V$2,2),[5]평가!$7:$7,0)-1,FALSE),"")</f>
        <v>14</v>
      </c>
      <c r="W43" s="33">
        <f>IFERROR(VLOOKUP($B43,대상!$B:$AD,MATCH(W$2,대상!$1:$1,0)-1,FALSE),"")</f>
        <v>0</v>
      </c>
      <c r="X43" s="20">
        <f>IF(ISBLANK(B43),"",T$1-COUNTIF(H43:V43,"회피"))</f>
        <v>5</v>
      </c>
      <c r="Y43" s="21">
        <f>IF($T$1=X43,(SUM(I43,L43,O43,R43,U43)-MIN(I43,L43,O43,R43,U43)-MAX(I43,L43,O43,R43,U43))/($T$1-2),SUM(I43,L43,O43,R43,U43/X43))</f>
        <v>80</v>
      </c>
      <c r="Z43" s="40">
        <f>IFERROR(VLOOKUP($B43,대상!$B:$AD,MATCH(Z$2,대상!$1:$1,0)-1,FALSE),0)</f>
        <v>0</v>
      </c>
      <c r="AA43" s="41">
        <f>IFERROR(IF(W43="면제","100"+Z43,Y43+Z43),"")</f>
        <v>80</v>
      </c>
      <c r="AB43" s="35" t="str">
        <f>IF(OR(W43="면제",N(Y43)=0),"",IF(AA43&lt;60,"과락",""))</f>
        <v/>
      </c>
      <c r="AC43" s="54">
        <f>IF(N(AA43)=0,"",RANK(AA43,AA$3:AA$202))</f>
        <v>40</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_x000D_②반려동물의 피부 질환 예방 스킨 제품 개발과 제품의 제형 개발이 상당 완료된 상태로 목표 개발과  시장 진입은 가능할 것으로 판단되나 스킨 시장에 대한 구체적 시장 규모 제시가 부족하고 실질적 적용 가능성에 대한 근거가 미흡하여 영업 확장성이 낮을 것으로 예상됨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_x000D_④아이템의 기술수요와 개발 방향이 이해 하기 쉽게 작성되었으며, 팀 구성의 적정성도 양호한 것으로 판단 됨. _x000D_⑤펫 시장에서 발생하기 쉬운 피부질환 및 이를 극복하기 위한 기존제품들과 차별성으로 창업아이템에 대해서 잘 설명해주고 있다. 또한 창업을 위한 핵심기술에 대해 In vitro 검증을 통해 증명하고 있으며, 반려동물 피부 기준으로의 효능도 설명되고 있어 사업성이 충분히 있다고 판단된다. 다만, 개발하고자 하는 목적이 치료인지, 예방인지 이에 대한 설명이 혼용되어 있어 다소 보완이 필요하다.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hidden="1" customHeight="1" x14ac:dyDescent="0.35">
      <c r="A44" s="4">
        <v>87</v>
      </c>
      <c r="B44" s="2">
        <v>20427962</v>
      </c>
      <c r="C44" s="38" t="str">
        <f>IFERROR(VLOOKUP($B44,대상!$B:$AC,MATCH(C$2,대상!$1:$1,0)-1,FALSE),"")</f>
        <v>지역기반</v>
      </c>
      <c r="D44" s="38" t="str">
        <f>IFERROR(VLOOKUP($B44,대상!$B:$AC,MATCH(D$2,대상!$1:$1,0)-1,FALSE),"")</f>
        <v>이서영</v>
      </c>
      <c r="E44" s="36" t="str">
        <f>IFERROR(VLOOKUP($B44,대상!$B:$AC,MATCH(E$2,대상!$1:$1,0)-1,FALSE),"")</f>
        <v>화공ㆍ섬유</v>
      </c>
      <c r="F44" s="38" t="str">
        <f>IFERROR(VLOOKUP($B44,대상!$B:$AC,MATCH(F$2,대상!$1:$1,0)-1,FALSE),"")</f>
        <v>천연 염색 기술이 적용된 영유아 프리미엄 친환경 아동복</v>
      </c>
      <c r="G44" s="38" t="str">
        <f>IFERROR(VLOOKUP($B44,대상!$B:$AC,MATCH(G$2,대상!$1:$1,0)-1,FALSE),"")</f>
        <v/>
      </c>
      <c r="H44" s="33">
        <f>IFERROR(VLOOKUP($B44,[1]평가!$B:$Z,MATCH(LEFT(H$2,2),[1]평가!$7:$7,0)-1,FALSE),"")</f>
        <v>0</v>
      </c>
      <c r="I44" s="36">
        <f>IFERROR(VLOOKUP($B44,[1]평가!$B:$Z,MATCH(LEFT(I$2,2),[1]평가!$7:$7,0)-1,FALSE),"")</f>
        <v>74</v>
      </c>
      <c r="J44" s="36">
        <f>IFERROR(VLOOKUP($B44,[1]평가!$B:$Z,MATCH(LEFT(J$2,2),[1]평가!$7:$7,0)-1,FALSE),"")</f>
        <v>89</v>
      </c>
      <c r="K44" s="33">
        <f>IFERROR(VLOOKUP($B44,[2]평가!$B:$Z,MATCH(LEFT(K$2,2),[2]평가!$7:$7,0)-1,FALSE),"")</f>
        <v>0</v>
      </c>
      <c r="L44" s="36">
        <f>IFERROR(VLOOKUP($B44,[2]평가!$B:$Z,MATCH(LEFT(L$2,2),[2]평가!$7:$7,0)-1,FALSE),"")</f>
        <v>77</v>
      </c>
      <c r="M44" s="39">
        <f>IFERROR(VLOOKUP($B44,[2]평가!$B:$Z,MATCH(LEFT(M$2,2),[2]평가!$7:$7,0)-1,FALSE),"")</f>
        <v>64</v>
      </c>
      <c r="N44" s="33">
        <f>IFERROR(VLOOKUP($B44,[3]평가!$B:$Z,MATCH(LEFT(N$2,2),[3]평가!$7:$7,0)-1,FALSE),"")</f>
        <v>0</v>
      </c>
      <c r="O44" s="36">
        <f>IFERROR(VLOOKUP($B44,[3]평가!$B:$Z,MATCH(LEFT(O$2,2),[3]평가!$7:$7,0)-1,FALSE),"")</f>
        <v>87</v>
      </c>
      <c r="P44" s="39">
        <f>IFERROR(VLOOKUP($B44,[3]평가!$B:$Z,MATCH(LEFT(P$2,2),[3]평가!$7:$7,0)-1,FALSE),"")</f>
        <v>11</v>
      </c>
      <c r="Q44" s="33">
        <f>IFERROR(VLOOKUP($B44,[4]평가!$B:$Z,MATCH(LEFT(Q$2,2),[4]평가!$7:$7,0)-1,FALSE),"")</f>
        <v>0</v>
      </c>
      <c r="R44" s="36">
        <f>IFERROR(VLOOKUP($B44,[4]평가!$B:$Z,MATCH(LEFT(R$2,2),[4]평가!$7:$7,0)-1,FALSE),"")</f>
        <v>81</v>
      </c>
      <c r="S44" s="39">
        <f>IFERROR(VLOOKUP($B44,[4]평가!$B:$Z,MATCH(LEFT(S$2,2),[4]평가!$7:$7,0)-1,FALSE),"")</f>
        <v>46</v>
      </c>
      <c r="T44" s="33">
        <f>IFERROR(VLOOKUP($B44,[5]평가!$B:$Z,MATCH(LEFT(T$2,2),[5]평가!$7:$7,0)-1,FALSE),"")</f>
        <v>0</v>
      </c>
      <c r="U44" s="36">
        <f>IFERROR(VLOOKUP($B44,[5]평가!$B:$Z,MATCH(LEFT(U$2,2),[5]평가!$7:$7,0)-1,FALSE),"")</f>
        <v>82</v>
      </c>
      <c r="V44" s="39">
        <f>IFERROR(VLOOKUP($B44,[5]평가!$B:$Z,MATCH(LEFT(V$2,2),[5]평가!$7:$7,0)-1,FALSE),"")</f>
        <v>37</v>
      </c>
      <c r="W44" s="33">
        <f>IFERROR(VLOOKUP($B44,대상!$B:$AD,MATCH(W$2,대상!$1:$1,0)-1,FALSE),"")</f>
        <v>0</v>
      </c>
      <c r="X44" s="20">
        <f>IF(ISBLANK(B44),"",T$1-COUNTIF(H44:V44,"회피"))</f>
        <v>5</v>
      </c>
      <c r="Y44" s="21">
        <f>IF($T$1=X44,(SUM(I44,L44,O44,R44,U44)-MIN(I44,L44,O44,R44,U44)-MAX(I44,L44,O44,R44,U44))/($T$1-2),SUM(I44,L44,O44,R44,U44/X44))</f>
        <v>80</v>
      </c>
      <c r="Z44" s="40">
        <f>IFERROR(VLOOKUP($B44,대상!$B:$AD,MATCH(Z$2,대상!$1:$1,0)-1,FALSE),0)</f>
        <v>0</v>
      </c>
      <c r="AA44" s="41">
        <f>IFERROR(IF(W44="면제","100"+Z44,Y44+Z44),"")</f>
        <v>80</v>
      </c>
      <c r="AB44" s="35" t="str">
        <f>IF(OR(W44="면제",N(Y44)=0),"",IF(AA44&lt;60,"과락",""))</f>
        <v/>
      </c>
      <c r="AC44" s="54">
        <f>IF(N(AA44)=0,"",RANK(AA44,AA$3:AA$202))</f>
        <v>40</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_x000D_②영유아 의류의 저자극 요구 특성에 맞춘 목표 제품으로 시장성 및 영업 확장성이 큰 반면 천연 염색 제품의 제품화 용이성으로 경쟁력 확보가 어렵고 시장 우위성을 확보하기 위한 대응 전략이 부족한 것으로 판단됨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인식이 비교적 명확하게 제시가 되어 있으나,  실제 차별성이 기술 우위로 연결되는 설명이 다소 미흠 함 _x000D_⑤독자적인 천연 염색기술을 활용하여 자극을 최소로 한 영,유아 아동복을 창업아이템으로 하는 사업과제로 사업의 전반적인 부분과 필요성에 대해 잘 설명되어져 있다. 다만, 천연 염색기술을 활용했을 예상되는 비용의 문제나 이들의 가격경쟁력을 확보하기 위한 부분이 충분히 설명되어져 있지 않아 보완이 필요하다.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hidden="1" customHeight="1" x14ac:dyDescent="0.35">
      <c r="A45" s="4">
        <v>112</v>
      </c>
      <c r="B45" s="2">
        <v>20417179</v>
      </c>
      <c r="C45" s="38" t="str">
        <f>IFERROR(VLOOKUP($B45,대상!$B:$AC,MATCH(C$2,대상!$1:$1,0)-1,FALSE),"")</f>
        <v>지역기반</v>
      </c>
      <c r="D45" s="38" t="str">
        <f>IFERROR(VLOOKUP($B45,대상!$B:$AC,MATCH(D$2,대상!$1:$1,0)-1,FALSE),"")</f>
        <v>이동호</v>
      </c>
      <c r="E45" s="36" t="str">
        <f>IFERROR(VLOOKUP($B45,대상!$B:$AC,MATCH(E$2,대상!$1:$1,0)-1,FALSE),"")</f>
        <v>화공ㆍ섬유</v>
      </c>
      <c r="F45" s="38" t="str">
        <f>IFERROR(VLOOKUP($B45,대상!$B:$AC,MATCH(F$2,대상!$1:$1,0)-1,FALSE),"")</f>
        <v>VOCs 저감 및 재활용 분리가 가능한 무접착 열라미네이팅 기반 친환경 합지소재 기술개발</v>
      </c>
      <c r="G45" s="38" t="str">
        <f>IFERROR(VLOOKUP($B45,대상!$B:$AC,MATCH(G$2,대상!$1:$1,0)-1,FALSE),"")</f>
        <v/>
      </c>
      <c r="H45" s="33">
        <f>IFERROR(VLOOKUP($B45,[1]평가!$B:$Z,MATCH(LEFT(H$2,2),[1]평가!$7:$7,0)-1,FALSE),"")</f>
        <v>0</v>
      </c>
      <c r="I45" s="36">
        <f>IFERROR(VLOOKUP($B45,[1]평가!$B:$Z,MATCH(LEFT(I$2,2),[1]평가!$7:$7,0)-1,FALSE),"")</f>
        <v>74</v>
      </c>
      <c r="J45" s="36">
        <f>IFERROR(VLOOKUP($B45,[1]평가!$B:$Z,MATCH(LEFT(J$2,2),[1]평가!$7:$7,0)-1,FALSE),"")</f>
        <v>89</v>
      </c>
      <c r="K45" s="33">
        <f>IFERROR(VLOOKUP($B45,[2]평가!$B:$Z,MATCH(LEFT(K$2,2),[2]평가!$7:$7,0)-1,FALSE),"")</f>
        <v>0</v>
      </c>
      <c r="L45" s="36">
        <f>IFERROR(VLOOKUP($B45,[2]평가!$B:$Z,MATCH(LEFT(L$2,2),[2]평가!$7:$7,0)-1,FALSE),"")</f>
        <v>82</v>
      </c>
      <c r="M45" s="39">
        <f>IFERROR(VLOOKUP($B45,[2]평가!$B:$Z,MATCH(LEFT(M$2,2),[2]평가!$7:$7,0)-1,FALSE),"")</f>
        <v>34</v>
      </c>
      <c r="N45" s="33">
        <f>IFERROR(VLOOKUP($B45,[3]평가!$B:$Z,MATCH(LEFT(N$2,2),[3]평가!$7:$7,0)-1,FALSE),"")</f>
        <v>0</v>
      </c>
      <c r="O45" s="36">
        <f>IFERROR(VLOOKUP($B45,[3]평가!$B:$Z,MATCH(LEFT(O$2,2),[3]평가!$7:$7,0)-1,FALSE),"")</f>
        <v>87</v>
      </c>
      <c r="P45" s="39">
        <f>IFERROR(VLOOKUP($B45,[3]평가!$B:$Z,MATCH(LEFT(P$2,2),[3]평가!$7:$7,0)-1,FALSE),"")</f>
        <v>11</v>
      </c>
      <c r="Q45" s="33">
        <f>IFERROR(VLOOKUP($B45,[4]평가!$B:$Z,MATCH(LEFT(Q$2,2),[4]평가!$7:$7,0)-1,FALSE),"")</f>
        <v>0</v>
      </c>
      <c r="R45" s="36">
        <f>IFERROR(VLOOKUP($B45,[4]평가!$B:$Z,MATCH(LEFT(R$2,2),[4]평가!$7:$7,0)-1,FALSE),"")</f>
        <v>79</v>
      </c>
      <c r="S45" s="39">
        <f>IFERROR(VLOOKUP($B45,[4]평가!$B:$Z,MATCH(LEFT(S$2,2),[4]평가!$7:$7,0)-1,FALSE),"")</f>
        <v>58</v>
      </c>
      <c r="T45" s="33">
        <f>IFERROR(VLOOKUP($B45,[5]평가!$B:$Z,MATCH(LEFT(T$2,2),[5]평가!$7:$7,0)-1,FALSE),"")</f>
        <v>0</v>
      </c>
      <c r="U45" s="36">
        <f>IFERROR(VLOOKUP($B45,[5]평가!$B:$Z,MATCH(LEFT(U$2,2),[5]평가!$7:$7,0)-1,FALSE),"")</f>
        <v>78</v>
      </c>
      <c r="V45" s="39">
        <f>IFERROR(VLOOKUP($B45,[5]평가!$B:$Z,MATCH(LEFT(V$2,2),[5]평가!$7:$7,0)-1,FALSE),"")</f>
        <v>45</v>
      </c>
      <c r="W45" s="33">
        <f>IFERROR(VLOOKUP($B45,대상!$B:$AD,MATCH(W$2,대상!$1:$1,0)-1,FALSE),"")</f>
        <v>0</v>
      </c>
      <c r="X45" s="20">
        <f>IF(ISBLANK(B45),"",T$1-COUNTIF(H45:V45,"회피"))</f>
        <v>5</v>
      </c>
      <c r="Y45" s="21">
        <f>IF($T$1=X45,(SUM(I45,L45,O45,R45,U45)-MIN(I45,L45,O45,R45,U45)-MAX(I45,L45,O45,R45,U45))/($T$1-2),SUM(I45,L45,O45,R45,U45/X45))</f>
        <v>79.666666666666671</v>
      </c>
      <c r="Z45" s="40">
        <f>IFERROR(VLOOKUP($B45,대상!$B:$AD,MATCH(Z$2,대상!$1:$1,0)-1,FALSE),0)</f>
        <v>0</v>
      </c>
      <c r="AA45" s="41">
        <f>IFERROR(IF(W45="면제","100"+Z45,Y45+Z45),"")</f>
        <v>79.666666666666671</v>
      </c>
      <c r="AB45" s="35" t="str">
        <f>IF(OR(W45="면제",N(Y45)=0),"",IF(AA45&lt;60,"과락",""))</f>
        <v/>
      </c>
      <c r="AC45" s="54">
        <f>IF(N(AA45)=0,"",RANK(AA45,AA$3:AA$202))</f>
        <v>44</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_x000D_②목표 제품의 분리 용이에 대한 활용도가 높은 반면  열접착에 의한 사용상의 문제점에 대한 고찰 및 기존 접착제 적용 제품과의 성능 비교 분석 및 사전 현장 시험 자료가 부족하여 실질적 사업성에 대한 검증이 어려움 _x000D_③기술적 구현 로드맵과 비즈니스 모델 간의 정합성이 우수하며, 전체적인 사업 실행 계획의 기획 완성도가 높은 수준으로 평가됩니다.
기술 확보 의지는 뚜렷하나, 실제 시장 안착 가능성에 대해서는 면밀한 보완이 요구됩니다. _x000D_④아이템의 기술수요와 개발 방향은 이해하기 쉽게 작성되었으나, 전반적으로 팀 구성의 적정성은 다소 미흡한 것으로 판단 됨. _x000D_⑤무접착 열라미네이팅 공정기술을 활용한 친환경 포장소재를 창업아이템으로 하는 사업계획으로 전반적인 구성이 우수하며 잘 설명되어져 있다. 기초연구를 통해 기술력은 확보한 것으로 보이나, 기존 시장에서의 제품대비 가격경쟁력이나 시장성 등에 대한 객관적 검증이 추가로 보완되어야 할 것으로 보인다.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hidden="1" customHeight="1" x14ac:dyDescent="0.35">
      <c r="A46" s="4">
        <v>41</v>
      </c>
      <c r="B46" s="2">
        <v>20404733</v>
      </c>
      <c r="C46" s="38" t="str">
        <f>IFERROR(VLOOKUP($B46,대상!$B:$AC,MATCH(C$2,대상!$1:$1,0)-1,FALSE),"")</f>
        <v>지역기반</v>
      </c>
      <c r="D46" s="38" t="str">
        <f>IFERROR(VLOOKUP($B46,대상!$B:$AC,MATCH(D$2,대상!$1:$1,0)-1,FALSE),"")</f>
        <v>김도형</v>
      </c>
      <c r="E46" s="36" t="str">
        <f>IFERROR(VLOOKUP($B46,대상!$B:$AC,MATCH(E$2,대상!$1:$1,0)-1,FALSE),"")</f>
        <v>화공ㆍ섬유</v>
      </c>
      <c r="F46" s="38" t="str">
        <f>IFERROR(VLOOKUP($B46,대상!$B:$AC,MATCH(F$2,대상!$1:$1,0)-1,FALSE),"")</f>
        <v xml:space="preserve">기능성 재활용 필름 기술이 적용된 방취, 고강도 기능의 친환경 반려동물 위생 소재 </v>
      </c>
      <c r="G46" s="38" t="str">
        <f>IFERROR(VLOOKUP($B46,대상!$B:$AC,MATCH(G$2,대상!$1:$1,0)-1,FALSE),"")</f>
        <v/>
      </c>
      <c r="H46" s="33">
        <f>IFERROR(VLOOKUP($B46,[1]평가!$B:$Z,MATCH(LEFT(H$2,2),[1]평가!$7:$7,0)-1,FALSE),"")</f>
        <v>0</v>
      </c>
      <c r="I46" s="36">
        <f>IFERROR(VLOOKUP($B46,[1]평가!$B:$Z,MATCH(LEFT(I$2,2),[1]평가!$7:$7,0)-1,FALSE),"")</f>
        <v>74</v>
      </c>
      <c r="J46" s="36">
        <f>IFERROR(VLOOKUP($B46,[1]평가!$B:$Z,MATCH(LEFT(J$2,2),[1]평가!$7:$7,0)-1,FALSE),"")</f>
        <v>89</v>
      </c>
      <c r="K46" s="33">
        <f>IFERROR(VLOOKUP($B46,[2]평가!$B:$Z,MATCH(LEFT(K$2,2),[2]평가!$7:$7,0)-1,FALSE),"")</f>
        <v>0</v>
      </c>
      <c r="L46" s="36">
        <f>IFERROR(VLOOKUP($B46,[2]평가!$B:$Z,MATCH(LEFT(L$2,2),[2]평가!$7:$7,0)-1,FALSE),"")</f>
        <v>78</v>
      </c>
      <c r="M46" s="39">
        <f>IFERROR(VLOOKUP($B46,[2]평가!$B:$Z,MATCH(LEFT(M$2,2),[2]평가!$7:$7,0)-1,FALSE),"")</f>
        <v>55</v>
      </c>
      <c r="N46" s="33">
        <f>IFERROR(VLOOKUP($B46,[3]평가!$B:$Z,MATCH(LEFT(N$2,2),[3]평가!$7:$7,0)-1,FALSE),"")</f>
        <v>0</v>
      </c>
      <c r="O46" s="36">
        <f>IFERROR(VLOOKUP($B46,[3]평가!$B:$Z,MATCH(LEFT(O$2,2),[3]평가!$7:$7,0)-1,FALSE),"")</f>
        <v>86</v>
      </c>
      <c r="P46" s="39">
        <f>IFERROR(VLOOKUP($B46,[3]평가!$B:$Z,MATCH(LEFT(P$2,2),[3]평가!$7:$7,0)-1,FALSE),"")</f>
        <v>20</v>
      </c>
      <c r="Q46" s="33">
        <f>IFERROR(VLOOKUP($B46,[4]평가!$B:$Z,MATCH(LEFT(Q$2,2),[4]평가!$7:$7,0)-1,FALSE),"")</f>
        <v>0</v>
      </c>
      <c r="R46" s="36">
        <f>IFERROR(VLOOKUP($B46,[4]평가!$B:$Z,MATCH(LEFT(R$2,2),[4]평가!$7:$7,0)-1,FALSE),"")</f>
        <v>87</v>
      </c>
      <c r="S46" s="39">
        <f>IFERROR(VLOOKUP($B46,[4]평가!$B:$Z,MATCH(LEFT(S$2,2),[4]평가!$7:$7,0)-1,FALSE),"")</f>
        <v>17</v>
      </c>
      <c r="T46" s="33">
        <f>IFERROR(VLOOKUP($B46,[5]평가!$B:$Z,MATCH(LEFT(T$2,2),[5]평가!$7:$7,0)-1,FALSE),"")</f>
        <v>0</v>
      </c>
      <c r="U46" s="36">
        <f>IFERROR(VLOOKUP($B46,[5]평가!$B:$Z,MATCH(LEFT(U$2,2),[5]평가!$7:$7,0)-1,FALSE),"")</f>
        <v>71</v>
      </c>
      <c r="V46" s="39">
        <f>IFERROR(VLOOKUP($B46,[5]평가!$B:$Z,MATCH(LEFT(V$2,2),[5]평가!$7:$7,0)-1,FALSE),"")</f>
        <v>80</v>
      </c>
      <c r="W46" s="33">
        <f>IFERROR(VLOOKUP($B46,대상!$B:$AD,MATCH(W$2,대상!$1:$1,0)-1,FALSE),"")</f>
        <v>0</v>
      </c>
      <c r="X46" s="20">
        <f>IF(ISBLANK(B46),"",T$1-COUNTIF(H46:V46,"회피"))</f>
        <v>5</v>
      </c>
      <c r="Y46" s="21">
        <f>IF($T$1=X46,(SUM(I46,L46,O46,R46,U46)-MIN(I46,L46,O46,R46,U46)-MAX(I46,L46,O46,R46,U46))/($T$1-2),SUM(I46,L46,O46,R46,U46/X46))</f>
        <v>79.333333333333329</v>
      </c>
      <c r="Z46" s="40">
        <f>IFERROR(VLOOKUP($B46,대상!$B:$AD,MATCH(Z$2,대상!$1:$1,0)-1,FALSE),0)</f>
        <v>0</v>
      </c>
      <c r="AA46" s="41">
        <f>IFERROR(IF(W46="면제","100"+Z46,Y46+Z46),"")</f>
        <v>79.333333333333329</v>
      </c>
      <c r="AB46" s="35" t="str">
        <f>IF(OR(W46="면제",N(Y46)=0),"",IF(AA46&lt;60,"과락",""))</f>
        <v/>
      </c>
      <c r="AC46" s="54">
        <f>IF(N(AA46)=0,"",RANK(AA46,AA$3:AA$202))</f>
        <v>45</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①-사업화 아이템의 성공가능성 향상을 위해 기존 시장 제품에 대한 경쟁력 강화를 위한 방안 검토가 필요해 보입니다.
-창업지원사업의 성격을 고려한 정량적성과목표의 달성방안에 대한 구체적인 설명이 필요해 보입니다. _x000D_②기존 판매 제품의 연계 제품 개발로 유통망 확보와 향후 판매 전략은 양호하나 개발 제품의 차별성과 외부 제조업체 활용에 의한 독점성 확보에 대한 구체적 방안이 부족하며 향후 유사 제품에 대한 대응 전략이 미비함 _x000D_③아이템의 핵심기능과 구체적인 판로개척방법들이 잘 정리되어 있음. 
지원사업의 성격에 따른 해외 시장 진출에 따른 국내 기개발 제품과의 차별성, 해외 시장 특허 및 인증에 대한 구체적 방안 제시필요.   _x000D_④아이템의 핵심 기능과 활용 방안이 구체적으로 정리가 되어 있으며, 추진 계획의 완성도도 비교적 양호한 것으로 판단 됨. _x000D_⑤기능성 필름기술을 활용하여 펫시장에서의 경쟁력을 갖추려고 하는 부분과 참숯을 활용하여 새로운 기능을 부여하는 전반적인 사업내용이 잘 설명되어져 있으며, 이에 대한 검증도 다양한 수상경력을 통해 증명되었다 할 수 있다. 다만 일회성으로 사용하기 쉬운 제품특성상 중국제품의 저가 시장잠식과 이를 위한 극복대응 방안에 대해 구체적으로 설명이 필요하다,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hidden="1" customHeight="1" x14ac:dyDescent="0.35">
      <c r="A47" s="4">
        <v>98</v>
      </c>
      <c r="B47" s="2">
        <v>20433253</v>
      </c>
      <c r="C47" s="38" t="str">
        <f>IFERROR(VLOOKUP($B47,대상!$B:$AC,MATCH(C$2,대상!$1:$1,0)-1,FALSE),"")</f>
        <v>지역기반</v>
      </c>
      <c r="D47" s="38" t="str">
        <f>IFERROR(VLOOKUP($B47,대상!$B:$AC,MATCH(D$2,대상!$1:$1,0)-1,FALSE),"")</f>
        <v>오소영</v>
      </c>
      <c r="E47" s="36" t="str">
        <f>IFERROR(VLOOKUP($B47,대상!$B:$AC,MATCH(E$2,대상!$1:$1,0)-1,FALSE),"")</f>
        <v>화공ㆍ섬유</v>
      </c>
      <c r="F47" s="38" t="str">
        <f>IFERROR(VLOOKUP($B47,대상!$B:$AC,MATCH(F$2,대상!$1:$1,0)-1,FALSE),"")</f>
        <v>효과와 자극의 딜레마 극복, '초단기 턴오버 회복' K-뷰티 라인업</v>
      </c>
      <c r="G47" s="38" t="str">
        <f>IFERROR(VLOOKUP($B47,대상!$B:$AC,MATCH(G$2,대상!$1:$1,0)-1,FALSE),"")</f>
        <v/>
      </c>
      <c r="H47" s="33">
        <f>IFERROR(VLOOKUP($B47,[1]평가!$B:$Z,MATCH(LEFT(H$2,2),[1]평가!$7:$7,0)-1,FALSE),"")</f>
        <v>0</v>
      </c>
      <c r="I47" s="36">
        <f>IFERROR(VLOOKUP($B47,[1]평가!$B:$Z,MATCH(LEFT(I$2,2),[1]평가!$7:$7,0)-1,FALSE),"")</f>
        <v>79</v>
      </c>
      <c r="J47" s="36">
        <f>IFERROR(VLOOKUP($B47,[1]평가!$B:$Z,MATCH(LEFT(J$2,2),[1]평가!$7:$7,0)-1,FALSE),"")</f>
        <v>47</v>
      </c>
      <c r="K47" s="33">
        <f>IFERROR(VLOOKUP($B47,[2]평가!$B:$Z,MATCH(LEFT(K$2,2),[2]평가!$7:$7,0)-1,FALSE),"")</f>
        <v>0</v>
      </c>
      <c r="L47" s="36">
        <f>IFERROR(VLOOKUP($B47,[2]평가!$B:$Z,MATCH(LEFT(L$2,2),[2]평가!$7:$7,0)-1,FALSE),"")</f>
        <v>78</v>
      </c>
      <c r="M47" s="39">
        <f>IFERROR(VLOOKUP($B47,[2]평가!$B:$Z,MATCH(LEFT(M$2,2),[2]평가!$7:$7,0)-1,FALSE),"")</f>
        <v>55</v>
      </c>
      <c r="N47" s="33">
        <f>IFERROR(VLOOKUP($B47,[3]평가!$B:$Z,MATCH(LEFT(N$2,2),[3]평가!$7:$7,0)-1,FALSE),"")</f>
        <v>0</v>
      </c>
      <c r="O47" s="36">
        <f>IFERROR(VLOOKUP($B47,[3]평가!$B:$Z,MATCH(LEFT(O$2,2),[3]평가!$7:$7,0)-1,FALSE),"")</f>
        <v>73</v>
      </c>
      <c r="P47" s="39">
        <f>IFERROR(VLOOKUP($B47,[3]평가!$B:$Z,MATCH(LEFT(P$2,2),[3]평가!$7:$7,0)-1,FALSE),"")</f>
        <v>72</v>
      </c>
      <c r="Q47" s="33">
        <f>IFERROR(VLOOKUP($B47,[4]평가!$B:$Z,MATCH(LEFT(Q$2,2),[4]평가!$7:$7,0)-1,FALSE),"")</f>
        <v>0</v>
      </c>
      <c r="R47" s="36">
        <f>IFERROR(VLOOKUP($B47,[4]평가!$B:$Z,MATCH(LEFT(R$2,2),[4]평가!$7:$7,0)-1,FALSE),"")</f>
        <v>81</v>
      </c>
      <c r="S47" s="39">
        <f>IFERROR(VLOOKUP($B47,[4]평가!$B:$Z,MATCH(LEFT(S$2,2),[4]평가!$7:$7,0)-1,FALSE),"")</f>
        <v>46</v>
      </c>
      <c r="T47" s="33">
        <f>IFERROR(VLOOKUP($B47,[5]평가!$B:$Z,MATCH(LEFT(T$2,2),[5]평가!$7:$7,0)-1,FALSE),"")</f>
        <v>0</v>
      </c>
      <c r="U47" s="36">
        <f>IFERROR(VLOOKUP($B47,[5]평가!$B:$Z,MATCH(LEFT(U$2,2),[5]평가!$7:$7,0)-1,FALSE),"")</f>
        <v>82</v>
      </c>
      <c r="V47" s="39">
        <f>IFERROR(VLOOKUP($B47,[5]평가!$B:$Z,MATCH(LEFT(V$2,2),[5]평가!$7:$7,0)-1,FALSE),"")</f>
        <v>37</v>
      </c>
      <c r="W47" s="33">
        <f>IFERROR(VLOOKUP($B47,대상!$B:$AD,MATCH(W$2,대상!$1:$1,0)-1,FALSE),"")</f>
        <v>0</v>
      </c>
      <c r="X47" s="20">
        <f>IF(ISBLANK(B47),"",T$1-COUNTIF(H47:V47,"회피"))</f>
        <v>5</v>
      </c>
      <c r="Y47" s="21">
        <f>IF($T$1=X47,(SUM(I47,L47,O47,R47,U47)-MIN(I47,L47,O47,R47,U47)-MAX(I47,L47,O47,R47,U47))/($T$1-2),SUM(I47,L47,O47,R47,U47/X47))</f>
        <v>79.333333333333329</v>
      </c>
      <c r="Z47" s="40">
        <f>IFERROR(VLOOKUP($B47,대상!$B:$AD,MATCH(Z$2,대상!$1:$1,0)-1,FALSE),0)</f>
        <v>0</v>
      </c>
      <c r="AA47" s="41">
        <f>IFERROR(IF(W47="면제","100"+Z47,Y47+Z47),"")</f>
        <v>79.333333333333329</v>
      </c>
      <c r="AB47" s="35" t="str">
        <f>IF(OR(W47="면제",N(Y47)=0),"",IF(AA47&lt;60,"과락",""))</f>
        <v/>
      </c>
      <c r="AC47" s="54">
        <f>IF(N(AA47)=0,"",RANK(AA47,AA$3:AA$202))</f>
        <v>45</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_x000D_②저자극 화장품에 대한 시장 필요성과 인증 완료 등 제품성은 확인이 되었으며 해외 마켓팅을 위한 사업화 준비도 완료된 사애로 판단됨. 단, 개발 제품에 대한 명확한 개발 과정이 부족하고 지적 재산권 확보가 진행중으로 추가적 보완이 필요함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_x000D_⑤기존 시장에 대한 분석을 통해 효용성과 안정성을 구현하고자 하는 기능성 화장품을 창업아이템으로 하여 이에 대한 전반적인 설명이 잘 이루어져 있다. 특히 실제 효능을 표한하는데 있어 임상연구센터를 통해 객관성이 있는 근거를 제시하는 등 기술력도 검증이 이루어져 있어 보인다. 다만, 시장경쟁 제품 대비 놀라운 효능을 보이는 제품에 대해 충분한 가격경쟁력을 확보하는 구체적 방안에 대해 명시되어 있지 않아 제품에 대한 신뢰성 판단에 보완이 필요하다.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hidden="1" customHeight="1" x14ac:dyDescent="0.35">
      <c r="A48" s="4">
        <v>99</v>
      </c>
      <c r="B48" s="2">
        <v>20440248</v>
      </c>
      <c r="C48" s="38" t="str">
        <f>IFERROR(VLOOKUP($B48,대상!$B:$AC,MATCH(C$2,대상!$1:$1,0)-1,FALSE),"")</f>
        <v>지역기반</v>
      </c>
      <c r="D48" s="38" t="str">
        <f>IFERROR(VLOOKUP($B48,대상!$B:$AC,MATCH(D$2,대상!$1:$1,0)-1,FALSE),"")</f>
        <v>최성규</v>
      </c>
      <c r="E48" s="36" t="str">
        <f>IFERROR(VLOOKUP($B48,대상!$B:$AC,MATCH(E$2,대상!$1:$1,0)-1,FALSE),"")</f>
        <v>화공ㆍ섬유</v>
      </c>
      <c r="F48" s="38" t="str">
        <f>IFERROR(VLOOKUP($B48,대상!$B:$AC,MATCH(F$2,대상!$1:$1,0)-1,FALSE),"")</f>
        <v>버려지는 부산물을 활용한 주름개선용 식물성 펩타이드 소재 사업화</v>
      </c>
      <c r="G48" s="38" t="str">
        <f>IFERROR(VLOOKUP($B48,대상!$B:$AC,MATCH(G$2,대상!$1:$1,0)-1,FALSE),"")</f>
        <v/>
      </c>
      <c r="H48" s="33">
        <f>IFERROR(VLOOKUP($B48,[1]평가!$B:$Z,MATCH(LEFT(H$2,2),[1]평가!$7:$7,0)-1,FALSE),"")</f>
        <v>0</v>
      </c>
      <c r="I48" s="36">
        <f>IFERROR(VLOOKUP($B48,[1]평가!$B:$Z,MATCH(LEFT(I$2,2),[1]평가!$7:$7,0)-1,FALSE),"")</f>
        <v>82</v>
      </c>
      <c r="J48" s="36">
        <f>IFERROR(VLOOKUP($B48,[1]평가!$B:$Z,MATCH(LEFT(J$2,2),[1]평가!$7:$7,0)-1,FALSE),"")</f>
        <v>31</v>
      </c>
      <c r="K48" s="33">
        <f>IFERROR(VLOOKUP($B48,[2]평가!$B:$Z,MATCH(LEFT(K$2,2),[2]평가!$7:$7,0)-1,FALSE),"")</f>
        <v>0</v>
      </c>
      <c r="L48" s="36">
        <f>IFERROR(VLOOKUP($B48,[2]평가!$B:$Z,MATCH(LEFT(L$2,2),[2]평가!$7:$7,0)-1,FALSE),"")</f>
        <v>69</v>
      </c>
      <c r="M48" s="39">
        <f>IFERROR(VLOOKUP($B48,[2]평가!$B:$Z,MATCH(LEFT(M$2,2),[2]평가!$7:$7,0)-1,FALSE),"")</f>
        <v>88</v>
      </c>
      <c r="N48" s="33">
        <f>IFERROR(VLOOKUP($B48,[3]평가!$B:$Z,MATCH(LEFT(N$2,2),[3]평가!$7:$7,0)-1,FALSE),"")</f>
        <v>0</v>
      </c>
      <c r="O48" s="36">
        <f>IFERROR(VLOOKUP($B48,[3]평가!$B:$Z,MATCH(LEFT(O$2,2),[3]평가!$7:$7,0)-1,FALSE),"")</f>
        <v>87</v>
      </c>
      <c r="P48" s="39">
        <f>IFERROR(VLOOKUP($B48,[3]평가!$B:$Z,MATCH(LEFT(P$2,2),[3]평가!$7:$7,0)-1,FALSE),"")</f>
        <v>11</v>
      </c>
      <c r="Q48" s="33">
        <f>IFERROR(VLOOKUP($B48,[4]평가!$B:$Z,MATCH(LEFT(Q$2,2),[4]평가!$7:$7,0)-1,FALSE),"")</f>
        <v>0</v>
      </c>
      <c r="R48" s="36">
        <f>IFERROR(VLOOKUP($B48,[4]평가!$B:$Z,MATCH(LEFT(R$2,2),[4]평가!$7:$7,0)-1,FALSE),"")</f>
        <v>87</v>
      </c>
      <c r="S48" s="39">
        <f>IFERROR(VLOOKUP($B48,[4]평가!$B:$Z,MATCH(LEFT(S$2,2),[4]평가!$7:$7,0)-1,FALSE),"")</f>
        <v>17</v>
      </c>
      <c r="T48" s="33">
        <f>IFERROR(VLOOKUP($B48,[5]평가!$B:$Z,MATCH(LEFT(T$2,2),[5]평가!$7:$7,0)-1,FALSE),"")</f>
        <v>0</v>
      </c>
      <c r="U48" s="36">
        <f>IFERROR(VLOOKUP($B48,[5]평가!$B:$Z,MATCH(LEFT(U$2,2),[5]평가!$7:$7,0)-1,FALSE),"")</f>
        <v>66</v>
      </c>
      <c r="V48" s="39">
        <f>IFERROR(VLOOKUP($B48,[5]평가!$B:$Z,MATCH(LEFT(V$2,2),[5]평가!$7:$7,0)-1,FALSE),"")</f>
        <v>100</v>
      </c>
      <c r="W48" s="33">
        <f>IFERROR(VLOOKUP($B48,대상!$B:$AD,MATCH(W$2,대상!$1:$1,0)-1,FALSE),"")</f>
        <v>0</v>
      </c>
      <c r="X48" s="20">
        <f>IF(ISBLANK(B48),"",T$1-COUNTIF(H48:V48,"회피"))</f>
        <v>5</v>
      </c>
      <c r="Y48" s="21">
        <f>IF($T$1=X48,(SUM(I48,L48,O48,R48,U48)-MIN(I48,L48,O48,R48,U48)-MAX(I48,L48,O48,R48,U48))/($T$1-2),SUM(I48,L48,O48,R48,U48/X48))</f>
        <v>79.333333333333329</v>
      </c>
      <c r="Z48" s="40">
        <f>IFERROR(VLOOKUP($B48,대상!$B:$AD,MATCH(Z$2,대상!$1:$1,0)-1,FALSE),0)</f>
        <v>0</v>
      </c>
      <c r="AA48" s="41">
        <f>IFERROR(IF(W48="면제","100"+Z48,Y48+Z48),"")</f>
        <v>79.333333333333329</v>
      </c>
      <c r="AB48" s="35" t="str">
        <f>IF(OR(W48="면제",N(Y48)=0),"",IF(AA48&lt;60,"과락",""))</f>
        <v/>
      </c>
      <c r="AC48" s="54">
        <f>IF(N(AA48)=0,"",RANK(AA48,AA$3:AA$202))</f>
        <v>45</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_x000D_②농산물 부산물 활용한 친환경 화장품의 시장 컨셉에 부응하고 천연물에 의한 안정성 확보 등에 대한 제품 개발의 의미는 있으나 개발과 성능평가, 특허 출원 등 단시간 달성하기 어려운 부분이 있고 타 농산물 부산물 활용 제품과의 경쟁력 확보 방안에 대한 전략도 필요할 것으로 판단됨.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인식이 비교적 명확하게 제시가 되어 있으며, 사업화 가능성을 검토한 수준도 양호하다고 판단 됨.  _x000D_⑤폐 천연자료를 통해 기능성 화장품을 구현하는 창업아이템을 중심으로 기술의 우수성과 실현가능성이 잘 설명되어져 있다. 다만, 천연자료를 활용하는 경쟁 기능성 제품들과의 비교나 효용성에 대한 객관성이 있는 근거자료등에 대해 추가 검토가 필요하다.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hidden="1" customHeight="1" x14ac:dyDescent="0.35">
      <c r="A49" s="4">
        <v>12</v>
      </c>
      <c r="B49" s="2">
        <v>20419831</v>
      </c>
      <c r="C49" s="38" t="str">
        <f>IFERROR(VLOOKUP($B49,대상!$B:$AC,MATCH(C$2,대상!$1:$1,0)-1,FALSE),"")</f>
        <v>지역기반</v>
      </c>
      <c r="D49" s="38" t="str">
        <f>IFERROR(VLOOKUP($B49,대상!$B:$AC,MATCH(D$2,대상!$1:$1,0)-1,FALSE),"")</f>
        <v>이은영</v>
      </c>
      <c r="E49" s="36" t="str">
        <f>IFERROR(VLOOKUP($B49,대상!$B:$AC,MATCH(E$2,대상!$1:$1,0)-1,FALSE),"")</f>
        <v>화공ㆍ섬유</v>
      </c>
      <c r="F49" s="38" t="str">
        <f>IFERROR(VLOOKUP($B49,대상!$B:$AC,MATCH(F$2,대상!$1:$1,0)-1,FALSE),"")</f>
        <v>시니어 생활체육 파크골프에 특화된 파크골프 전문 기능성 의류 제작</v>
      </c>
      <c r="G49" s="38" t="str">
        <f>IFERROR(VLOOKUP($B49,대상!$B:$AC,MATCH(G$2,대상!$1:$1,0)-1,FALSE),"")</f>
        <v/>
      </c>
      <c r="H49" s="33">
        <f>IFERROR(VLOOKUP($B49,[1]평가!$B:$Z,MATCH(LEFT(H$2,2),[1]평가!$7:$7,0)-1,FALSE),"")</f>
        <v>0</v>
      </c>
      <c r="I49" s="36">
        <f>IFERROR(VLOOKUP($B49,[1]평가!$B:$Z,MATCH(LEFT(I$2,2),[1]평가!$7:$7,0)-1,FALSE),"")</f>
        <v>80</v>
      </c>
      <c r="J49" s="36">
        <f>IFERROR(VLOOKUP($B49,[1]평가!$B:$Z,MATCH(LEFT(J$2,2),[1]평가!$7:$7,0)-1,FALSE),"")</f>
        <v>45</v>
      </c>
      <c r="K49" s="33">
        <f>IFERROR(VLOOKUP($B49,[2]평가!$B:$Z,MATCH(LEFT(K$2,2),[2]평가!$7:$7,0)-1,FALSE),"")</f>
        <v>0</v>
      </c>
      <c r="L49" s="36">
        <f>IFERROR(VLOOKUP($B49,[2]평가!$B:$Z,MATCH(LEFT(L$2,2),[2]평가!$7:$7,0)-1,FALSE),"")</f>
        <v>68</v>
      </c>
      <c r="M49" s="39">
        <f>IFERROR(VLOOKUP($B49,[2]평가!$B:$Z,MATCH(LEFT(M$2,2),[2]평가!$7:$7,0)-1,FALSE),"")</f>
        <v>98</v>
      </c>
      <c r="N49" s="33">
        <f>IFERROR(VLOOKUP($B49,[3]평가!$B:$Z,MATCH(LEFT(N$2,2),[3]평가!$7:$7,0)-1,FALSE),"")</f>
        <v>0</v>
      </c>
      <c r="O49" s="36">
        <f>IFERROR(VLOOKUP($B49,[3]평가!$B:$Z,MATCH(LEFT(O$2,2),[3]평가!$7:$7,0)-1,FALSE),"")</f>
        <v>83</v>
      </c>
      <c r="P49" s="39">
        <f>IFERROR(VLOOKUP($B49,[3]평가!$B:$Z,MATCH(LEFT(P$2,2),[3]평가!$7:$7,0)-1,FALSE),"")</f>
        <v>35</v>
      </c>
      <c r="Q49" s="33">
        <f>IFERROR(VLOOKUP($B49,[4]평가!$B:$Z,MATCH(LEFT(Q$2,2),[4]평가!$7:$7,0)-1,FALSE),"")</f>
        <v>0</v>
      </c>
      <c r="R49" s="36">
        <f>IFERROR(VLOOKUP($B49,[4]평가!$B:$Z,MATCH(LEFT(R$2,2),[4]평가!$7:$7,0)-1,FALSE),"")</f>
        <v>88</v>
      </c>
      <c r="S49" s="39">
        <f>IFERROR(VLOOKUP($B49,[4]평가!$B:$Z,MATCH(LEFT(S$2,2),[4]평가!$7:$7,0)-1,FALSE),"")</f>
        <v>13</v>
      </c>
      <c r="T49" s="33">
        <f>IFERROR(VLOOKUP($B49,[5]평가!$B:$Z,MATCH(LEFT(T$2,2),[5]평가!$7:$7,0)-1,FALSE),"")</f>
        <v>0</v>
      </c>
      <c r="U49" s="36">
        <f>IFERROR(VLOOKUP($B49,[5]평가!$B:$Z,MATCH(LEFT(U$2,2),[5]평가!$7:$7,0)-1,FALSE),"")</f>
        <v>74</v>
      </c>
      <c r="V49" s="39">
        <f>IFERROR(VLOOKUP($B49,[5]평가!$B:$Z,MATCH(LEFT(V$2,2),[5]평가!$7:$7,0)-1,FALSE),"")</f>
        <v>68</v>
      </c>
      <c r="W49" s="33">
        <f>IFERROR(VLOOKUP($B49,대상!$B:$AD,MATCH(W$2,대상!$1:$1,0)-1,FALSE),"")</f>
        <v>0</v>
      </c>
      <c r="X49" s="20">
        <f>IF(ISBLANK(B49),"",T$1-COUNTIF(H49:V49,"회피"))</f>
        <v>5</v>
      </c>
      <c r="Y49" s="21">
        <f>IF($T$1=X49,(SUM(I49,L49,O49,R49,U49)-MIN(I49,L49,O49,R49,U49)-MAX(I49,L49,O49,R49,U49))/($T$1-2),SUM(I49,L49,O49,R49,U49/X49))</f>
        <v>79</v>
      </c>
      <c r="Z49" s="40">
        <f>IFERROR(VLOOKUP($B49,대상!$B:$AD,MATCH(Z$2,대상!$1:$1,0)-1,FALSE),0)</f>
        <v>0</v>
      </c>
      <c r="AA49" s="41">
        <f>IFERROR(IF(W49="면제","100"+Z49,Y49+Z49),"")</f>
        <v>79</v>
      </c>
      <c r="AB49" s="35" t="str">
        <f>IF(OR(W49="면제",N(Y49)=0),"",IF(AA49&lt;60,"과락",""))</f>
        <v/>
      </c>
      <c r="AC49" s="54">
        <f>IF(N(AA49)=0,"",RANK(AA49,AA$3:AA$202))</f>
        <v>48</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①-사업화아이템의 성공가능성 향상을 위하여 기존시장의 유사제품에 대한 차별화 요인 도출 및 경쟁력 강화요인 도출에 대한 고민이 필요해 보입니다.
-창업지원사업의 성격을 고려한 성과목표 제시 및 달성방안에 대한 고민이 필요해 보입니다.  _x000D_②개발제품의 시장이 작고 시장 확장성 대비 제품의 차별성 확보가 부족함. _x000D_③관련 소비자 니즈가 증가하는 부분에서 사업적 취지는 인정됨 
다만, 경쟁사 대비 우위를 점할 핵심 기술이나 경쟁사 대비 우위를 점할 핵심 기술이나 IP(지식재산권)  차별화 전략 필요합니다 _x000D_④전반적으로 차별화 방향이 확인되며, 대표의 전문성과 팀 역량 구성계획도 비교적 우수 함. _x000D_⑤기능성제품에 대한 필요성에 대해 충분히 설명해주고 있으며, 시장진입을 위한 기술적인 차별성 및 틈새시장을 향한 전략이 돋보인다. 다만 디자인되어진 제품에 대한 양산을 위해 외부 oem을 어떻게 구성해서 생산할 것인지에 대해 보완할 필요가 있으며, 파크골프를 이용하는 소비자들의 목소리가 반영된 설문조사 자료들 등 마케팅에 대한 근거자료가 필요하다.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hidden="1" customHeight="1" x14ac:dyDescent="0.35">
      <c r="A50" s="4">
        <v>66</v>
      </c>
      <c r="B50" s="2">
        <v>20420130</v>
      </c>
      <c r="C50" s="38" t="str">
        <f>IFERROR(VLOOKUP($B50,대상!$B:$AC,MATCH(C$2,대상!$1:$1,0)-1,FALSE),"")</f>
        <v>지역기반</v>
      </c>
      <c r="D50" s="38" t="str">
        <f>IFERROR(VLOOKUP($B50,대상!$B:$AC,MATCH(D$2,대상!$1:$1,0)-1,FALSE),"")</f>
        <v>홍지훈</v>
      </c>
      <c r="E50" s="36" t="str">
        <f>IFERROR(VLOOKUP($B50,대상!$B:$AC,MATCH(E$2,대상!$1:$1,0)-1,FALSE),"")</f>
        <v>화공ㆍ섬유</v>
      </c>
      <c r="F50" s="38" t="str">
        <f>IFERROR(VLOOKUP($B50,대상!$B:$AC,MATCH(F$2,대상!$1:$1,0)-1,FALSE),"")</f>
        <v>AI 지능형 위생 진단 기반의 고기능성 스마트 세정 솔루션</v>
      </c>
      <c r="G50" s="38" t="str">
        <f>IFERROR(VLOOKUP($B50,대상!$B:$AC,MATCH(G$2,대상!$1:$1,0)-1,FALSE),"")</f>
        <v/>
      </c>
      <c r="H50" s="33">
        <f>IFERROR(VLOOKUP($B50,[1]평가!$B:$Z,MATCH(LEFT(H$2,2),[1]평가!$7:$7,0)-1,FALSE),"")</f>
        <v>0</v>
      </c>
      <c r="I50" s="36">
        <f>IFERROR(VLOOKUP($B50,[1]평가!$B:$Z,MATCH(LEFT(I$2,2),[1]평가!$7:$7,0)-1,FALSE),"")</f>
        <v>77</v>
      </c>
      <c r="J50" s="36">
        <f>IFERROR(VLOOKUP($B50,[1]평가!$B:$Z,MATCH(LEFT(J$2,2),[1]평가!$7:$7,0)-1,FALSE),"")</f>
        <v>47</v>
      </c>
      <c r="K50" s="33">
        <f>IFERROR(VLOOKUP($B50,[2]평가!$B:$Z,MATCH(LEFT(K$2,2),[2]평가!$7:$7,0)-1,FALSE),"")</f>
        <v>0</v>
      </c>
      <c r="L50" s="36">
        <f>IFERROR(VLOOKUP($B50,[2]평가!$B:$Z,MATCH(LEFT(L$2,2),[2]평가!$7:$7,0)-1,FALSE),"")</f>
        <v>73</v>
      </c>
      <c r="M50" s="39">
        <f>IFERROR(VLOOKUP($B50,[2]평가!$B:$Z,MATCH(LEFT(M$2,2),[2]평가!$7:$7,0)-1,FALSE),"")</f>
        <v>74</v>
      </c>
      <c r="N50" s="33">
        <f>IFERROR(VLOOKUP($B50,[3]평가!$B:$Z,MATCH(LEFT(N$2,2),[3]평가!$7:$7,0)-1,FALSE),"")</f>
        <v>0</v>
      </c>
      <c r="O50" s="36">
        <f>IFERROR(VLOOKUP($B50,[3]평가!$B:$Z,MATCH(LEFT(O$2,2),[3]평가!$7:$7,0)-1,FALSE),"")</f>
        <v>85</v>
      </c>
      <c r="P50" s="39">
        <f>IFERROR(VLOOKUP($B50,[3]평가!$B:$Z,MATCH(LEFT(P$2,2),[3]평가!$7:$7,0)-1,FALSE),"")</f>
        <v>11</v>
      </c>
      <c r="Q50" s="33">
        <f>IFERROR(VLOOKUP($B50,[4]평가!$B:$Z,MATCH(LEFT(Q$2,2),[4]평가!$7:$7,0)-1,FALSE),"")</f>
        <v>0</v>
      </c>
      <c r="R50" s="36">
        <f>IFERROR(VLOOKUP($B50,[4]평가!$B:$Z,MATCH(LEFT(R$2,2),[4]평가!$7:$7,0)-1,FALSE),"")</f>
        <v>78</v>
      </c>
      <c r="S50" s="39">
        <f>IFERROR(VLOOKUP($B50,[4]평가!$B:$Z,MATCH(LEFT(S$2,2),[4]평가!$7:$7,0)-1,FALSE),"")</f>
        <v>50</v>
      </c>
      <c r="T50" s="33">
        <f>IFERROR(VLOOKUP($B50,[5]평가!$B:$Z,MATCH(LEFT(T$2,2),[5]평가!$7:$7,0)-1,FALSE),"")</f>
        <v>0</v>
      </c>
      <c r="U50" s="36">
        <f>IFERROR(VLOOKUP($B50,[5]평가!$B:$Z,MATCH(LEFT(U$2,2),[5]평가!$7:$7,0)-1,FALSE),"")</f>
        <v>76</v>
      </c>
      <c r="V50" s="39">
        <f>IFERROR(VLOOKUP($B50,[5]평가!$B:$Z,MATCH(LEFT(V$2,2),[5]평가!$7:$7,0)-1,FALSE),"")</f>
        <v>45</v>
      </c>
      <c r="W50" s="33">
        <f>IFERROR(VLOOKUP($B50,대상!$B:$AD,MATCH(W$2,대상!$1:$1,0)-1,FALSE),"")</f>
        <v>0</v>
      </c>
      <c r="X50" s="20">
        <f>IF(ISBLANK(B50),"",T$1-COUNTIF(H50:V50,"회피"))</f>
        <v>5</v>
      </c>
      <c r="Y50" s="21">
        <f>IF($T$1=X50,(SUM(I50,L50,O50,R50,U50)-MIN(I50,L50,O50,R50,U50)-MAX(I50,L50,O50,R50,U50))/($T$1-2),SUM(I50,L50,O50,R50,U50/X50))</f>
        <v>77</v>
      </c>
      <c r="Z50" s="40">
        <f>IFERROR(VLOOKUP($B50,대상!$B:$AD,MATCH(Z$2,대상!$1:$1,0)-1,FALSE),0)</f>
        <v>2</v>
      </c>
      <c r="AA50" s="41">
        <f>IFERROR(IF(W50="면제","100"+Z50,Y50+Z50),"")</f>
        <v>79</v>
      </c>
      <c r="AB50" s="35" t="str">
        <f>IF(OR(W50="면제",N(Y50)=0),"",IF(AA50&lt;60,"과락",""))</f>
        <v/>
      </c>
      <c r="AC50" s="54">
        <f>IF(N(AA50)=0,"",RANK(AA50,AA$3:AA$202))</f>
        <v>48</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_x000D_②세정제 소재 기술 개발과 연동 진단시스템 개발을 통한 플랫폼 구축 등의 목표는 제기되었으나 소재 개발의 구체성이 미흡하고 플랫폼의 활용을 통한 영업 확장성에 대한 근거가 미흡함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인식은 비교적 명확하게 제시가 되어 있으나, 전반적으로 사업화 가능성에 대한 설명이 다소 미흠 함. _x000D_⑤AI위생진단 시스템과 미세입자 제어 기술 기반의 고기능성 발포세정제의 조합으로 개인별 위생관리 플랫폼을 창업아이템으로 하는 부분의 전반적인 내용이 잘 설명되어져 있다. 다만, 사업계획서 부분에는 발포세정제 개발에 대한 부분이 구체적 극복방안이 나타나 있지 않아 보완이 필요하다.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hidden="1" customHeight="1" x14ac:dyDescent="0.35">
      <c r="A51" s="4">
        <v>76</v>
      </c>
      <c r="B51" s="2">
        <v>20425984</v>
      </c>
      <c r="C51" s="38" t="str">
        <f>IFERROR(VLOOKUP($B51,대상!$B:$AC,MATCH(C$2,대상!$1:$1,0)-1,FALSE),"")</f>
        <v>지역기반</v>
      </c>
      <c r="D51" s="38" t="str">
        <f>IFERROR(VLOOKUP($B51,대상!$B:$AC,MATCH(D$2,대상!$1:$1,0)-1,FALSE),"")</f>
        <v>정은지</v>
      </c>
      <c r="E51" s="36" t="str">
        <f>IFERROR(VLOOKUP($B51,대상!$B:$AC,MATCH(E$2,대상!$1:$1,0)-1,FALSE),"")</f>
        <v>화공ㆍ섬유</v>
      </c>
      <c r="F51" s="38" t="str">
        <f>IFERROR(VLOOKUP($B51,대상!$B:$AC,MATCH(F$2,대상!$1:$1,0)-1,FALSE),"")</f>
        <v>수요는 있고 브랜드는 없는 율무 화장품의 글로벌 직진출 사업화</v>
      </c>
      <c r="G51" s="38" t="str">
        <f>IFERROR(VLOOKUP($B51,대상!$B:$AC,MATCH(G$2,대상!$1:$1,0)-1,FALSE),"")</f>
        <v/>
      </c>
      <c r="H51" s="33">
        <f>IFERROR(VLOOKUP($B51,[1]평가!$B:$Z,MATCH(LEFT(H$2,2),[1]평가!$7:$7,0)-1,FALSE),"")</f>
        <v>0</v>
      </c>
      <c r="I51" s="36">
        <f>IFERROR(VLOOKUP($B51,[1]평가!$B:$Z,MATCH(LEFT(I$2,2),[1]평가!$7:$7,0)-1,FALSE),"")</f>
        <v>78</v>
      </c>
      <c r="J51" s="36">
        <f>IFERROR(VLOOKUP($B51,[1]평가!$B:$Z,MATCH(LEFT(J$2,2),[1]평가!$7:$7,0)-1,FALSE),"")</f>
        <v>66</v>
      </c>
      <c r="K51" s="33">
        <f>IFERROR(VLOOKUP($B51,[2]평가!$B:$Z,MATCH(LEFT(K$2,2),[2]평가!$7:$7,0)-1,FALSE),"")</f>
        <v>0</v>
      </c>
      <c r="L51" s="36">
        <f>IFERROR(VLOOKUP($B51,[2]평가!$B:$Z,MATCH(LEFT(L$2,2),[2]평가!$7:$7,0)-1,FALSE),"")</f>
        <v>85</v>
      </c>
      <c r="M51" s="39">
        <f>IFERROR(VLOOKUP($B51,[2]평가!$B:$Z,MATCH(LEFT(M$2,2),[2]평가!$7:$7,0)-1,FALSE),"")</f>
        <v>17</v>
      </c>
      <c r="N51" s="33">
        <f>IFERROR(VLOOKUP($B51,[3]평가!$B:$Z,MATCH(LEFT(N$2,2),[3]평가!$7:$7,0)-1,FALSE),"")</f>
        <v>0</v>
      </c>
      <c r="O51" s="36">
        <f>IFERROR(VLOOKUP($B51,[3]평가!$B:$Z,MATCH(LEFT(O$2,2),[3]평가!$7:$7,0)-1,FALSE),"")</f>
        <v>65</v>
      </c>
      <c r="P51" s="39">
        <f>IFERROR(VLOOKUP($B51,[3]평가!$B:$Z,MATCH(LEFT(P$2,2),[3]평가!$7:$7,0)-1,FALSE),"")</f>
        <v>107</v>
      </c>
      <c r="Q51" s="33">
        <f>IFERROR(VLOOKUP($B51,[4]평가!$B:$Z,MATCH(LEFT(Q$2,2),[4]평가!$7:$7,0)-1,FALSE),"")</f>
        <v>0</v>
      </c>
      <c r="R51" s="36">
        <f>IFERROR(VLOOKUP($B51,[4]평가!$B:$Z,MATCH(LEFT(R$2,2),[4]평가!$7:$7,0)-1,FALSE),"")</f>
        <v>74</v>
      </c>
      <c r="S51" s="39">
        <f>IFERROR(VLOOKUP($B51,[4]평가!$B:$Z,MATCH(LEFT(S$2,2),[4]평가!$7:$7,0)-1,FALSE),"")</f>
        <v>85</v>
      </c>
      <c r="T51" s="33">
        <f>IFERROR(VLOOKUP($B51,[5]평가!$B:$Z,MATCH(LEFT(T$2,2),[5]평가!$7:$7,0)-1,FALSE),"")</f>
        <v>0</v>
      </c>
      <c r="U51" s="36">
        <f>IFERROR(VLOOKUP($B51,[5]평가!$B:$Z,MATCH(LEFT(U$2,2),[5]평가!$7:$7,0)-1,FALSE),"")</f>
        <v>86</v>
      </c>
      <c r="V51" s="39">
        <f>IFERROR(VLOOKUP($B51,[5]평가!$B:$Z,MATCH(LEFT(V$2,2),[5]평가!$7:$7,0)-1,FALSE),"")</f>
        <v>20</v>
      </c>
      <c r="W51" s="33">
        <f>IFERROR(VLOOKUP($B51,대상!$B:$AD,MATCH(W$2,대상!$1:$1,0)-1,FALSE),"")</f>
        <v>0</v>
      </c>
      <c r="X51" s="20">
        <f>IF(ISBLANK(B51),"",T$1-COUNTIF(H51:V51,"회피"))</f>
        <v>5</v>
      </c>
      <c r="Y51" s="21">
        <f>IF($T$1=X51,(SUM(I51,L51,O51,R51,U51)-MIN(I51,L51,O51,R51,U51)-MAX(I51,L51,O51,R51,U51))/($T$1-2),SUM(I51,L51,O51,R51,U51/X51))</f>
        <v>79</v>
      </c>
      <c r="Z51" s="40">
        <f>IFERROR(VLOOKUP($B51,대상!$B:$AD,MATCH(Z$2,대상!$1:$1,0)-1,FALSE),0)</f>
        <v>0</v>
      </c>
      <c r="AA51" s="41">
        <f>IFERROR(IF(W51="면제","100"+Z51,Y51+Z51),"")</f>
        <v>79</v>
      </c>
      <c r="AB51" s="35" t="str">
        <f>IF(OR(W51="면제",N(Y51)=0),"",IF(AA51&lt;60,"과락",""))</f>
        <v/>
      </c>
      <c r="AC51" s="54">
        <f>IF(N(AA51)=0,"",RANK(AA51,AA$3:AA$202))</f>
        <v>48</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_x000D_②특정 소재를 활용한 비건 화장품 개발로 현재 영업이 진행중이며 개발이 완료된 상태로 향후 영업 전략이 구체화되어 있고 기존 제품과의 차별성으로 시장 확장성도 높을 것으로 판단됨, 국내 유사 한국적 원료 제품 대비 시장 조사가 미흡하고 그에 따른 경쟁력 분석이 부족한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실제 차별성이 기술 우위로 연결되는 설명이 다소 미흠 함. _x000D_⑤비건 및 클린뷰티 인증을 받은 창업아이템을 중심으로 개발의 필요성부터 개발진행 및 사업화 전략까지 전반적으로 잘 설명되어져 있다. 제품개발이 어느정도 완성 단계로 보이며, 사업화 확장을 위한 창업지금이 필요한 부분으로 보이며, 충분한 사업화 능력과 마케팅 능력이 갖추어져 있는것으로 판단된다.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hidden="1" customHeight="1" x14ac:dyDescent="0.35">
      <c r="A52" s="4">
        <v>105</v>
      </c>
      <c r="B52" s="2">
        <v>20401633</v>
      </c>
      <c r="C52" s="38" t="str">
        <f>IFERROR(VLOOKUP($B52,대상!$B:$AC,MATCH(C$2,대상!$1:$1,0)-1,FALSE),"")</f>
        <v>지역기반</v>
      </c>
      <c r="D52" s="38" t="str">
        <f>IFERROR(VLOOKUP($B52,대상!$B:$AC,MATCH(D$2,대상!$1:$1,0)-1,FALSE),"")</f>
        <v>DEGUCHI HANA</v>
      </c>
      <c r="E52" s="36" t="str">
        <f>IFERROR(VLOOKUP($B52,대상!$B:$AC,MATCH(E$2,대상!$1:$1,0)-1,FALSE),"")</f>
        <v>화공ㆍ섬유</v>
      </c>
      <c r="F52" s="38" t="str">
        <f>IFERROR(VLOOKUP($B52,대상!$B:$AC,MATCH(F$2,대상!$1:$1,0)-1,FALSE),"")</f>
        <v>수면 시간을 관리하는 수면 뷰티 솔루션 네루미인 제품 사업화</v>
      </c>
      <c r="G52" s="38" t="str">
        <f>IFERROR(VLOOKUP($B52,대상!$B:$AC,MATCH(G$2,대상!$1:$1,0)-1,FALSE),"")</f>
        <v/>
      </c>
      <c r="H52" s="33">
        <f>IFERROR(VLOOKUP($B52,[1]평가!$B:$Z,MATCH(LEFT(H$2,2),[1]평가!$7:$7,0)-1,FALSE),"")</f>
        <v>0</v>
      </c>
      <c r="I52" s="36">
        <f>IFERROR(VLOOKUP($B52,[1]평가!$B:$Z,MATCH(LEFT(I$2,2),[1]평가!$7:$7,0)-1,FALSE),"")</f>
        <v>77</v>
      </c>
      <c r="J52" s="36">
        <f>IFERROR(VLOOKUP($B52,[1]평가!$B:$Z,MATCH(LEFT(J$2,2),[1]평가!$7:$7,0)-1,FALSE),"")</f>
        <v>70</v>
      </c>
      <c r="K52" s="33">
        <f>IFERROR(VLOOKUP($B52,[2]평가!$B:$Z,MATCH(LEFT(K$2,2),[2]평가!$7:$7,0)-1,FALSE),"")</f>
        <v>0</v>
      </c>
      <c r="L52" s="36">
        <f>IFERROR(VLOOKUP($B52,[2]평가!$B:$Z,MATCH(LEFT(L$2,2),[2]평가!$7:$7,0)-1,FALSE),"")</f>
        <v>84</v>
      </c>
      <c r="M52" s="39">
        <f>IFERROR(VLOOKUP($B52,[2]평가!$B:$Z,MATCH(LEFT(M$2,2),[2]평가!$7:$7,0)-1,FALSE),"")</f>
        <v>21</v>
      </c>
      <c r="N52" s="33">
        <f>IFERROR(VLOOKUP($B52,[3]평가!$B:$Z,MATCH(LEFT(N$2,2),[3]평가!$7:$7,0)-1,FALSE),"")</f>
        <v>0</v>
      </c>
      <c r="O52" s="36">
        <f>IFERROR(VLOOKUP($B52,[3]평가!$B:$Z,MATCH(LEFT(O$2,2),[3]평가!$7:$7,0)-1,FALSE),"")</f>
        <v>87</v>
      </c>
      <c r="P52" s="39">
        <f>IFERROR(VLOOKUP($B52,[3]평가!$B:$Z,MATCH(LEFT(P$2,2),[3]평가!$7:$7,0)-1,FALSE),"")</f>
        <v>11</v>
      </c>
      <c r="Q52" s="33">
        <f>IFERROR(VLOOKUP($B52,[4]평가!$B:$Z,MATCH(LEFT(Q$2,2),[4]평가!$7:$7,0)-1,FALSE),"")</f>
        <v>0</v>
      </c>
      <c r="R52" s="36">
        <f>IFERROR(VLOOKUP($B52,[4]평가!$B:$Z,MATCH(LEFT(R$2,2),[4]평가!$7:$7,0)-1,FALSE),"")</f>
        <v>76</v>
      </c>
      <c r="S52" s="39">
        <f>IFERROR(VLOOKUP($B52,[4]평가!$B:$Z,MATCH(LEFT(S$2,2),[4]평가!$7:$7,0)-1,FALSE),"")</f>
        <v>74</v>
      </c>
      <c r="T52" s="33">
        <f>IFERROR(VLOOKUP($B52,[5]평가!$B:$Z,MATCH(LEFT(T$2,2),[5]평가!$7:$7,0)-1,FALSE),"")</f>
        <v>0</v>
      </c>
      <c r="U52" s="36">
        <f>IFERROR(VLOOKUP($B52,[5]평가!$B:$Z,MATCH(LEFT(U$2,2),[5]평가!$7:$7,0)-1,FALSE),"")</f>
        <v>67</v>
      </c>
      <c r="V52" s="39">
        <f>IFERROR(VLOOKUP($B52,[5]평가!$B:$Z,MATCH(LEFT(V$2,2),[5]평가!$7:$7,0)-1,FALSE),"")</f>
        <v>95</v>
      </c>
      <c r="W52" s="33">
        <f>IFERROR(VLOOKUP($B52,대상!$B:$AD,MATCH(W$2,대상!$1:$1,0)-1,FALSE),"")</f>
        <v>0</v>
      </c>
      <c r="X52" s="20">
        <f>IF(ISBLANK(B52),"",T$1-COUNTIF(H52:V52,"회피"))</f>
        <v>5</v>
      </c>
      <c r="Y52" s="21">
        <f>IF($T$1=X52,(SUM(I52,L52,O52,R52,U52)-MIN(I52,L52,O52,R52,U52)-MAX(I52,L52,O52,R52,U52))/($T$1-2),SUM(I52,L52,O52,R52,U52/X52))</f>
        <v>79</v>
      </c>
      <c r="Z52" s="40">
        <f>IFERROR(VLOOKUP($B52,대상!$B:$AD,MATCH(Z$2,대상!$1:$1,0)-1,FALSE),0)</f>
        <v>0</v>
      </c>
      <c r="AA52" s="41">
        <f>IFERROR(IF(W52="면제","100"+Z52,Y52+Z52),"")</f>
        <v>79</v>
      </c>
      <c r="AB52" s="35" t="str">
        <f>IF(OR(W52="면제",N(Y52)=0),"",IF(AA52&lt;60,"과락",""))</f>
        <v/>
      </c>
      <c r="AC52" s="54">
        <f>IF(N(AA52)=0,"",RANK(AA52,AA$3:AA$202))</f>
        <v>48</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특이성이 있고 잠재적 시장성과 제품 설계 기술의 필요성 등 제품화에 대한 난이도는 높은 것으로 판단됨. 제품의 컨셉 및 성능 대비 사업화 전략의 다소 미흡하여 시장 확장성에 대한 비젼 제시가 부족한 것으로 판단됨.  _x000D_③경쟁 우위 요소를 발굴하여 제시한 점은 고무적입니다. 다만 이러한 차별화 포인트가 실질적인 기술적 진입장벽이나 우위로 이어진다는 객관적 근거가 다소 미흡합니다.  _x000D_④아이템의 기술수요와 개발 방향은 이해하기 쉽게 작성되었으나,  사업화 가능성을 검토한 수준은 다소 미흡 한 것으로 판단 됨. _x000D_⑤기 출시된 창업제품의 고도화 모델 개발을 위한 사업계획으로 시장성 및 매출능력에 대해 잘 설명되어져 있다. 다만, 실질적인 기술개발은 외주용역으로 진행하고 주관사에서는 판매권만을 가지고 진행하는 사업형태에 대해서는 적절하지 않으며, 주관사에서 기술력이 있다고 판단하기 어렵게 보인다.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hidden="1" customHeight="1" x14ac:dyDescent="0.35">
      <c r="A53" s="4">
        <v>6</v>
      </c>
      <c r="B53" s="2">
        <v>20410575</v>
      </c>
      <c r="C53" s="38" t="str">
        <f>IFERROR(VLOOKUP($B53,대상!$B:$AC,MATCH(C$2,대상!$1:$1,0)-1,FALSE),"")</f>
        <v>지역기반</v>
      </c>
      <c r="D53" s="38" t="str">
        <f>IFERROR(VLOOKUP($B53,대상!$B:$AC,MATCH(D$2,대상!$1:$1,0)-1,FALSE),"")</f>
        <v>서정은</v>
      </c>
      <c r="E53" s="36" t="str">
        <f>IFERROR(VLOOKUP($B53,대상!$B:$AC,MATCH(E$2,대상!$1:$1,0)-1,FALSE),"")</f>
        <v>화공ㆍ섬유</v>
      </c>
      <c r="F53" s="38" t="str">
        <f>IFERROR(VLOOKUP($B53,대상!$B:$AC,MATCH(F$2,대상!$1:$1,0)-1,FALSE),"")</f>
        <v>로컬 상생형 프리미엄 수제 쌀 디저트, 'K-설기(K-Seolgi) 하이엔드 솔루션'</v>
      </c>
      <c r="G53" s="38" t="str">
        <f>IFERROR(VLOOKUP($B53,대상!$B:$AC,MATCH(G$2,대상!$1:$1,0)-1,FALSE),"")</f>
        <v/>
      </c>
      <c r="H53" s="33">
        <f>IFERROR(VLOOKUP($B53,[1]평가!$B:$Z,MATCH(LEFT(H$2,2),[1]평가!$7:$7,0)-1,FALSE),"")</f>
        <v>0</v>
      </c>
      <c r="I53" s="36">
        <f>IFERROR(VLOOKUP($B53,[1]평가!$B:$Z,MATCH(LEFT(I$2,2),[1]평가!$7:$7,0)-1,FALSE),"")</f>
        <v>81</v>
      </c>
      <c r="J53" s="36">
        <f>IFERROR(VLOOKUP($B53,[1]평가!$B:$Z,MATCH(LEFT(J$2,2),[1]평가!$7:$7,0)-1,FALSE),"")</f>
        <v>37</v>
      </c>
      <c r="K53" s="33">
        <f>IFERROR(VLOOKUP($B53,[2]평가!$B:$Z,MATCH(LEFT(K$2,2),[2]평가!$7:$7,0)-1,FALSE),"")</f>
        <v>0</v>
      </c>
      <c r="L53" s="36">
        <f>IFERROR(VLOOKUP($B53,[2]평가!$B:$Z,MATCH(LEFT(L$2,2),[2]평가!$7:$7,0)-1,FALSE),"")</f>
        <v>85</v>
      </c>
      <c r="M53" s="39">
        <f>IFERROR(VLOOKUP($B53,[2]평가!$B:$Z,MATCH(LEFT(M$2,2),[2]평가!$7:$7,0)-1,FALSE),"")</f>
        <v>17</v>
      </c>
      <c r="N53" s="33">
        <f>IFERROR(VLOOKUP($B53,[3]평가!$B:$Z,MATCH(LEFT(N$2,2),[3]평가!$7:$7,0)-1,FALSE),"")</f>
        <v>0</v>
      </c>
      <c r="O53" s="36">
        <f>IFERROR(VLOOKUP($B53,[3]평가!$B:$Z,MATCH(LEFT(O$2,2),[3]평가!$7:$7,0)-1,FALSE),"")</f>
        <v>69</v>
      </c>
      <c r="P53" s="39">
        <f>IFERROR(VLOOKUP($B53,[3]평가!$B:$Z,MATCH(LEFT(P$2,2),[3]평가!$7:$7,0)-1,FALSE),"")</f>
        <v>88</v>
      </c>
      <c r="Q53" s="33">
        <f>IFERROR(VLOOKUP($B53,[4]평가!$B:$Z,MATCH(LEFT(Q$2,2),[4]평가!$7:$7,0)-1,FALSE),"")</f>
        <v>0</v>
      </c>
      <c r="R53" s="36">
        <f>IFERROR(VLOOKUP($B53,[4]평가!$B:$Z,MATCH(LEFT(R$2,2),[4]평가!$7:$7,0)-1,FALSE),"")</f>
        <v>70</v>
      </c>
      <c r="S53" s="39">
        <f>IFERROR(VLOOKUP($B53,[4]평가!$B:$Z,MATCH(LEFT(S$2,2),[4]평가!$7:$7,0)-1,FALSE),"")</f>
        <v>100</v>
      </c>
      <c r="T53" s="33">
        <f>IFERROR(VLOOKUP($B53,[5]평가!$B:$Z,MATCH(LEFT(T$2,2),[5]평가!$7:$7,0)-1,FALSE),"")</f>
        <v>0</v>
      </c>
      <c r="U53" s="36">
        <f>IFERROR(VLOOKUP($B53,[5]평가!$B:$Z,MATCH(LEFT(U$2,2),[5]평가!$7:$7,0)-1,FALSE),"")</f>
        <v>86</v>
      </c>
      <c r="V53" s="39">
        <f>IFERROR(VLOOKUP($B53,[5]평가!$B:$Z,MATCH(LEFT(V$2,2),[5]평가!$7:$7,0)-1,FALSE),"")</f>
        <v>20</v>
      </c>
      <c r="W53" s="33">
        <f>IFERROR(VLOOKUP($B53,대상!$B:$AD,MATCH(W$2,대상!$1:$1,0)-1,FALSE),"")</f>
        <v>0</v>
      </c>
      <c r="X53" s="20">
        <f>IF(ISBLANK(B53),"",T$1-COUNTIF(H53:V53,"회피"))</f>
        <v>5</v>
      </c>
      <c r="Y53" s="21">
        <f>IF($T$1=X53,(SUM(I53,L53,O53,R53,U53)-MIN(I53,L53,O53,R53,U53)-MAX(I53,L53,O53,R53,U53))/($T$1-2),SUM(I53,L53,O53,R53,U53/X53))</f>
        <v>78.666666666666671</v>
      </c>
      <c r="Z53" s="40">
        <f>IFERROR(VLOOKUP($B53,대상!$B:$AD,MATCH(Z$2,대상!$1:$1,0)-1,FALSE),0)</f>
        <v>0</v>
      </c>
      <c r="AA53" s="41">
        <f>IFERROR(IF(W53="면제","100"+Z53,Y53+Z53),"")</f>
        <v>78.666666666666671</v>
      </c>
      <c r="AB53" s="35" t="str">
        <f>IF(OR(W53="면제",N(Y53)=0),"",IF(AA53&lt;60,"과락",""))</f>
        <v/>
      </c>
      <c r="AC53" s="54">
        <f>IF(N(AA53)=0,"",RANK(AA53,AA$3:AA$202))</f>
        <v>52</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①-사업화 아이템의 성공가능성 향상 및 사업의 지속성 확보를 위하여 다각적인 부분의 마케팅 전략및 수익 창출 방안에 대한 고민이 필요해 보입니다.
-정부지원사업의 성격을 고려하여 보다 구체적이고 정량적 성과목표제시가 필요해 보입니다. _x000D_②개발제품의 특이성과 개발방향은 양호하게 제시되었고 유통망 전략도 양호하며 향후 시장의 선점효과도 있을 것으로 판단됨. _x000D_③관련 소비자 니즈가 증가하는 부분에서 사업적 취지는 인정됨 
다만, 경쟁사 대비 우위를 점할 핵심 기술이나 경쟁사 대비 우위를 점할 핵심 기술이나 IP(지식재산권)  차별화 전략 필요합니다 _x000D_④창업아이템의 개발 배경과 목적이 비교적 명확하게 제시되었으나, 목표시장과 고객에 대한 이해 수준이 다소 부족 함. _x000D_⑤시장을 분석하고 그 필요성에 대해 정확하게 공략하고 있어 돋보인다. 능력으로 구성된 팀과 적극적으로 외부자원을 활용하여 단계별로 사업을 수행하고 시장의 feedback으로 단기적, 중장기적 가치를 제시하는 계획서가 돋보인다. 다만 시장제품에 대한 객관성 있는 근거 및 보완이 필요하다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hidden="1" customHeight="1" x14ac:dyDescent="0.35">
      <c r="A54" s="4">
        <v>43</v>
      </c>
      <c r="B54" s="2">
        <v>20407388</v>
      </c>
      <c r="C54" s="38" t="str">
        <f>IFERROR(VLOOKUP($B54,대상!$B:$AC,MATCH(C$2,대상!$1:$1,0)-1,FALSE),"")</f>
        <v>지역기반</v>
      </c>
      <c r="D54" s="38" t="str">
        <f>IFERROR(VLOOKUP($B54,대상!$B:$AC,MATCH(D$2,대상!$1:$1,0)-1,FALSE),"")</f>
        <v>염시원</v>
      </c>
      <c r="E54" s="36" t="str">
        <f>IFERROR(VLOOKUP($B54,대상!$B:$AC,MATCH(E$2,대상!$1:$1,0)-1,FALSE),"")</f>
        <v>화공ㆍ섬유</v>
      </c>
      <c r="F54" s="38" t="str">
        <f>IFERROR(VLOOKUP($B54,대상!$B:$AC,MATCH(F$2,대상!$1:$1,0)-1,FALSE),"")</f>
        <v>F.BRX - 동대문 소상공인 원단업체을 위한 섬유 특화 3D/AI 기반 디지털 콘텐츠 제작 서비스</v>
      </c>
      <c r="G54" s="38" t="str">
        <f>IFERROR(VLOOKUP($B54,대상!$B:$AC,MATCH(G$2,대상!$1:$1,0)-1,FALSE),"")</f>
        <v/>
      </c>
      <c r="H54" s="33">
        <f>IFERROR(VLOOKUP($B54,[1]평가!$B:$Z,MATCH(LEFT(H$2,2),[1]평가!$7:$7,0)-1,FALSE),"")</f>
        <v>0</v>
      </c>
      <c r="I54" s="36">
        <f>IFERROR(VLOOKUP($B54,[1]평가!$B:$Z,MATCH(LEFT(I$2,2),[1]평가!$7:$7,0)-1,FALSE),"")</f>
        <v>81</v>
      </c>
      <c r="J54" s="36">
        <f>IFERROR(VLOOKUP($B54,[1]평가!$B:$Z,MATCH(LEFT(J$2,2),[1]평가!$7:$7,0)-1,FALSE),"")</f>
        <v>37</v>
      </c>
      <c r="K54" s="33">
        <f>IFERROR(VLOOKUP($B54,[2]평가!$B:$Z,MATCH(LEFT(K$2,2),[2]평가!$7:$7,0)-1,FALSE),"")</f>
        <v>0</v>
      </c>
      <c r="L54" s="36">
        <f>IFERROR(VLOOKUP($B54,[2]평가!$B:$Z,MATCH(LEFT(L$2,2),[2]평가!$7:$7,0)-1,FALSE),"")</f>
        <v>68</v>
      </c>
      <c r="M54" s="39">
        <f>IFERROR(VLOOKUP($B54,[2]평가!$B:$Z,MATCH(LEFT(M$2,2),[2]평가!$7:$7,0)-1,FALSE),"")</f>
        <v>98</v>
      </c>
      <c r="N54" s="33">
        <f>IFERROR(VLOOKUP($B54,[3]평가!$B:$Z,MATCH(LEFT(N$2,2),[3]평가!$7:$7,0)-1,FALSE),"")</f>
        <v>0</v>
      </c>
      <c r="O54" s="36">
        <f>IFERROR(VLOOKUP($B54,[3]평가!$B:$Z,MATCH(LEFT(O$2,2),[3]평가!$7:$7,0)-1,FALSE),"")</f>
        <v>84</v>
      </c>
      <c r="P54" s="39">
        <f>IFERROR(VLOOKUP($B54,[3]평가!$B:$Z,MATCH(LEFT(P$2,2),[3]평가!$7:$7,0)-1,FALSE),"")</f>
        <v>31</v>
      </c>
      <c r="Q54" s="33">
        <f>IFERROR(VLOOKUP($B54,[4]평가!$B:$Z,MATCH(LEFT(Q$2,2),[4]평가!$7:$7,0)-1,FALSE),"")</f>
        <v>0</v>
      </c>
      <c r="R54" s="36">
        <f>IFERROR(VLOOKUP($B54,[4]평가!$B:$Z,MATCH(LEFT(R$2,2),[4]평가!$7:$7,0)-1,FALSE),"")</f>
        <v>82</v>
      </c>
      <c r="S54" s="39">
        <f>IFERROR(VLOOKUP($B54,[4]평가!$B:$Z,MATCH(LEFT(S$2,2),[4]평가!$7:$7,0)-1,FALSE),"")</f>
        <v>41</v>
      </c>
      <c r="T54" s="33">
        <f>IFERROR(VLOOKUP($B54,[5]평가!$B:$Z,MATCH(LEFT(T$2,2),[5]평가!$7:$7,0)-1,FALSE),"")</f>
        <v>0</v>
      </c>
      <c r="U54" s="36">
        <f>IFERROR(VLOOKUP($B54,[5]평가!$B:$Z,MATCH(LEFT(U$2,2),[5]평가!$7:$7,0)-1,FALSE),"")</f>
        <v>73</v>
      </c>
      <c r="V54" s="39">
        <f>IFERROR(VLOOKUP($B54,[5]평가!$B:$Z,MATCH(LEFT(V$2,2),[5]평가!$7:$7,0)-1,FALSE),"")</f>
        <v>71</v>
      </c>
      <c r="W54" s="33">
        <f>IFERROR(VLOOKUP($B54,대상!$B:$AD,MATCH(W$2,대상!$1:$1,0)-1,FALSE),"")</f>
        <v>0</v>
      </c>
      <c r="X54" s="20">
        <f>IF(ISBLANK(B54),"",T$1-COUNTIF(H54:V54,"회피"))</f>
        <v>5</v>
      </c>
      <c r="Y54" s="21">
        <f>IF($T$1=X54,(SUM(I54,L54,O54,R54,U54)-MIN(I54,L54,O54,R54,U54)-MAX(I54,L54,O54,R54,U54))/($T$1-2),SUM(I54,L54,O54,R54,U54/X54))</f>
        <v>78.666666666666671</v>
      </c>
      <c r="Z54" s="40">
        <f>IFERROR(VLOOKUP($B54,대상!$B:$AD,MATCH(Z$2,대상!$1:$1,0)-1,FALSE),0)</f>
        <v>0</v>
      </c>
      <c r="AA54" s="41">
        <f>IFERROR(IF(W54="면제","100"+Z54,Y54+Z54),"")</f>
        <v>78.666666666666671</v>
      </c>
      <c r="AB54" s="35" t="str">
        <f>IF(OR(W54="면제",N(Y54)=0),"",IF(AA54&lt;60,"과락",""))</f>
        <v/>
      </c>
      <c r="AC54" s="54">
        <f>IF(N(AA54)=0,"",RANK(AA54,AA$3:AA$202))</f>
        <v>52</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①-서비스모델에 대한 경쟁력 확보를 위하여 보다 다양한 유사시스템 분석으로 통하여 차별화요소 도출 및 경재요소 발굴이 필요해 보입니다.
-사업의 지속성 확보를 위하여 보다 구체적인 수익창출 방안에 대한검토가 필요해 보입니다.
-창업지원사업의 특성을 고려한 성과모델 제시 및 달성방안에 대한 구체적인 설명이 필요해 보입니다.  _x000D_②3D활용한 원단 매칭 및 AI기반 디자인 플랫폼 등 기존 프로그램에 대한 차별성이 낮고 적용 타켓이 구체화되었으나 실질적 적용 방안 및 매출 방안에 대한 분석이 미흡한 것으로 판단됨. _x000D_③창업 동기와 문제 해결의 필요성은 설득력 있게 제시되었습니다.
차별화의 방향성은 타당하나, 독보적인 경쟁력과 실현가능성을 증명하기 위한 추가 근거자료가 필요합니다. _x000D_④창업동기와 문제 인식은 비교적 명확하게 제시되었으나, 외부자원 활용계획에 대한 자료 제시는 미흡한 것으로 판단 됨. _x000D_⑤다양한 원단과 제품을 360도 3D 이미지화 하고 이를 모델링 하여 뷰어화 하는 면에서 기존 다양한 AI나 모델링 tool과의 차이점이 잘 설명되어져 있다. 다만, AI를 활용한다면 2D제품의 이미지만 가지고 3D의 입체이미지를 구현할 수 있는 시대에서, 기존의 해외 제품들과의 차이점이나 기술성에의 우수성 면에서는 다소 아쉬운 점이 있다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hidden="1" customHeight="1" x14ac:dyDescent="0.35">
      <c r="A55" s="4">
        <v>63</v>
      </c>
      <c r="B55" s="2">
        <v>20417978</v>
      </c>
      <c r="C55" s="38" t="str">
        <f>IFERROR(VLOOKUP($B55,대상!$B:$AC,MATCH(C$2,대상!$1:$1,0)-1,FALSE),"")</f>
        <v>지역기반</v>
      </c>
      <c r="D55" s="38" t="str">
        <f>IFERROR(VLOOKUP($B55,대상!$B:$AC,MATCH(D$2,대상!$1:$1,0)-1,FALSE),"")</f>
        <v>박규진</v>
      </c>
      <c r="E55" s="36" t="str">
        <f>IFERROR(VLOOKUP($B55,대상!$B:$AC,MATCH(E$2,대상!$1:$1,0)-1,FALSE),"")</f>
        <v>화공ㆍ섬유</v>
      </c>
      <c r="F55" s="38" t="str">
        <f>IFERROR(VLOOKUP($B55,대상!$B:$AC,MATCH(F$2,대상!$1:$1,0)-1,FALSE),"")</f>
        <v>캡 자동닫힘 물티슈 수분건조 방지, 위생, 편의, 실용성, 혜택 서비스를 제공</v>
      </c>
      <c r="G55" s="38" t="str">
        <f>IFERROR(VLOOKUP($B55,대상!$B:$AC,MATCH(G$2,대상!$1:$1,0)-1,FALSE),"")</f>
        <v/>
      </c>
      <c r="H55" s="33">
        <f>IFERROR(VLOOKUP($B55,[1]평가!$B:$Z,MATCH(LEFT(H$2,2),[1]평가!$7:$7,0)-1,FALSE),"")</f>
        <v>0</v>
      </c>
      <c r="I55" s="36">
        <f>IFERROR(VLOOKUP($B55,[1]평가!$B:$Z,MATCH(LEFT(I$2,2),[1]평가!$7:$7,0)-1,FALSE),"")</f>
        <v>73</v>
      </c>
      <c r="J55" s="36">
        <f>IFERROR(VLOOKUP($B55,[1]평가!$B:$Z,MATCH(LEFT(J$2,2),[1]평가!$7:$7,0)-1,FALSE),"")</f>
        <v>97</v>
      </c>
      <c r="K55" s="33">
        <f>IFERROR(VLOOKUP($B55,[2]평가!$B:$Z,MATCH(LEFT(K$2,2),[2]평가!$7:$7,0)-1,FALSE),"")</f>
        <v>0</v>
      </c>
      <c r="L55" s="36">
        <f>IFERROR(VLOOKUP($B55,[2]평가!$B:$Z,MATCH(LEFT(L$2,2),[2]평가!$7:$7,0)-1,FALSE),"")</f>
        <v>81</v>
      </c>
      <c r="M55" s="39">
        <f>IFERROR(VLOOKUP($B55,[2]평가!$B:$Z,MATCH(LEFT(M$2,2),[2]평가!$7:$7,0)-1,FALSE),"")</f>
        <v>41</v>
      </c>
      <c r="N55" s="33">
        <f>IFERROR(VLOOKUP($B55,[3]평가!$B:$Z,MATCH(LEFT(N$2,2),[3]평가!$7:$7,0)-1,FALSE),"")</f>
        <v>0</v>
      </c>
      <c r="O55" s="36">
        <f>IFERROR(VLOOKUP($B55,[3]평가!$B:$Z,MATCH(LEFT(O$2,2),[3]평가!$7:$7,0)-1,FALSE),"")</f>
        <v>79</v>
      </c>
      <c r="P55" s="39">
        <f>IFERROR(VLOOKUP($B55,[3]평가!$B:$Z,MATCH(LEFT(P$2,2),[3]평가!$7:$7,0)-1,FALSE),"")</f>
        <v>45</v>
      </c>
      <c r="Q55" s="33">
        <f>IFERROR(VLOOKUP($B55,[4]평가!$B:$Z,MATCH(LEFT(Q$2,2),[4]평가!$7:$7,0)-1,FALSE),"")</f>
        <v>0</v>
      </c>
      <c r="R55" s="36">
        <f>IFERROR(VLOOKUP($B55,[4]평가!$B:$Z,MATCH(LEFT(R$2,2),[4]평가!$7:$7,0)-1,FALSE),"")</f>
        <v>89</v>
      </c>
      <c r="S55" s="39">
        <f>IFERROR(VLOOKUP($B55,[4]평가!$B:$Z,MATCH(LEFT(S$2,2),[4]평가!$7:$7,0)-1,FALSE),"")</f>
        <v>10</v>
      </c>
      <c r="T55" s="33">
        <f>IFERROR(VLOOKUP($B55,[5]평가!$B:$Z,MATCH(LEFT(T$2,2),[5]평가!$7:$7,0)-1,FALSE),"")</f>
        <v>0</v>
      </c>
      <c r="U55" s="36">
        <f>IFERROR(VLOOKUP($B55,[5]평가!$B:$Z,MATCH(LEFT(U$2,2),[5]평가!$7:$7,0)-1,FALSE),"")</f>
        <v>76</v>
      </c>
      <c r="V55" s="39">
        <f>IFERROR(VLOOKUP($B55,[5]평가!$B:$Z,MATCH(LEFT(V$2,2),[5]평가!$7:$7,0)-1,FALSE),"")</f>
        <v>54</v>
      </c>
      <c r="W55" s="33">
        <f>IFERROR(VLOOKUP($B55,대상!$B:$AD,MATCH(W$2,대상!$1:$1,0)-1,FALSE),"")</f>
        <v>0</v>
      </c>
      <c r="X55" s="20">
        <f>IF(ISBLANK(B55),"",T$1-COUNTIF(H55:V55,"회피"))</f>
        <v>5</v>
      </c>
      <c r="Y55" s="21">
        <f>IF($T$1=X55,(SUM(I55,L55,O55,R55,U55)-MIN(I55,L55,O55,R55,U55)-MAX(I55,L55,O55,R55,U55))/($T$1-2),SUM(I55,L55,O55,R55,U55/X55))</f>
        <v>78.666666666666671</v>
      </c>
      <c r="Z55" s="40">
        <f>IFERROR(VLOOKUP($B55,대상!$B:$AD,MATCH(Z$2,대상!$1:$1,0)-1,FALSE),0)</f>
        <v>0</v>
      </c>
      <c r="AA55" s="41">
        <f>IFERROR(IF(W55="면제","100"+Z55,Y55+Z55),"")</f>
        <v>78.666666666666671</v>
      </c>
      <c r="AB55" s="35" t="str">
        <f>IF(OR(W55="면제",N(Y55)=0),"",IF(AA55&lt;60,"과락",""))</f>
        <v/>
      </c>
      <c r="AC55" s="54">
        <f>IF(N(AA55)=0,"",RANK(AA55,AA$3:AA$202))</f>
        <v>52</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_x000D_②물티슈 제품의 필요 기능성 개발로 신규성이 있고 사업화 가능성도 높은 것으로 판단되나 제품의 경쟁력에 대한 구체적 제시가 부족하고 유사 특허에 대응 전략이 미흡함 _x000D_③창업 동기와 문제 해결의 필요성은 설득력 있게 제시. 차별화의 방향성은 타당하나 매출발생 경로와 시장 진입 전략의 구체성이 다소 부족. 전반적으로bm향은 적절하나 사업화 논리는 일부 제한적으로 보여짐 _x000D_④창업 동기와 문제 인식이 명확하게 제시가 되어 있으며, 추진 계획의 완성도도 비교적 양호한 것으로 판단 됨. _x000D_⑤기존 물티슈 시장에서 발생하기 쉬운 다양한 문제를 자동닫힘 캡을 이용하여 사업화를 하기위한 창업아이템으로 기존제품들의 문제점과 한계성에 대해 잘 설명되어져 있으며, 이미 개발관련 특허를 보유하는 등 개발역량도 충분한 것으로 보인다. 다만, 자동이라는 한계가 가지는 내구성에 대한 검증이나 닫힘시 발생할 수 있는 위해성 등에 대해 검증이 필요할 것으로 보여 보완이 필요할 것으로 보인다.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hidden="1" customHeight="1" x14ac:dyDescent="0.35">
      <c r="A56" s="4">
        <v>115</v>
      </c>
      <c r="B56" s="2">
        <v>20426581</v>
      </c>
      <c r="C56" s="38" t="str">
        <f>IFERROR(VLOOKUP($B56,대상!$B:$AC,MATCH(C$2,대상!$1:$1,0)-1,FALSE),"")</f>
        <v>지역기반</v>
      </c>
      <c r="D56" s="38" t="str">
        <f>IFERROR(VLOOKUP($B56,대상!$B:$AC,MATCH(D$2,대상!$1:$1,0)-1,FALSE),"")</f>
        <v>김지현</v>
      </c>
      <c r="E56" s="36" t="str">
        <f>IFERROR(VLOOKUP($B56,대상!$B:$AC,MATCH(E$2,대상!$1:$1,0)-1,FALSE),"")</f>
        <v>화공ㆍ섬유</v>
      </c>
      <c r="F56" s="38" t="str">
        <f>IFERROR(VLOOKUP($B56,대상!$B:$AC,MATCH(F$2,대상!$1:$1,0)-1,FALSE),"")</f>
        <v>황벽나무 및 쇠비름 유효성분의 효능 최대화 기술이 적용된 가려움 완화  비도포 분사형 제품</v>
      </c>
      <c r="G56" s="38" t="str">
        <f>IFERROR(VLOOKUP($B56,대상!$B:$AC,MATCH(G$2,대상!$1:$1,0)-1,FALSE),"")</f>
        <v/>
      </c>
      <c r="H56" s="33">
        <f>IFERROR(VLOOKUP($B56,[1]평가!$B:$Z,MATCH(LEFT(H$2,2),[1]평가!$7:$7,0)-1,FALSE),"")</f>
        <v>0</v>
      </c>
      <c r="I56" s="36">
        <f>IFERROR(VLOOKUP($B56,[1]평가!$B:$Z,MATCH(LEFT(I$2,2),[1]평가!$7:$7,0)-1,FALSE),"")</f>
        <v>81</v>
      </c>
      <c r="J56" s="36">
        <f>IFERROR(VLOOKUP($B56,[1]평가!$B:$Z,MATCH(LEFT(J$2,2),[1]평가!$7:$7,0)-1,FALSE),"")</f>
        <v>37</v>
      </c>
      <c r="K56" s="33">
        <f>IFERROR(VLOOKUP($B56,[2]평가!$B:$Z,MATCH(LEFT(K$2,2),[2]평가!$7:$7,0)-1,FALSE),"")</f>
        <v>0</v>
      </c>
      <c r="L56" s="36">
        <f>IFERROR(VLOOKUP($B56,[2]평가!$B:$Z,MATCH(LEFT(L$2,2),[2]평가!$7:$7,0)-1,FALSE),"")</f>
        <v>79</v>
      </c>
      <c r="M56" s="39">
        <f>IFERROR(VLOOKUP($B56,[2]평가!$B:$Z,MATCH(LEFT(M$2,2),[2]평가!$7:$7,0)-1,FALSE),"")</f>
        <v>48</v>
      </c>
      <c r="N56" s="33">
        <f>IFERROR(VLOOKUP($B56,[3]평가!$B:$Z,MATCH(LEFT(N$2,2),[3]평가!$7:$7,0)-1,FALSE),"")</f>
        <v>0</v>
      </c>
      <c r="O56" s="36">
        <f>IFERROR(VLOOKUP($B56,[3]평가!$B:$Z,MATCH(LEFT(O$2,2),[3]평가!$7:$7,0)-1,FALSE),"")</f>
        <v>74</v>
      </c>
      <c r="P56" s="39">
        <f>IFERROR(VLOOKUP($B56,[3]평가!$B:$Z,MATCH(LEFT(P$2,2),[3]평가!$7:$7,0)-1,FALSE),"")</f>
        <v>64</v>
      </c>
      <c r="Q56" s="33">
        <f>IFERROR(VLOOKUP($B56,[4]평가!$B:$Z,MATCH(LEFT(Q$2,2),[4]평가!$7:$7,0)-1,FALSE),"")</f>
        <v>0</v>
      </c>
      <c r="R56" s="36">
        <f>IFERROR(VLOOKUP($B56,[4]평가!$B:$Z,MATCH(LEFT(R$2,2),[4]평가!$7:$7,0)-1,FALSE),"")</f>
        <v>84</v>
      </c>
      <c r="S56" s="39">
        <f>IFERROR(VLOOKUP($B56,[4]평가!$B:$Z,MATCH(LEFT(S$2,2),[4]평가!$7:$7,0)-1,FALSE),"")</f>
        <v>35</v>
      </c>
      <c r="T56" s="33">
        <f>IFERROR(VLOOKUP($B56,[5]평가!$B:$Z,MATCH(LEFT(T$2,2),[5]평가!$7:$7,0)-1,FALSE),"")</f>
        <v>0</v>
      </c>
      <c r="U56" s="36">
        <f>IFERROR(VLOOKUP($B56,[5]평가!$B:$Z,MATCH(LEFT(U$2,2),[5]평가!$7:$7,0)-1,FALSE),"")</f>
        <v>76</v>
      </c>
      <c r="V56" s="39">
        <f>IFERROR(VLOOKUP($B56,[5]평가!$B:$Z,MATCH(LEFT(V$2,2),[5]평가!$7:$7,0)-1,FALSE),"")</f>
        <v>54</v>
      </c>
      <c r="W56" s="33">
        <f>IFERROR(VLOOKUP($B56,대상!$B:$AD,MATCH(W$2,대상!$1:$1,0)-1,FALSE),"")</f>
        <v>0</v>
      </c>
      <c r="X56" s="20">
        <f>IF(ISBLANK(B56),"",T$1-COUNTIF(H56:V56,"회피"))</f>
        <v>5</v>
      </c>
      <c r="Y56" s="21">
        <f>IF($T$1=X56,(SUM(I56,L56,O56,R56,U56)-MIN(I56,L56,O56,R56,U56)-MAX(I56,L56,O56,R56,U56))/($T$1-2),SUM(I56,L56,O56,R56,U56/X56))</f>
        <v>78.666666666666671</v>
      </c>
      <c r="Z56" s="40">
        <f>IFERROR(VLOOKUP($B56,대상!$B:$AD,MATCH(Z$2,대상!$1:$1,0)-1,FALSE),0)</f>
        <v>0</v>
      </c>
      <c r="AA56" s="41">
        <f>IFERROR(IF(W56="면제","100"+Z56,Y56+Z56),"")</f>
        <v>78.666666666666671</v>
      </c>
      <c r="AB56" s="35" t="str">
        <f>IF(OR(W56="면제",N(Y56)=0),"",IF(AA56&lt;60,"과락",""))</f>
        <v/>
      </c>
      <c r="AC56" s="54">
        <f>IF(N(AA56)=0,"",RANK(AA56,AA$3:AA$202))</f>
        <v>52</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_x000D_②민감형 피부 시장 대응 제품 개발로 시장 대응성이 높고 실질적 요구 제품으로 평가됨.  반복 구매성과 확보된 시장성으로 인한 사업성은 높은 것으로 판단되나 사업화전  임상 등 사전 평가 자료가 부족하여 개발 제품의 제품성에 대한 근거가 부족함 _x000D_③아이템의 핵심기능과 구체적인 판로개척방법들이 잘 정리되어 있음. 
지원사업의 성격에 따른 기술과 차별성, 해외 시장 진출에 따른 전략 구체적 방안 제시필요.  _x000D_④창업 동기와 문제 인식은 비교적 명확하게 제시가 되어 있으나, 실제 차별성이 고객의 수요와 활용 가능성에 대한 설명이 다소 미흠 함. _x000D_⑤천연 진정 복합물 기반으로 분사형 피부 안정 화장품을 창업아이템으로 하는 사업으로 시장의 배경과 이를 해결하기 위한 해결방안 등이 잘 도출되어져 있다. 다만, 다양한 분사형 제품 대비 기술적 차별성이나 시장에서의 경쟁력 확보등을 위한 객관적인 근거자료가 부족하여 이에 대한 보완이 필요하며, 조직구성 및 운영면에서도 추가 검토가 필요하다.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hidden="1" customHeight="1" x14ac:dyDescent="0.35">
      <c r="A57" s="4">
        <v>17</v>
      </c>
      <c r="B57" s="2">
        <v>20421895</v>
      </c>
      <c r="C57" s="38" t="str">
        <f>IFERROR(VLOOKUP($B57,대상!$B:$AC,MATCH(C$2,대상!$1:$1,0)-1,FALSE),"")</f>
        <v>지역기반</v>
      </c>
      <c r="D57" s="38" t="str">
        <f>IFERROR(VLOOKUP($B57,대상!$B:$AC,MATCH(D$2,대상!$1:$1,0)-1,FALSE),"")</f>
        <v>전서영</v>
      </c>
      <c r="E57" s="36" t="str">
        <f>IFERROR(VLOOKUP($B57,대상!$B:$AC,MATCH(E$2,대상!$1:$1,0)-1,FALSE),"")</f>
        <v>화공ㆍ섬유</v>
      </c>
      <c r="F57" s="38" t="str">
        <f>IFERROR(VLOOKUP($B57,대상!$B:$AC,MATCH(F$2,대상!$1:$1,0)-1,FALSE),"")</f>
        <v>손쉽게 눌러쓰는 압출식 2 in 1 버블 토너</v>
      </c>
      <c r="G57" s="38" t="str">
        <f>IFERROR(VLOOKUP($B57,대상!$B:$AC,MATCH(G$2,대상!$1:$1,0)-1,FALSE),"")</f>
        <v/>
      </c>
      <c r="H57" s="33">
        <f>IFERROR(VLOOKUP($B57,[1]평가!$B:$Z,MATCH(LEFT(H$2,2),[1]평가!$7:$7,0)-1,FALSE),"")</f>
        <v>0</v>
      </c>
      <c r="I57" s="36">
        <f>IFERROR(VLOOKUP($B57,[1]평가!$B:$Z,MATCH(LEFT(I$2,2),[1]평가!$7:$7,0)-1,FALSE),"")</f>
        <v>78</v>
      </c>
      <c r="J57" s="36">
        <f>IFERROR(VLOOKUP($B57,[1]평가!$B:$Z,MATCH(LEFT(J$2,2),[1]평가!$7:$7,0)-1,FALSE),"")</f>
        <v>66</v>
      </c>
      <c r="K57" s="33">
        <f>IFERROR(VLOOKUP($B57,[2]평가!$B:$Z,MATCH(LEFT(K$2,2),[2]평가!$7:$7,0)-1,FALSE),"")</f>
        <v>0</v>
      </c>
      <c r="L57" s="36">
        <f>IFERROR(VLOOKUP($B57,[2]평가!$B:$Z,MATCH(LEFT(L$2,2),[2]평가!$7:$7,0)-1,FALSE),"")</f>
        <v>68</v>
      </c>
      <c r="M57" s="39">
        <f>IFERROR(VLOOKUP($B57,[2]평가!$B:$Z,MATCH(LEFT(M$2,2),[2]평가!$7:$7,0)-1,FALSE),"")</f>
        <v>98</v>
      </c>
      <c r="N57" s="33">
        <f>IFERROR(VLOOKUP($B57,[3]평가!$B:$Z,MATCH(LEFT(N$2,2),[3]평가!$7:$7,0)-1,FALSE),"")</f>
        <v>0</v>
      </c>
      <c r="O57" s="36">
        <f>IFERROR(VLOOKUP($B57,[3]평가!$B:$Z,MATCH(LEFT(O$2,2),[3]평가!$7:$7,0)-1,FALSE),"")</f>
        <v>71</v>
      </c>
      <c r="P57" s="39">
        <f>IFERROR(VLOOKUP($B57,[3]평가!$B:$Z,MATCH(LEFT(P$2,2),[3]평가!$7:$7,0)-1,FALSE),"")</f>
        <v>81</v>
      </c>
      <c r="Q57" s="33">
        <f>IFERROR(VLOOKUP($B57,[4]평가!$B:$Z,MATCH(LEFT(Q$2,2),[4]평가!$7:$7,0)-1,FALSE),"")</f>
        <v>0</v>
      </c>
      <c r="R57" s="36">
        <f>IFERROR(VLOOKUP($B57,[4]평가!$B:$Z,MATCH(LEFT(R$2,2),[4]평가!$7:$7,0)-1,FALSE),"")</f>
        <v>86</v>
      </c>
      <c r="S57" s="39">
        <f>IFERROR(VLOOKUP($B57,[4]평가!$B:$Z,MATCH(LEFT(S$2,2),[4]평가!$7:$7,0)-1,FALSE),"")</f>
        <v>23</v>
      </c>
      <c r="T57" s="33">
        <f>IFERROR(VLOOKUP($B57,[5]평가!$B:$Z,MATCH(LEFT(T$2,2),[5]평가!$7:$7,0)-1,FALSE),"")</f>
        <v>0</v>
      </c>
      <c r="U57" s="36">
        <f>IFERROR(VLOOKUP($B57,[5]평가!$B:$Z,MATCH(LEFT(U$2,2),[5]평가!$7:$7,0)-1,FALSE),"")</f>
        <v>87</v>
      </c>
      <c r="V57" s="39">
        <f>IFERROR(VLOOKUP($B57,[5]평가!$B:$Z,MATCH(LEFT(V$2,2),[5]평가!$7:$7,0)-1,FALSE),"")</f>
        <v>14</v>
      </c>
      <c r="W57" s="33">
        <f>IFERROR(VLOOKUP($B57,대상!$B:$AD,MATCH(W$2,대상!$1:$1,0)-1,FALSE),"")</f>
        <v>0</v>
      </c>
      <c r="X57" s="20">
        <f>IF(ISBLANK(B57),"",T$1-COUNTIF(H57:V57,"회피"))</f>
        <v>5</v>
      </c>
      <c r="Y57" s="21">
        <f>IF($T$1=X57,(SUM(I57,L57,O57,R57,U57)-MIN(I57,L57,O57,R57,U57)-MAX(I57,L57,O57,R57,U57))/($T$1-2),SUM(I57,L57,O57,R57,U57/X57))</f>
        <v>78.333333333333329</v>
      </c>
      <c r="Z57" s="40">
        <f>IFERROR(VLOOKUP($B57,대상!$B:$AD,MATCH(Z$2,대상!$1:$1,0)-1,FALSE),0)</f>
        <v>0</v>
      </c>
      <c r="AA57" s="41">
        <f>IFERROR(IF(W57="면제","100"+Z57,Y57+Z57),"")</f>
        <v>78.333333333333329</v>
      </c>
      <c r="AB57" s="35" t="str">
        <f>IF(OR(W57="면제",N(Y57)=0),"",IF(AA57&lt;60,"과락",""))</f>
        <v/>
      </c>
      <c r="AC57" s="54">
        <f>IF(N(AA57)=0,"",RANK(AA57,AA$3:AA$202))</f>
        <v>57</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①-사업화 아이템의 성공가능성 향상을 위해 보다 다양한 측면에서 차별화 이슈의 도출 및 후발 경쟁자의 진입 억제를 위한 산업재산권 확보방안에 대한 고민이 필요해 보입니다.
-창업지원사업의 특성을 고려한 성과목표 제시 및 달성방안에 대한 설명이 필요해 보입니다. _x000D_②단편적 개발 제품으로 실제적 사용성과 특이성은 있으나 시장의 우위성을 보유하기는 어려운 아이템으로 매출 확장성이 부족할 것으로 판단됨. _x000D_③창업 동기와 문제 해결의 필요성, 기술추진 의지가 설득력 있게 제시되었습니다. 
다만, 독보적인 경쟁력을 증명하기 위한 객관적 지표와 추가 보완이 필요합니다. _x000D_④창업아이템의 개발 배경과 목적이 비교적 명확하게 제시 됨. _x000D_⑤인터뷰를 통한 소비자들의 needs를 파악하고 이를 제품화 하여 시장진출을 노리는 시장전략과 제품설계 등의 전략적인 면보가 돋보인다. 다만 좋은제품을 만드는 것만큼 중요한 부분이 고객층을 확보하기 위한 마케팅 부분으로 이 부분에 대한 보완이 필요하다.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hidden="1" customHeight="1" x14ac:dyDescent="0.35">
      <c r="A58" s="4">
        <v>30</v>
      </c>
      <c r="B58" s="2">
        <v>20432239</v>
      </c>
      <c r="C58" s="38" t="str">
        <f>IFERROR(VLOOKUP($B58,대상!$B:$AC,MATCH(C$2,대상!$1:$1,0)-1,FALSE),"")</f>
        <v>지역기반</v>
      </c>
      <c r="D58" s="38" t="str">
        <f>IFERROR(VLOOKUP($B58,대상!$B:$AC,MATCH(D$2,대상!$1:$1,0)-1,FALSE),"")</f>
        <v>문규리</v>
      </c>
      <c r="E58" s="36" t="str">
        <f>IFERROR(VLOOKUP($B58,대상!$B:$AC,MATCH(E$2,대상!$1:$1,0)-1,FALSE),"")</f>
        <v>화공ㆍ섬유</v>
      </c>
      <c r="F58" s="38" t="str">
        <f>IFERROR(VLOOKUP($B58,대상!$B:$AC,MATCH(F$2,대상!$1:$1,0)-1,FALSE),"")</f>
        <v>플라스틱 업사이클링 기술이 적용된 셀프케어 기능의 홈 퍼머넌트 키트</v>
      </c>
      <c r="G58" s="38" t="str">
        <f>IFERROR(VLOOKUP($B58,대상!$B:$AC,MATCH(G$2,대상!$1:$1,0)-1,FALSE),"")</f>
        <v/>
      </c>
      <c r="H58" s="33">
        <f>IFERROR(VLOOKUP($B58,[1]평가!$B:$Z,MATCH(LEFT(H$2,2),[1]평가!$7:$7,0)-1,FALSE),"")</f>
        <v>0</v>
      </c>
      <c r="I58" s="36">
        <f>IFERROR(VLOOKUP($B58,[1]평가!$B:$Z,MATCH(LEFT(I$2,2),[1]평가!$7:$7,0)-1,FALSE),"")</f>
        <v>76</v>
      </c>
      <c r="J58" s="36">
        <f>IFERROR(VLOOKUP($B58,[1]평가!$B:$Z,MATCH(LEFT(J$2,2),[1]평가!$7:$7,0)-1,FALSE),"")</f>
        <v>76</v>
      </c>
      <c r="K58" s="33">
        <f>IFERROR(VLOOKUP($B58,[2]평가!$B:$Z,MATCH(LEFT(K$2,2),[2]평가!$7:$7,0)-1,FALSE),"")</f>
        <v>0</v>
      </c>
      <c r="L58" s="36">
        <f>IFERROR(VLOOKUP($B58,[2]평가!$B:$Z,MATCH(LEFT(L$2,2),[2]평가!$7:$7,0)-1,FALSE),"")</f>
        <v>83</v>
      </c>
      <c r="M58" s="39">
        <f>IFERROR(VLOOKUP($B58,[2]평가!$B:$Z,MATCH(LEFT(M$2,2),[2]평가!$7:$7,0)-1,FALSE),"")</f>
        <v>26</v>
      </c>
      <c r="N58" s="33">
        <f>IFERROR(VLOOKUP($B58,[3]평가!$B:$Z,MATCH(LEFT(N$2,2),[3]평가!$7:$7,0)-1,FALSE),"")</f>
        <v>0</v>
      </c>
      <c r="O58" s="36">
        <f>IFERROR(VLOOKUP($B58,[3]평가!$B:$Z,MATCH(LEFT(O$2,2),[3]평가!$7:$7,0)-1,FALSE),"")</f>
        <v>76</v>
      </c>
      <c r="P58" s="39">
        <f>IFERROR(VLOOKUP($B58,[3]평가!$B:$Z,MATCH(LEFT(P$2,2),[3]평가!$7:$7,0)-1,FALSE),"")</f>
        <v>55</v>
      </c>
      <c r="Q58" s="33">
        <f>IFERROR(VLOOKUP($B58,[4]평가!$B:$Z,MATCH(LEFT(Q$2,2),[4]평가!$7:$7,0)-1,FALSE),"")</f>
        <v>0</v>
      </c>
      <c r="R58" s="36">
        <f>IFERROR(VLOOKUP($B58,[4]평가!$B:$Z,MATCH(LEFT(R$2,2),[4]평가!$7:$7,0)-1,FALSE),"")</f>
        <v>76</v>
      </c>
      <c r="S58" s="39">
        <f>IFERROR(VLOOKUP($B58,[4]평가!$B:$Z,MATCH(LEFT(S$2,2),[4]평가!$7:$7,0)-1,FALSE),"")</f>
        <v>74</v>
      </c>
      <c r="T58" s="33">
        <f>IFERROR(VLOOKUP($B58,[5]평가!$B:$Z,MATCH(LEFT(T$2,2),[5]평가!$7:$7,0)-1,FALSE),"")</f>
        <v>0</v>
      </c>
      <c r="U58" s="36">
        <f>IFERROR(VLOOKUP($B58,[5]평가!$B:$Z,MATCH(LEFT(U$2,2),[5]평가!$7:$7,0)-1,FALSE),"")</f>
        <v>83</v>
      </c>
      <c r="V58" s="39">
        <f>IFERROR(VLOOKUP($B58,[5]평가!$B:$Z,MATCH(LEFT(V$2,2),[5]평가!$7:$7,0)-1,FALSE),"")</f>
        <v>33</v>
      </c>
      <c r="W58" s="33">
        <f>IFERROR(VLOOKUP($B58,대상!$B:$AD,MATCH(W$2,대상!$1:$1,0)-1,FALSE),"")</f>
        <v>0</v>
      </c>
      <c r="X58" s="20">
        <f>IF(ISBLANK(B58),"",T$1-COUNTIF(H58:V58,"회피"))</f>
        <v>5</v>
      </c>
      <c r="Y58" s="21">
        <f>IF($T$1=X58,(SUM(I58,L58,O58,R58,U58)-MIN(I58,L58,O58,R58,U58)-MAX(I58,L58,O58,R58,U58))/($T$1-2),SUM(I58,L58,O58,R58,U58/X58))</f>
        <v>78.333333333333329</v>
      </c>
      <c r="Z58" s="40">
        <f>IFERROR(VLOOKUP($B58,대상!$B:$AD,MATCH(Z$2,대상!$1:$1,0)-1,FALSE),0)</f>
        <v>0</v>
      </c>
      <c r="AA58" s="41">
        <f>IFERROR(IF(W58="면제","100"+Z58,Y58+Z58),"")</f>
        <v>78.333333333333329</v>
      </c>
      <c r="AB58" s="35" t="str">
        <f>IF(OR(W58="면제",N(Y58)=0),"",IF(AA58&lt;60,"과락",""))</f>
        <v/>
      </c>
      <c r="AC58" s="54">
        <f>IF(N(AA58)=0,"",RANK(AA58,AA$3:AA$202))</f>
        <v>57</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①-사업화아이템의 성공가능성 향상 및 후발 경쟁자의 시장진입 억제를 위한 전략에 대한 고민이 필요해 보입니다.
-사업의 지속성 확를 위하여 보다 구체적인 수익 창줄 방안에 대한 고민이 필요해 보입니다. 
-제품의 시장 독점성 확보를 위해 제품의 고도화 방안 검토 및 산업재산권 확보에 대한 고민도 필요해 보입니다 .    _x000D_②소비자의 불편을 해소하고 폐플라스틱 활용 등 친환경 트렌드에 병합하고 시장 요구에 대한 분석이 양호하게 진행되었슴. 제조사와의 협업은 완료되었으나 공급체와의  협업 구체성이 미흡하여 단기간 매출에 대한 기대치가 낮음 _x000D_③경쟁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 _x000D_④창업동기와 문제인식은 비교적 명확하게 제시되었으나, 고객 검증자료는 다소 미흡한 것으로 판단 됨. _x000D_⑤친환경 시장조사를 기반으로 하여 고객의 needs를 검토하고 이에 맞는 새로운제품을 개발하여 고객만족을 위해 경쟁력있는 가격으로 진출하는 전반적인 사업설계가 우수하다. 다만, 제품의 기능성 부분과 성능면에서 어느정도 위치인지가 파악이 되지 않아 아쉬운 부분이 있다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hidden="1" customHeight="1" x14ac:dyDescent="0.35">
      <c r="A59" s="4">
        <v>60</v>
      </c>
      <c r="B59" s="2">
        <v>20417527</v>
      </c>
      <c r="C59" s="38" t="str">
        <f>IFERROR(VLOOKUP($B59,대상!$B:$AC,MATCH(C$2,대상!$1:$1,0)-1,FALSE),"")</f>
        <v>지역기반</v>
      </c>
      <c r="D59" s="38" t="str">
        <f>IFERROR(VLOOKUP($B59,대상!$B:$AC,MATCH(D$2,대상!$1:$1,0)-1,FALSE),"")</f>
        <v>왕효원</v>
      </c>
      <c r="E59" s="36" t="str">
        <f>IFERROR(VLOOKUP($B59,대상!$B:$AC,MATCH(E$2,대상!$1:$1,0)-1,FALSE),"")</f>
        <v>화공ㆍ섬유</v>
      </c>
      <c r="F59" s="38" t="str">
        <f>IFERROR(VLOOKUP($B59,대상!$B:$AC,MATCH(F$2,대상!$1:$1,0)-1,FALSE),"")</f>
        <v>초보자도 손쉽게 제모 가능한 고기능성 슈가페이스트 및 자동 충진 제조 시스템의 사업화</v>
      </c>
      <c r="G59" s="38" t="str">
        <f>IFERROR(VLOOKUP($B59,대상!$B:$AC,MATCH(G$2,대상!$1:$1,0)-1,FALSE),"")</f>
        <v/>
      </c>
      <c r="H59" s="33">
        <f>IFERROR(VLOOKUP($B59,[1]평가!$B:$Z,MATCH(LEFT(H$2,2),[1]평가!$7:$7,0)-1,FALSE),"")</f>
        <v>0</v>
      </c>
      <c r="I59" s="36">
        <f>IFERROR(VLOOKUP($B59,[1]평가!$B:$Z,MATCH(LEFT(I$2,2),[1]평가!$7:$7,0)-1,FALSE),"")</f>
        <v>79</v>
      </c>
      <c r="J59" s="36">
        <f>IFERROR(VLOOKUP($B59,[1]평가!$B:$Z,MATCH(LEFT(J$2,2),[1]평가!$7:$7,0)-1,FALSE),"")</f>
        <v>47</v>
      </c>
      <c r="K59" s="33">
        <f>IFERROR(VLOOKUP($B59,[2]평가!$B:$Z,MATCH(LEFT(K$2,2),[2]평가!$7:$7,0)-1,FALSE),"")</f>
        <v>0</v>
      </c>
      <c r="L59" s="36">
        <f>IFERROR(VLOOKUP($B59,[2]평가!$B:$Z,MATCH(LEFT(L$2,2),[2]평가!$7:$7,0)-1,FALSE),"")</f>
        <v>86</v>
      </c>
      <c r="M59" s="39">
        <f>IFERROR(VLOOKUP($B59,[2]평가!$B:$Z,MATCH(LEFT(M$2,2),[2]평가!$7:$7,0)-1,FALSE),"")</f>
        <v>13</v>
      </c>
      <c r="N59" s="33">
        <f>IFERROR(VLOOKUP($B59,[3]평가!$B:$Z,MATCH(LEFT(N$2,2),[3]평가!$7:$7,0)-1,FALSE),"")</f>
        <v>0</v>
      </c>
      <c r="O59" s="36">
        <f>IFERROR(VLOOKUP($B59,[3]평가!$B:$Z,MATCH(LEFT(O$2,2),[3]평가!$7:$7,0)-1,FALSE),"")</f>
        <v>66</v>
      </c>
      <c r="P59" s="39">
        <f>IFERROR(VLOOKUP($B59,[3]평가!$B:$Z,MATCH(LEFT(P$2,2),[3]평가!$7:$7,0)-1,FALSE),"")</f>
        <v>104</v>
      </c>
      <c r="Q59" s="33">
        <f>IFERROR(VLOOKUP($B59,[4]평가!$B:$Z,MATCH(LEFT(Q$2,2),[4]평가!$7:$7,0)-1,FALSE),"")</f>
        <v>0</v>
      </c>
      <c r="R59" s="36">
        <f>IFERROR(VLOOKUP($B59,[4]평가!$B:$Z,MATCH(LEFT(R$2,2),[4]평가!$7:$7,0)-1,FALSE),"")</f>
        <v>80</v>
      </c>
      <c r="S59" s="39">
        <f>IFERROR(VLOOKUP($B59,[4]평가!$B:$Z,MATCH(LEFT(S$2,2),[4]평가!$7:$7,0)-1,FALSE),"")</f>
        <v>50</v>
      </c>
      <c r="T59" s="33">
        <f>IFERROR(VLOOKUP($B59,[5]평가!$B:$Z,MATCH(LEFT(T$2,2),[5]평가!$7:$7,0)-1,FALSE),"")</f>
        <v>0</v>
      </c>
      <c r="U59" s="36">
        <f>IFERROR(VLOOKUP($B59,[5]평가!$B:$Z,MATCH(LEFT(U$2,2),[5]평가!$7:$7,0)-1,FALSE),"")</f>
        <v>76</v>
      </c>
      <c r="V59" s="39">
        <f>IFERROR(VLOOKUP($B59,[5]평가!$B:$Z,MATCH(LEFT(V$2,2),[5]평가!$7:$7,0)-1,FALSE),"")</f>
        <v>54</v>
      </c>
      <c r="W59" s="33">
        <f>IFERROR(VLOOKUP($B59,대상!$B:$AD,MATCH(W$2,대상!$1:$1,0)-1,FALSE),"")</f>
        <v>0</v>
      </c>
      <c r="X59" s="20">
        <f>IF(ISBLANK(B59),"",T$1-COUNTIF(H59:V59,"회피"))</f>
        <v>5</v>
      </c>
      <c r="Y59" s="21">
        <f>IF($T$1=X59,(SUM(I59,L59,O59,R59,U59)-MIN(I59,L59,O59,R59,U59)-MAX(I59,L59,O59,R59,U59))/($T$1-2),SUM(I59,L59,O59,R59,U59/X59))</f>
        <v>78.333333333333329</v>
      </c>
      <c r="Z59" s="40">
        <f>IFERROR(VLOOKUP($B59,대상!$B:$AD,MATCH(Z$2,대상!$1:$1,0)-1,FALSE),0)</f>
        <v>0</v>
      </c>
      <c r="AA59" s="41">
        <f>IFERROR(IF(W59="면제","100"+Z59,Y59+Z59),"")</f>
        <v>78.333333333333329</v>
      </c>
      <c r="AB59" s="35" t="str">
        <f>IF(OR(W59="면제",N(Y59)=0),"",IF(AA59&lt;60,"과락",""))</f>
        <v/>
      </c>
      <c r="AC59" s="54">
        <f>IF(N(AA59)=0,"",RANK(AA59,AA$3:AA$202))</f>
        <v>57</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_x000D_②개발 제품의 차별성과 시장성 확대에 대응하는 제품으로 경쟁력 우위가 있고 현재 개발 완료된 상태로 단기적 매출 발생이 가능함.  고객의 수요와 필요성에 적합하고 개발자의 역량이 높으나 경쟁 제품과의 대응 전략이 다소 미흡한 것으로 판단됨. _x000D_③창업동기와 문제인식은 비교적 명확하게 제시. 다만 시장 규모와 고객검증 자료는 다소 제한적으로 제시. 
전반적으로 사업 방향은 적절하나 객관적 근거는 일부 보완이 필요함 _x000D_④창업동기와 문제 인식은 비교적 명확하게 제시가 되어 있으나, 실제 차별성이 기술 우위로 연결되는 설명이 다소 미흠 함. _x000D_⑤손쉽게 사용할 수 있는 체모 제거용 화장품(슈가페이스트)를 창업아이템으로 하여 개발아이템에 대한 성능과 기술을 충분히 설명하고 있다. 다만, 기존 제품들과의 성능적인 비교 및 시장우위를 점하기 위한 차별적 전략등이 나타나 있지 않아 보완이 필요하며, 해당 제품의 개발은 이미 마친것으로 보이나 협약기간내에는 이미 완료된 개발제품만 산출물로 제시되어 있어 다소 아쉬운 부분이 있다.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hidden="1" customHeight="1" x14ac:dyDescent="0.35">
      <c r="A60" s="4">
        <v>113</v>
      </c>
      <c r="B60" s="2">
        <v>20425558</v>
      </c>
      <c r="C60" s="38" t="str">
        <f>IFERROR(VLOOKUP($B60,대상!$B:$AC,MATCH(C$2,대상!$1:$1,0)-1,FALSE),"")</f>
        <v>지역기반</v>
      </c>
      <c r="D60" s="38" t="str">
        <f>IFERROR(VLOOKUP($B60,대상!$B:$AC,MATCH(D$2,대상!$1:$1,0)-1,FALSE),"")</f>
        <v>서준원</v>
      </c>
      <c r="E60" s="36" t="str">
        <f>IFERROR(VLOOKUP($B60,대상!$B:$AC,MATCH(E$2,대상!$1:$1,0)-1,FALSE),"")</f>
        <v>화공ㆍ섬유</v>
      </c>
      <c r="F60" s="38" t="str">
        <f>IFERROR(VLOOKUP($B60,대상!$B:$AC,MATCH(F$2,대상!$1:$1,0)-1,FALSE),"")</f>
        <v>국내산 집성재의 이익극대화를 위한 상온 경화형 집성재 제조 공정 개발</v>
      </c>
      <c r="G60" s="38" t="str">
        <f>IFERROR(VLOOKUP($B60,대상!$B:$AC,MATCH(G$2,대상!$1:$1,0)-1,FALSE),"")</f>
        <v/>
      </c>
      <c r="H60" s="33">
        <f>IFERROR(VLOOKUP($B60,[1]평가!$B:$Z,MATCH(LEFT(H$2,2),[1]평가!$7:$7,0)-1,FALSE),"")</f>
        <v>0</v>
      </c>
      <c r="I60" s="36">
        <f>IFERROR(VLOOKUP($B60,[1]평가!$B:$Z,MATCH(LEFT(I$2,2),[1]평가!$7:$7,0)-1,FALSE),"")</f>
        <v>72</v>
      </c>
      <c r="J60" s="36">
        <f>IFERROR(VLOOKUP($B60,[1]평가!$B:$Z,MATCH(LEFT(J$2,2),[1]평가!$7:$7,0)-1,FALSE),"")</f>
        <v>104</v>
      </c>
      <c r="K60" s="33">
        <f>IFERROR(VLOOKUP($B60,[2]평가!$B:$Z,MATCH(LEFT(K$2,2),[2]평가!$7:$7,0)-1,FALSE),"")</f>
        <v>0</v>
      </c>
      <c r="L60" s="36">
        <f>IFERROR(VLOOKUP($B60,[2]평가!$B:$Z,MATCH(LEFT(L$2,2),[2]평가!$7:$7,0)-1,FALSE),"")</f>
        <v>84</v>
      </c>
      <c r="M60" s="39">
        <f>IFERROR(VLOOKUP($B60,[2]평가!$B:$Z,MATCH(LEFT(M$2,2),[2]평가!$7:$7,0)-1,FALSE),"")</f>
        <v>21</v>
      </c>
      <c r="N60" s="33">
        <f>IFERROR(VLOOKUP($B60,[3]평가!$B:$Z,MATCH(LEFT(N$2,2),[3]평가!$7:$7,0)-1,FALSE),"")</f>
        <v>0</v>
      </c>
      <c r="O60" s="36">
        <f>IFERROR(VLOOKUP($B60,[3]평가!$B:$Z,MATCH(LEFT(O$2,2),[3]평가!$7:$7,0)-1,FALSE),"")</f>
        <v>79</v>
      </c>
      <c r="P60" s="39">
        <f>IFERROR(VLOOKUP($B60,[3]평가!$B:$Z,MATCH(LEFT(P$2,2),[3]평가!$7:$7,0)-1,FALSE),"")</f>
        <v>45</v>
      </c>
      <c r="Q60" s="33">
        <f>IFERROR(VLOOKUP($B60,[4]평가!$B:$Z,MATCH(LEFT(Q$2,2),[4]평가!$7:$7,0)-1,FALSE),"")</f>
        <v>0</v>
      </c>
      <c r="R60" s="36">
        <f>IFERROR(VLOOKUP($B60,[4]평가!$B:$Z,MATCH(LEFT(R$2,2),[4]평가!$7:$7,0)-1,FALSE),"")</f>
        <v>91</v>
      </c>
      <c r="S60" s="39">
        <f>IFERROR(VLOOKUP($B60,[4]평가!$B:$Z,MATCH(LEFT(S$2,2),[4]평가!$7:$7,0)-1,FALSE),"")</f>
        <v>2</v>
      </c>
      <c r="T60" s="33">
        <f>IFERROR(VLOOKUP($B60,[5]평가!$B:$Z,MATCH(LEFT(T$2,2),[5]평가!$7:$7,0)-1,FALSE),"")</f>
        <v>0</v>
      </c>
      <c r="U60" s="36">
        <f>IFERROR(VLOOKUP($B60,[5]평가!$B:$Z,MATCH(LEFT(U$2,2),[5]평가!$7:$7,0)-1,FALSE),"")</f>
        <v>66</v>
      </c>
      <c r="V60" s="39">
        <f>IFERROR(VLOOKUP($B60,[5]평가!$B:$Z,MATCH(LEFT(V$2,2),[5]평가!$7:$7,0)-1,FALSE),"")</f>
        <v>100</v>
      </c>
      <c r="W60" s="33">
        <f>IFERROR(VLOOKUP($B60,대상!$B:$AD,MATCH(W$2,대상!$1:$1,0)-1,FALSE),"")</f>
        <v>0</v>
      </c>
      <c r="X60" s="20">
        <f>IF(ISBLANK(B60),"",T$1-COUNTIF(H60:V60,"회피"))</f>
        <v>5</v>
      </c>
      <c r="Y60" s="21">
        <f>IF($T$1=X60,(SUM(I60,L60,O60,R60,U60)-MIN(I60,L60,O60,R60,U60)-MAX(I60,L60,O60,R60,U60))/($T$1-2),SUM(I60,L60,O60,R60,U60/X60))</f>
        <v>78.333333333333329</v>
      </c>
      <c r="Z60" s="40">
        <f>IFERROR(VLOOKUP($B60,대상!$B:$AD,MATCH(Z$2,대상!$1:$1,0)-1,FALSE),0)</f>
        <v>0</v>
      </c>
      <c r="AA60" s="41">
        <f>IFERROR(IF(W60="면제","100"+Z60,Y60+Z60),"")</f>
        <v>78.333333333333329</v>
      </c>
      <c r="AB60" s="35" t="str">
        <f>IF(OR(W60="면제",N(Y60)=0),"",IF(AA60&lt;60,"과락",""))</f>
        <v/>
      </c>
      <c r="AC60" s="54">
        <f>IF(N(AA60)=0,"",RANK(AA60,AA$3:AA$202))</f>
        <v>57</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①-기존시장의 유사제품에 대한 우리 제품의 차별화 요소를 바탕으로 다각적인 경쟁분석을 통한 사업화 아이템의 성공가능성 향상에 대한 고민이 필요해 보입니다.
-창업지원사업의 특성을 고려한 정량적 성과지표 및 달성방안에 대한 설명이 필요해 보입니다. _x000D_②집성재 경쟁력 확보를 위한 공정 개선 목적의 상온 접착제 및 경화제 개발은 시장의 필요성과 일치하며 필요한 기술로 판단됨.  기술적 난이도 및 중요성이 있고 시장성도 높은 것으로 판단되나 비교 물성 분석 및 사업화 전략이 다소 미흡한 것으로 판단됨.  _x000D_③기술적 구현 로드맵과 비즈니스 모델 간의 정합성이 우수하며, 전체적인 사업 실행 계획의 기획 완성도가 높은 수준으로 평가됩니다.기술 확보 의지는 뚜렷하나,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_x000D_⑤경쟁사대비 차별화 요소를 제시하여 기술력이 보이는 점은 긍정적으로 평가된다. 다만 차별성이 실제 기술 우위로 연결될 수 있는 객관적인 근거는 다소 부족하였으며, 이를 통해 독자성에 대한 보완이 필요하다.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hidden="1" customHeight="1" x14ac:dyDescent="0.35">
      <c r="A61" s="4">
        <v>59</v>
      </c>
      <c r="B61" s="2">
        <v>20417321</v>
      </c>
      <c r="C61" s="38" t="str">
        <f>IFERROR(VLOOKUP($B61,대상!$B:$AC,MATCH(C$2,대상!$1:$1,0)-1,FALSE),"")</f>
        <v>지역기반</v>
      </c>
      <c r="D61" s="38" t="str">
        <f>IFERROR(VLOOKUP($B61,대상!$B:$AC,MATCH(D$2,대상!$1:$1,0)-1,FALSE),"")</f>
        <v>김민규</v>
      </c>
      <c r="E61" s="36" t="str">
        <f>IFERROR(VLOOKUP($B61,대상!$B:$AC,MATCH(E$2,대상!$1:$1,0)-1,FALSE),"")</f>
        <v>화공ㆍ섬유</v>
      </c>
      <c r="F61" s="38" t="str">
        <f>IFERROR(VLOOKUP($B61,대상!$B:$AC,MATCH(F$2,대상!$1:$1,0)-1,FALSE),"")</f>
        <v>롤러형먼지크리너겸용방충포집기</v>
      </c>
      <c r="G61" s="38" t="str">
        <f>IFERROR(VLOOKUP($B61,대상!$B:$AC,MATCH(G$2,대상!$1:$1,0)-1,FALSE),"")</f>
        <v/>
      </c>
      <c r="H61" s="33">
        <f>IFERROR(VLOOKUP($B61,[1]평가!$B:$Z,MATCH(LEFT(H$2,2),[1]평가!$7:$7,0)-1,FALSE),"")</f>
        <v>0</v>
      </c>
      <c r="I61" s="36">
        <f>IFERROR(VLOOKUP($B61,[1]평가!$B:$Z,MATCH(LEFT(I$2,2),[1]평가!$7:$7,0)-1,FALSE),"")</f>
        <v>78</v>
      </c>
      <c r="J61" s="36">
        <f>IFERROR(VLOOKUP($B61,[1]평가!$B:$Z,MATCH(LEFT(J$2,2),[1]평가!$7:$7,0)-1,FALSE),"")</f>
        <v>66</v>
      </c>
      <c r="K61" s="33">
        <f>IFERROR(VLOOKUP($B61,[2]평가!$B:$Z,MATCH(LEFT(K$2,2),[2]평가!$7:$7,0)-1,FALSE),"")</f>
        <v>0</v>
      </c>
      <c r="L61" s="36">
        <f>IFERROR(VLOOKUP($B61,[2]평가!$B:$Z,MATCH(LEFT(L$2,2),[2]평가!$7:$7,0)-1,FALSE),"")</f>
        <v>83</v>
      </c>
      <c r="M61" s="39">
        <f>IFERROR(VLOOKUP($B61,[2]평가!$B:$Z,MATCH(LEFT(M$2,2),[2]평가!$7:$7,0)-1,FALSE),"")</f>
        <v>26</v>
      </c>
      <c r="N61" s="33">
        <f>IFERROR(VLOOKUP($B61,[3]평가!$B:$Z,MATCH(LEFT(N$2,2),[3]평가!$7:$7,0)-1,FALSE),"")</f>
        <v>0</v>
      </c>
      <c r="O61" s="36">
        <f>IFERROR(VLOOKUP($B61,[3]평가!$B:$Z,MATCH(LEFT(O$2,2),[3]평가!$7:$7,0)-1,FALSE),"")</f>
        <v>67</v>
      </c>
      <c r="P61" s="39">
        <f>IFERROR(VLOOKUP($B61,[3]평가!$B:$Z,MATCH(LEFT(P$2,2),[3]평가!$7:$7,0)-1,FALSE),"")</f>
        <v>97</v>
      </c>
      <c r="Q61" s="33">
        <f>IFERROR(VLOOKUP($B61,[4]평가!$B:$Z,MATCH(LEFT(Q$2,2),[4]평가!$7:$7,0)-1,FALSE),"")</f>
        <v>0</v>
      </c>
      <c r="R61" s="36">
        <f>IFERROR(VLOOKUP($B61,[4]평가!$B:$Z,MATCH(LEFT(R$2,2),[4]평가!$7:$7,0)-1,FALSE),"")</f>
        <v>88</v>
      </c>
      <c r="S61" s="39">
        <f>IFERROR(VLOOKUP($B61,[4]평가!$B:$Z,MATCH(LEFT(S$2,2),[4]평가!$7:$7,0)-1,FALSE),"")</f>
        <v>13</v>
      </c>
      <c r="T61" s="33">
        <f>IFERROR(VLOOKUP($B61,[5]평가!$B:$Z,MATCH(LEFT(T$2,2),[5]평가!$7:$7,0)-1,FALSE),"")</f>
        <v>0</v>
      </c>
      <c r="U61" s="36">
        <f>IFERROR(VLOOKUP($B61,[5]평가!$B:$Z,MATCH(LEFT(U$2,2),[5]평가!$7:$7,0)-1,FALSE),"")</f>
        <v>73</v>
      </c>
      <c r="V61" s="39">
        <f>IFERROR(VLOOKUP($B61,[5]평가!$B:$Z,MATCH(LEFT(V$2,2),[5]평가!$7:$7,0)-1,FALSE),"")</f>
        <v>71</v>
      </c>
      <c r="W61" s="33">
        <f>IFERROR(VLOOKUP($B61,대상!$B:$AD,MATCH(W$2,대상!$1:$1,0)-1,FALSE),"")</f>
        <v>0</v>
      </c>
      <c r="X61" s="20">
        <f>IF(ISBLANK(B61),"",T$1-COUNTIF(H61:V61,"회피"))</f>
        <v>5</v>
      </c>
      <c r="Y61" s="21">
        <f>IF($T$1=X61,(SUM(I61,L61,O61,R61,U61)-MIN(I61,L61,O61,R61,U61)-MAX(I61,L61,O61,R61,U61))/($T$1-2),SUM(I61,L61,O61,R61,U61/X61))</f>
        <v>78</v>
      </c>
      <c r="Z61" s="40">
        <f>IFERROR(VLOOKUP($B61,대상!$B:$AD,MATCH(Z$2,대상!$1:$1,0)-1,FALSE),0)</f>
        <v>0</v>
      </c>
      <c r="AA61" s="41">
        <f>IFERROR(IF(W61="면제","100"+Z61,Y61+Z61),"")</f>
        <v>78</v>
      </c>
      <c r="AB61" s="35" t="str">
        <f>IF(OR(W61="면제",N(Y61)=0),"",IF(AA61&lt;60,"과락",""))</f>
        <v/>
      </c>
      <c r="AC61" s="54">
        <f>IF(N(AA61)=0,"",RANK(AA61,AA$3:AA$202))</f>
        <v>61</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①-사업화 아이템의 특성을 고려하여 기존의 유사제품에 대한 차별화 요소를 바탕으로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_x000D_②신규성 있는 제품개발로 생활 편의성 및 적용 용이성이 있고 현제 완제품 전환 단계로 단기적 성과가 예상됨. 개발제품과 사업성의 연계성도 양호하나 기술 보호를 위한 지적 재산권 확보가 조속히 요구됨. _x000D_③아이템의 핵심 기능과 구체적인 활용 방안이 잘 정리되어 있으며, 기술적 구현 방법과 사업화 전략이 논리적으로 연결. 
아이템의 참신함이 돋보이므로 시장 데이터 보완시 매력적인 사업이 될 것임.  _x000D_④창업 동기와 문제 인식은 비교적 명확하게 제시가 되어 있으나, 실제 차별성이 기술 우위로 연결되는 설명이 다소 미흠 함. _x000D_⑤롤러형 먼지크리너를 겸한 방충 포집기를 창업아이템으로 하여 개발아이템에 대한 성능과 기술을 충분히 설명하고 있다. 다만, 기존 제품들과의 성능적인 비교 또는 상시관리를 위한 지속성 등의 기술비교 우위에 관련한 부분이 설명되어 있지 못하고, 실제 벌레가 포집된 상태가 그대로 외부로 노출되어 혐오가 발생할 수 있는 문제등은 개선의 여지가 있다.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hidden="1" customHeight="1" x14ac:dyDescent="0.35">
      <c r="A62" s="4">
        <v>70</v>
      </c>
      <c r="B62" s="2">
        <v>20422094</v>
      </c>
      <c r="C62" s="38" t="str">
        <f>IFERROR(VLOOKUP($B62,대상!$B:$AC,MATCH(C$2,대상!$1:$1,0)-1,FALSE),"")</f>
        <v>지역기반</v>
      </c>
      <c r="D62" s="38" t="str">
        <f>IFERROR(VLOOKUP($B62,대상!$B:$AC,MATCH(D$2,대상!$1:$1,0)-1,FALSE),"")</f>
        <v>최다인</v>
      </c>
      <c r="E62" s="36" t="str">
        <f>IFERROR(VLOOKUP($B62,대상!$B:$AC,MATCH(E$2,대상!$1:$1,0)-1,FALSE),"")</f>
        <v>화공ㆍ섬유</v>
      </c>
      <c r="F62" s="38" t="str">
        <f>IFERROR(VLOOKUP($B62,대상!$B:$AC,MATCH(F$2,대상!$1:$1,0)-1,FALSE),"")</f>
        <v>피부를 숨기지 않아도 되는 안심 베이스</v>
      </c>
      <c r="G62" s="38" t="str">
        <f>IFERROR(VLOOKUP($B62,대상!$B:$AC,MATCH(G$2,대상!$1:$1,0)-1,FALSE),"")</f>
        <v/>
      </c>
      <c r="H62" s="33">
        <f>IFERROR(VLOOKUP($B62,[1]평가!$B:$Z,MATCH(LEFT(H$2,2),[1]평가!$7:$7,0)-1,FALSE),"")</f>
        <v>0</v>
      </c>
      <c r="I62" s="36">
        <f>IFERROR(VLOOKUP($B62,[1]평가!$B:$Z,MATCH(LEFT(I$2,2),[1]평가!$7:$7,0)-1,FALSE),"")</f>
        <v>77</v>
      </c>
      <c r="J62" s="36">
        <f>IFERROR(VLOOKUP($B62,[1]평가!$B:$Z,MATCH(LEFT(J$2,2),[1]평가!$7:$7,0)-1,FALSE),"")</f>
        <v>70</v>
      </c>
      <c r="K62" s="33">
        <f>IFERROR(VLOOKUP($B62,[2]평가!$B:$Z,MATCH(LEFT(K$2,2),[2]평가!$7:$7,0)-1,FALSE),"")</f>
        <v>0</v>
      </c>
      <c r="L62" s="36">
        <f>IFERROR(VLOOKUP($B62,[2]평가!$B:$Z,MATCH(LEFT(L$2,2),[2]평가!$7:$7,0)-1,FALSE),"")</f>
        <v>82</v>
      </c>
      <c r="M62" s="39">
        <f>IFERROR(VLOOKUP($B62,[2]평가!$B:$Z,MATCH(LEFT(M$2,2),[2]평가!$7:$7,0)-1,FALSE),"")</f>
        <v>34</v>
      </c>
      <c r="N62" s="33">
        <f>IFERROR(VLOOKUP($B62,[3]평가!$B:$Z,MATCH(LEFT(N$2,2),[3]평가!$7:$7,0)-1,FALSE),"")</f>
        <v>0</v>
      </c>
      <c r="O62" s="36">
        <f>IFERROR(VLOOKUP($B62,[3]평가!$B:$Z,MATCH(LEFT(O$2,2),[3]평가!$7:$7,0)-1,FALSE),"")</f>
        <v>67</v>
      </c>
      <c r="P62" s="39">
        <f>IFERROR(VLOOKUP($B62,[3]평가!$B:$Z,MATCH(LEFT(P$2,2),[3]평가!$7:$7,0)-1,FALSE),"")</f>
        <v>97</v>
      </c>
      <c r="Q62" s="33">
        <f>IFERROR(VLOOKUP($B62,[4]평가!$B:$Z,MATCH(LEFT(Q$2,2),[4]평가!$7:$7,0)-1,FALSE),"")</f>
        <v>0</v>
      </c>
      <c r="R62" s="36">
        <f>IFERROR(VLOOKUP($B62,[4]평가!$B:$Z,MATCH(LEFT(R$2,2),[4]평가!$7:$7,0)-1,FALSE),"")</f>
        <v>75</v>
      </c>
      <c r="S62" s="39">
        <f>IFERROR(VLOOKUP($B62,[4]평가!$B:$Z,MATCH(LEFT(S$2,2),[4]평가!$7:$7,0)-1,FALSE),"")</f>
        <v>80</v>
      </c>
      <c r="T62" s="33">
        <f>IFERROR(VLOOKUP($B62,[5]평가!$B:$Z,MATCH(LEFT(T$2,2),[5]평가!$7:$7,0)-1,FALSE),"")</f>
        <v>0</v>
      </c>
      <c r="U62" s="36">
        <f>IFERROR(VLOOKUP($B62,[5]평가!$B:$Z,MATCH(LEFT(U$2,2),[5]평가!$7:$7,0)-1,FALSE),"")</f>
        <v>85</v>
      </c>
      <c r="V62" s="39">
        <f>IFERROR(VLOOKUP($B62,[5]평가!$B:$Z,MATCH(LEFT(V$2,2),[5]평가!$7:$7,0)-1,FALSE),"")</f>
        <v>27</v>
      </c>
      <c r="W62" s="33">
        <f>IFERROR(VLOOKUP($B62,대상!$B:$AD,MATCH(W$2,대상!$1:$1,0)-1,FALSE),"")</f>
        <v>0</v>
      </c>
      <c r="X62" s="20">
        <f>IF(ISBLANK(B62),"",T$1-COUNTIF(H62:V62,"회피"))</f>
        <v>5</v>
      </c>
      <c r="Y62" s="21">
        <f>IF($T$1=X62,(SUM(I62,L62,O62,R62,U62)-MIN(I62,L62,O62,R62,U62)-MAX(I62,L62,O62,R62,U62))/($T$1-2),SUM(I62,L62,O62,R62,U62/X62))</f>
        <v>78</v>
      </c>
      <c r="Z62" s="40">
        <f>IFERROR(VLOOKUP($B62,대상!$B:$AD,MATCH(Z$2,대상!$1:$1,0)-1,FALSE),0)</f>
        <v>0</v>
      </c>
      <c r="AA62" s="41">
        <f>IFERROR(IF(W62="면제","100"+Z62,Y62+Z62),"")</f>
        <v>78</v>
      </c>
      <c r="AB62" s="35" t="str">
        <f>IF(OR(W62="면제",N(Y62)=0),"",IF(AA62&lt;60,"과락",""))</f>
        <v/>
      </c>
      <c r="AC62" s="54">
        <f>IF(N(AA62)=0,"",RANK(AA62,AA$3:AA$202))</f>
        <v>61</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_x000D_②민감성 피부 대응 제품으로 대기업 회피 제품군으로 개발하는 전략과 이미 판매가 진행되고 있어 영업 확장성은 높을 것으로 판단되나 OEM 기반의 제품 독점성 확보 방안과 지속적 개발 역량에 대한 방안 제시가 미흡함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인식은 비교적 명확하게 제시가 되어 있으나, 실제 차별성이 기술 우위로 연결되는 설명이 다소 미흠 함. _x000D_⑤피부민감성을 낮추고 다양한 기능성을 부여한 기초 화장품을 창업아이템으로 하는 부분으로 사업의 배경과 필요성 그리고 이를 극복하기 위한 기술적 바안까지 잘 설명되어져 있다. 기존 창업아이템을 통해 기술력과 시장도 충분히 확보된것으로 보이나, 유해성과 인체위해성에 대한 검증과 근거가 필요하다.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hidden="1" customHeight="1" x14ac:dyDescent="0.35">
      <c r="A63" s="4">
        <v>72</v>
      </c>
      <c r="B63" s="2">
        <v>20423688</v>
      </c>
      <c r="C63" s="38" t="str">
        <f>IFERROR(VLOOKUP($B63,대상!$B:$AC,MATCH(C$2,대상!$1:$1,0)-1,FALSE),"")</f>
        <v>지역기반</v>
      </c>
      <c r="D63" s="38" t="str">
        <f>IFERROR(VLOOKUP($B63,대상!$B:$AC,MATCH(D$2,대상!$1:$1,0)-1,FALSE),"")</f>
        <v>전혜진</v>
      </c>
      <c r="E63" s="36" t="str">
        <f>IFERROR(VLOOKUP($B63,대상!$B:$AC,MATCH(E$2,대상!$1:$1,0)-1,FALSE),"")</f>
        <v>화공ㆍ섬유</v>
      </c>
      <c r="F63" s="38" t="str">
        <f>IFERROR(VLOOKUP($B63,대상!$B:$AC,MATCH(F$2,대상!$1:$1,0)-1,FALSE),"")</f>
        <v>즉각적 피부 심미성 개선 효과를 부여하는 스킨케어 브랜드</v>
      </c>
      <c r="G63" s="38" t="str">
        <f>IFERROR(VLOOKUP($B63,대상!$B:$AC,MATCH(G$2,대상!$1:$1,0)-1,FALSE),"")</f>
        <v/>
      </c>
      <c r="H63" s="33">
        <f>IFERROR(VLOOKUP($B63,[1]평가!$B:$Z,MATCH(LEFT(H$2,2),[1]평가!$7:$7,0)-1,FALSE),"")</f>
        <v>0</v>
      </c>
      <c r="I63" s="36">
        <f>IFERROR(VLOOKUP($B63,[1]평가!$B:$Z,MATCH(LEFT(I$2,2),[1]평가!$7:$7,0)-1,FALSE),"")</f>
        <v>76</v>
      </c>
      <c r="J63" s="36">
        <f>IFERROR(VLOOKUP($B63,[1]평가!$B:$Z,MATCH(LEFT(J$2,2),[1]평가!$7:$7,0)-1,FALSE),"")</f>
        <v>76</v>
      </c>
      <c r="K63" s="33">
        <f>IFERROR(VLOOKUP($B63,[2]평가!$B:$Z,MATCH(LEFT(K$2,2),[2]평가!$7:$7,0)-1,FALSE),"")</f>
        <v>0</v>
      </c>
      <c r="L63" s="36">
        <f>IFERROR(VLOOKUP($B63,[2]평가!$B:$Z,MATCH(LEFT(L$2,2),[2]평가!$7:$7,0)-1,FALSE),"")</f>
        <v>81</v>
      </c>
      <c r="M63" s="39">
        <f>IFERROR(VLOOKUP($B63,[2]평가!$B:$Z,MATCH(LEFT(M$2,2),[2]평가!$7:$7,0)-1,FALSE),"")</f>
        <v>41</v>
      </c>
      <c r="N63" s="33">
        <f>IFERROR(VLOOKUP($B63,[3]평가!$B:$Z,MATCH(LEFT(N$2,2),[3]평가!$7:$7,0)-1,FALSE),"")</f>
        <v>0</v>
      </c>
      <c r="O63" s="36">
        <f>IFERROR(VLOOKUP($B63,[3]평가!$B:$Z,MATCH(LEFT(O$2,2),[3]평가!$7:$7,0)-1,FALSE),"")</f>
        <v>64</v>
      </c>
      <c r="P63" s="39">
        <f>IFERROR(VLOOKUP($B63,[3]평가!$B:$Z,MATCH(LEFT(P$2,2),[3]평가!$7:$7,0)-1,FALSE),"")</f>
        <v>113</v>
      </c>
      <c r="Q63" s="33">
        <f>IFERROR(VLOOKUP($B63,[4]평가!$B:$Z,MATCH(LEFT(Q$2,2),[4]평가!$7:$7,0)-1,FALSE),"")</f>
        <v>0</v>
      </c>
      <c r="R63" s="36">
        <f>IFERROR(VLOOKUP($B63,[4]평가!$B:$Z,MATCH(LEFT(R$2,2),[4]평가!$7:$7,0)-1,FALSE),"")</f>
        <v>82</v>
      </c>
      <c r="S63" s="39">
        <f>IFERROR(VLOOKUP($B63,[4]평가!$B:$Z,MATCH(LEFT(S$2,2),[4]평가!$7:$7,0)-1,FALSE),"")</f>
        <v>41</v>
      </c>
      <c r="T63" s="33">
        <f>IFERROR(VLOOKUP($B63,[5]평가!$B:$Z,MATCH(LEFT(T$2,2),[5]평가!$7:$7,0)-1,FALSE),"")</f>
        <v>0</v>
      </c>
      <c r="U63" s="36">
        <f>IFERROR(VLOOKUP($B63,[5]평가!$B:$Z,MATCH(LEFT(U$2,2),[5]평가!$7:$7,0)-1,FALSE),"")</f>
        <v>77</v>
      </c>
      <c r="V63" s="39">
        <f>IFERROR(VLOOKUP($B63,[5]평가!$B:$Z,MATCH(LEFT(V$2,2),[5]평가!$7:$7,0)-1,FALSE),"")</f>
        <v>50</v>
      </c>
      <c r="W63" s="33">
        <f>IFERROR(VLOOKUP($B63,대상!$B:$AD,MATCH(W$2,대상!$1:$1,0)-1,FALSE),"")</f>
        <v>0</v>
      </c>
      <c r="X63" s="20">
        <f>IF(ISBLANK(B63),"",T$1-COUNTIF(H63:V63,"회피"))</f>
        <v>5</v>
      </c>
      <c r="Y63" s="21">
        <f>IF($T$1=X63,(SUM(I63,L63,O63,R63,U63)-MIN(I63,L63,O63,R63,U63)-MAX(I63,L63,O63,R63,U63))/($T$1-2),SUM(I63,L63,O63,R63,U63/X63))</f>
        <v>78</v>
      </c>
      <c r="Z63" s="40">
        <f>IFERROR(VLOOKUP($B63,대상!$B:$AD,MATCH(Z$2,대상!$1:$1,0)-1,FALSE),0)</f>
        <v>0</v>
      </c>
      <c r="AA63" s="41">
        <f>IFERROR(IF(W63="면제","100"+Z63,Y63+Z63),"")</f>
        <v>78</v>
      </c>
      <c r="AB63" s="35" t="str">
        <f>IF(OR(W63="면제",N(Y63)=0),"",IF(AA63&lt;60,"과락",""))</f>
        <v/>
      </c>
      <c r="AC63" s="54">
        <f>IF(N(AA63)=0,"",RANK(AA63,AA$3:AA$202))</f>
        <v>61</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_x000D_②제품 개발 방향과 사업 전략이 양호하며 단계별 개발 목표가 명확하나 개발 제품의 사전 시험평가와 기존 제품과의 비교 평가 자료가 미흡함. 사업화 전략은 양호하나 이에 상응한 수요기업과의 협업 근거 자료 제시가 미흡함. _x000D_③사업의 배경 및 문제 해결의 필요성은 비교적 명확하게 작성되었습니다. 다만, 객관적인 시장 규모 데이터와 실질적인 고객 피드백 증빙이 다소 제한적으로 제시되었습니다. 기술 확보 의지는 뚜렷하나, 실제 시장 안착 가능성에 대해서는 면밀한 보완이 요구됩니다. _x000D_④창업 동기와 문제 인식은 비교적 명확하게 제시가 되어 있으나, 매출 발생 경로와 시장 진입 전략의 구체성은 다소 미흠 함. _x000D_⑤기초와 색조를 결합한 hybrid 뷰티 제품의 창업아이템을 중심으로 기존 제품들의 한계와 신규제품의 필요성에 대해서 잘 설명되어져 있다. 다만, 피부가 좋아지는 화장품에 대한 기술적 근거와 효용성에 대해서 충분한 검증이 필요할것으로 보이며, 이러한 부분에 대해 보완이 필요할것으로 판단된다.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hidden="1" customHeight="1" x14ac:dyDescent="0.35">
      <c r="A64" s="4">
        <v>80</v>
      </c>
      <c r="B64" s="2">
        <v>20426725</v>
      </c>
      <c r="C64" s="38" t="str">
        <f>IFERROR(VLOOKUP($B64,대상!$B:$AC,MATCH(C$2,대상!$1:$1,0)-1,FALSE),"")</f>
        <v>지역기반</v>
      </c>
      <c r="D64" s="38" t="str">
        <f>IFERROR(VLOOKUP($B64,대상!$B:$AC,MATCH(D$2,대상!$1:$1,0)-1,FALSE),"")</f>
        <v>기주완</v>
      </c>
      <c r="E64" s="36" t="str">
        <f>IFERROR(VLOOKUP($B64,대상!$B:$AC,MATCH(E$2,대상!$1:$1,0)-1,FALSE),"")</f>
        <v>화공ㆍ섬유</v>
      </c>
      <c r="F64" s="38" t="str">
        <f>IFERROR(VLOOKUP($B64,대상!$B:$AC,MATCH(F$2,대상!$1:$1,0)-1,FALSE),"")</f>
        <v>농산 폐기물(유자 폐껍질·잣송이 외피) 업사이클링 원료 기반의 멘톨·유칼립투스 완전 배제 영유아·민감성 체질 안심 비염 완화 밤 '숲결'</v>
      </c>
      <c r="G64" s="38" t="str">
        <f>IFERROR(VLOOKUP($B64,대상!$B:$AC,MATCH(G$2,대상!$1:$1,0)-1,FALSE),"")</f>
        <v/>
      </c>
      <c r="H64" s="33">
        <f>IFERROR(VLOOKUP($B64,[1]평가!$B:$Z,MATCH(LEFT(H$2,2),[1]평가!$7:$7,0)-1,FALSE),"")</f>
        <v>0</v>
      </c>
      <c r="I64" s="36">
        <f>IFERROR(VLOOKUP($B64,[1]평가!$B:$Z,MATCH(LEFT(I$2,2),[1]평가!$7:$7,0)-1,FALSE),"")</f>
        <v>79</v>
      </c>
      <c r="J64" s="36">
        <f>IFERROR(VLOOKUP($B64,[1]평가!$B:$Z,MATCH(LEFT(J$2,2),[1]평가!$7:$7,0)-1,FALSE),"")</f>
        <v>47</v>
      </c>
      <c r="K64" s="33">
        <f>IFERROR(VLOOKUP($B64,[2]평가!$B:$Z,MATCH(LEFT(K$2,2),[2]평가!$7:$7,0)-1,FALSE),"")</f>
        <v>0</v>
      </c>
      <c r="L64" s="36">
        <f>IFERROR(VLOOKUP($B64,[2]평가!$B:$Z,MATCH(LEFT(L$2,2),[2]평가!$7:$7,0)-1,FALSE),"")</f>
        <v>82</v>
      </c>
      <c r="M64" s="39">
        <f>IFERROR(VLOOKUP($B64,[2]평가!$B:$Z,MATCH(LEFT(M$2,2),[2]평가!$7:$7,0)-1,FALSE),"")</f>
        <v>34</v>
      </c>
      <c r="N64" s="33">
        <f>IFERROR(VLOOKUP($B64,[3]평가!$B:$Z,MATCH(LEFT(N$2,2),[3]평가!$7:$7,0)-1,FALSE),"")</f>
        <v>0</v>
      </c>
      <c r="O64" s="36">
        <f>IFERROR(VLOOKUP($B64,[3]평가!$B:$Z,MATCH(LEFT(O$2,2),[3]평가!$7:$7,0)-1,FALSE),"")</f>
        <v>67</v>
      </c>
      <c r="P64" s="39">
        <f>IFERROR(VLOOKUP($B64,[3]평가!$B:$Z,MATCH(LEFT(P$2,2),[3]평가!$7:$7,0)-1,FALSE),"")</f>
        <v>97</v>
      </c>
      <c r="Q64" s="33">
        <f>IFERROR(VLOOKUP($B64,[4]평가!$B:$Z,MATCH(LEFT(Q$2,2),[4]평가!$7:$7,0)-1,FALSE),"")</f>
        <v>0</v>
      </c>
      <c r="R64" s="36">
        <f>IFERROR(VLOOKUP($B64,[4]평가!$B:$Z,MATCH(LEFT(R$2,2),[4]평가!$7:$7,0)-1,FALSE),"")</f>
        <v>86</v>
      </c>
      <c r="S64" s="39">
        <f>IFERROR(VLOOKUP($B64,[4]평가!$B:$Z,MATCH(LEFT(S$2,2),[4]평가!$7:$7,0)-1,FALSE),"")</f>
        <v>23</v>
      </c>
      <c r="T64" s="33">
        <f>IFERROR(VLOOKUP($B64,[5]평가!$B:$Z,MATCH(LEFT(T$2,2),[5]평가!$7:$7,0)-1,FALSE),"")</f>
        <v>0</v>
      </c>
      <c r="U64" s="36">
        <f>IFERROR(VLOOKUP($B64,[5]평가!$B:$Z,MATCH(LEFT(U$2,2),[5]평가!$7:$7,0)-1,FALSE),"")</f>
        <v>73</v>
      </c>
      <c r="V64" s="39">
        <f>IFERROR(VLOOKUP($B64,[5]평가!$B:$Z,MATCH(LEFT(V$2,2),[5]평가!$7:$7,0)-1,FALSE),"")</f>
        <v>71</v>
      </c>
      <c r="W64" s="33">
        <f>IFERROR(VLOOKUP($B64,대상!$B:$AD,MATCH(W$2,대상!$1:$1,0)-1,FALSE),"")</f>
        <v>0</v>
      </c>
      <c r="X64" s="20">
        <f>IF(ISBLANK(B64),"",T$1-COUNTIF(H64:V64,"회피"))</f>
        <v>5</v>
      </c>
      <c r="Y64" s="21">
        <f>IF($T$1=X64,(SUM(I64,L64,O64,R64,U64)-MIN(I64,L64,O64,R64,U64)-MAX(I64,L64,O64,R64,U64))/($T$1-2),SUM(I64,L64,O64,R64,U64/X64))</f>
        <v>78</v>
      </c>
      <c r="Z64" s="40">
        <f>IFERROR(VLOOKUP($B64,대상!$B:$AD,MATCH(Z$2,대상!$1:$1,0)-1,FALSE),0)</f>
        <v>0</v>
      </c>
      <c r="AA64" s="41">
        <f>IFERROR(IF(W64="면제","100"+Z64,Y64+Z64),"")</f>
        <v>78</v>
      </c>
      <c r="AB64" s="35" t="str">
        <f>IF(OR(W64="면제",N(Y64)=0),"",IF(AA64&lt;60,"과락",""))</f>
        <v/>
      </c>
      <c r="AC64" s="54">
        <f>IF(N(AA64)=0,"",RANK(AA64,AA$3:AA$202))</f>
        <v>61</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_x000D_②기존 안정성 문제 제품에 대응한 제품 개발로 의미가 있으나 영업에 있어서 관련 제품의 안정성에 대한 소비자의 인지도 부족과 개발 제품의 판매를 위한 마켓팅 기간의 장기화가 필요할 것으로 판단되며 개발자의 마켓팅 역량은 있으나 제품 개발과 판매 연계까지의 수직적 체계의 단기화 전략이 필요할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_x000D_④아이템의 기술 수요와 개발 방향이 이해 하기 쉽게 작성되었으며,  사업화 가능성을 검토한 수준도 양호하다고 판단 됨. _x000D_⑤만성 비염 및 민감성 비염 완화를 위한 기능성 화장품을 통한 창업아이템으로 사업전반의 내용과 목표시장을 위한 전략등 상세한 내용이 설명되어져 있다. 다만, 기존 제품들의 한계점을 명시하고 객관적인 data를 통해 개발하고자 하는 제품과의 차별성을 어필하는데 보완이 필요하다.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hidden="1" customHeight="1" x14ac:dyDescent="0.35">
      <c r="A65" s="4">
        <v>51</v>
      </c>
      <c r="B65" s="2">
        <v>20413602</v>
      </c>
      <c r="C65" s="38" t="str">
        <f>IFERROR(VLOOKUP($B65,대상!$B:$AC,MATCH(C$2,대상!$1:$1,0)-1,FALSE),"")</f>
        <v>지역기반</v>
      </c>
      <c r="D65" s="38" t="str">
        <f>IFERROR(VLOOKUP($B65,대상!$B:$AC,MATCH(D$2,대상!$1:$1,0)-1,FALSE),"")</f>
        <v>임유준</v>
      </c>
      <c r="E65" s="36" t="str">
        <f>IFERROR(VLOOKUP($B65,대상!$B:$AC,MATCH(E$2,대상!$1:$1,0)-1,FALSE),"")</f>
        <v>화공ㆍ섬유</v>
      </c>
      <c r="F65" s="38" t="str">
        <f>IFERROR(VLOOKUP($B65,대상!$B:$AC,MATCH(F$2,대상!$1:$1,0)-1,FALSE),"")</f>
        <v>인플루언서 팬덤을 매출로 전환하는 제조 기반 커머스 플랫폼</v>
      </c>
      <c r="G65" s="38" t="str">
        <f>IFERROR(VLOOKUP($B65,대상!$B:$AC,MATCH(G$2,대상!$1:$1,0)-1,FALSE),"")</f>
        <v/>
      </c>
      <c r="H65" s="33">
        <f>IFERROR(VLOOKUP($B65,[1]평가!$B:$Z,MATCH(LEFT(H$2,2),[1]평가!$7:$7,0)-1,FALSE),"")</f>
        <v>0</v>
      </c>
      <c r="I65" s="36">
        <f>IFERROR(VLOOKUP($B65,[1]평가!$B:$Z,MATCH(LEFT(I$2,2),[1]평가!$7:$7,0)-1,FALSE),"")</f>
        <v>85</v>
      </c>
      <c r="J65" s="36">
        <f>IFERROR(VLOOKUP($B65,[1]평가!$B:$Z,MATCH(LEFT(J$2,2),[1]평가!$7:$7,0)-1,FALSE),"")</f>
        <v>17</v>
      </c>
      <c r="K65" s="33">
        <f>IFERROR(VLOOKUP($B65,[2]평가!$B:$Z,MATCH(LEFT(K$2,2),[2]평가!$7:$7,0)-1,FALSE),"")</f>
        <v>0</v>
      </c>
      <c r="L65" s="36">
        <f>IFERROR(VLOOKUP($B65,[2]평가!$B:$Z,MATCH(LEFT(L$2,2),[2]평가!$7:$7,0)-1,FALSE),"")</f>
        <v>64</v>
      </c>
      <c r="M65" s="39">
        <f>IFERROR(VLOOKUP($B65,[2]평가!$B:$Z,MATCH(LEFT(M$2,2),[2]평가!$7:$7,0)-1,FALSE),"")</f>
        <v>113</v>
      </c>
      <c r="N65" s="33">
        <f>IFERROR(VLOOKUP($B65,[3]평가!$B:$Z,MATCH(LEFT(N$2,2),[3]평가!$7:$7,0)-1,FALSE),"")</f>
        <v>0</v>
      </c>
      <c r="O65" s="36">
        <f>IFERROR(VLOOKUP($B65,[3]평가!$B:$Z,MATCH(LEFT(O$2,2),[3]평가!$7:$7,0)-1,FALSE),"")</f>
        <v>79</v>
      </c>
      <c r="P65" s="39">
        <f>IFERROR(VLOOKUP($B65,[3]평가!$B:$Z,MATCH(LEFT(P$2,2),[3]평가!$7:$7,0)-1,FALSE),"")</f>
        <v>45</v>
      </c>
      <c r="Q65" s="33">
        <f>IFERROR(VLOOKUP($B65,[4]평가!$B:$Z,MATCH(LEFT(Q$2,2),[4]평가!$7:$7,0)-1,FALSE),"")</f>
        <v>0</v>
      </c>
      <c r="R65" s="36">
        <f>IFERROR(VLOOKUP($B65,[4]평가!$B:$Z,MATCH(LEFT(R$2,2),[4]평가!$7:$7,0)-1,FALSE),"")</f>
        <v>73</v>
      </c>
      <c r="S65" s="39">
        <f>IFERROR(VLOOKUP($B65,[4]평가!$B:$Z,MATCH(LEFT(S$2,2),[4]평가!$7:$7,0)-1,FALSE),"")</f>
        <v>90</v>
      </c>
      <c r="T65" s="33">
        <f>IFERROR(VLOOKUP($B65,[5]평가!$B:$Z,MATCH(LEFT(T$2,2),[5]평가!$7:$7,0)-1,FALSE),"")</f>
        <v>0</v>
      </c>
      <c r="U65" s="36">
        <f>IFERROR(VLOOKUP($B65,[5]평가!$B:$Z,MATCH(LEFT(U$2,2),[5]평가!$7:$7,0)-1,FALSE),"")</f>
        <v>81</v>
      </c>
      <c r="V65" s="39">
        <f>IFERROR(VLOOKUP($B65,[5]평가!$B:$Z,MATCH(LEFT(V$2,2),[5]평가!$7:$7,0)-1,FALSE),"")</f>
        <v>41</v>
      </c>
      <c r="W65" s="33">
        <f>IFERROR(VLOOKUP($B65,대상!$B:$AD,MATCH(W$2,대상!$1:$1,0)-1,FALSE),"")</f>
        <v>0</v>
      </c>
      <c r="X65" s="20">
        <f>IF(ISBLANK(B65),"",T$1-COUNTIF(H65:V65,"회피"))</f>
        <v>5</v>
      </c>
      <c r="Y65" s="21">
        <f>IF($T$1=X65,(SUM(I65,L65,O65,R65,U65)-MIN(I65,L65,O65,R65,U65)-MAX(I65,L65,O65,R65,U65))/($T$1-2),SUM(I65,L65,O65,R65,U65/X65))</f>
        <v>77.666666666666671</v>
      </c>
      <c r="Z65" s="40">
        <f>IFERROR(VLOOKUP($B65,대상!$B:$AD,MATCH(Z$2,대상!$1:$1,0)-1,FALSE),0)</f>
        <v>0</v>
      </c>
      <c r="AA65" s="41">
        <f>IFERROR(IF(W65="면제","100"+Z65,Y65+Z65),"")</f>
        <v>77.666666666666671</v>
      </c>
      <c r="AB65" s="35" t="str">
        <f>IF(OR(W65="면제",N(Y65)=0),"",IF(AA65&lt;60,"과락",""))</f>
        <v/>
      </c>
      <c r="AC65" s="54">
        <f>IF(N(AA65)=0,"",RANK(AA65,AA$3:AA$202))</f>
        <v>65</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①-사업화 대상 서비스 모델의 경쟁력 강화를 위한 자동화 솔루션 적용등 인프라 확장에 대한 고민이 필요해 보입니다.
-서비스 모델의 특성상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_x000D_②인풀루언스 협업 마켓팅의 효과는 클 것으로 예상되나 유사 마켓팅 밍 플랫폼 등이 현재 다수 존재하여 과제의 차별성이 낮을 것으로 판단되며 제시된 계획서에 의해 향후 영업적 확장성의 근거가 부족함.  _x000D_③개발하고자하는 플랫폼의 창업동기와 문제해결 핵심기능을 제시하였으나  창업지원사업 방향에 따른 인플루언서 협업 플랫폼을 위한 비지니스 모델과 구동 설계 대한 자세한 보완이 필요함.  _x000D_④아이템의 기술수요와 개발방향은 이해하기 쉽게 작성 되어 있으나, 전반적으로 사업화 가능성을 검토한 수준은 다소 미흡 함. _x000D_⑤제조를 기반으로 하여 인플루언서등을 통해 소비층에게 홍보되는 제조기반 어패럴 토탈 솔루션을 제시하고 있으며, 이에 대한 설명이 자세하게 이루어지고 있다는 면에서 매우 우수하다. 그리고 현재 제조기반의 설비를 갖추고 있어 제조역량도 확인할 수 있다. 다만, 제품의 품질면이나 기존의 홍보채널과의 차이점등은 관찰하기 어려운 부분이 있어 보완이 필요하다.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hidden="1" customHeight="1" x14ac:dyDescent="0.35">
      <c r="A66" s="4">
        <v>52</v>
      </c>
      <c r="B66" s="2">
        <v>20413912</v>
      </c>
      <c r="C66" s="38" t="str">
        <f>IFERROR(VLOOKUP($B66,대상!$B:$AC,MATCH(C$2,대상!$1:$1,0)-1,FALSE),"")</f>
        <v>지역기반</v>
      </c>
      <c r="D66" s="38" t="str">
        <f>IFERROR(VLOOKUP($B66,대상!$B:$AC,MATCH(D$2,대상!$1:$1,0)-1,FALSE),"")</f>
        <v>이세령</v>
      </c>
      <c r="E66" s="36" t="str">
        <f>IFERROR(VLOOKUP($B66,대상!$B:$AC,MATCH(E$2,대상!$1:$1,0)-1,FALSE),"")</f>
        <v>화공ㆍ섬유</v>
      </c>
      <c r="F66" s="38" t="str">
        <f>IFERROR(VLOOKUP($B66,대상!$B:$AC,MATCH(F$2,대상!$1:$1,0)-1,FALSE),"")</f>
        <v>20만건 퍼스널컬러 진단 데이터를 기반으로 메이크업·패션 제품을 개인 맞춤 추천하는 AI 연계형 K-뷰티 글로벌 플랫폼</v>
      </c>
      <c r="G66" s="38" t="str">
        <f>IFERROR(VLOOKUP($B66,대상!$B:$AC,MATCH(G$2,대상!$1:$1,0)-1,FALSE),"")</f>
        <v/>
      </c>
      <c r="H66" s="33">
        <f>IFERROR(VLOOKUP($B66,[1]평가!$B:$Z,MATCH(LEFT(H$2,2),[1]평가!$7:$7,0)-1,FALSE),"")</f>
        <v>0</v>
      </c>
      <c r="I66" s="36">
        <f>IFERROR(VLOOKUP($B66,[1]평가!$B:$Z,MATCH(LEFT(I$2,2),[1]평가!$7:$7,0)-1,FALSE),"")</f>
        <v>87</v>
      </c>
      <c r="J66" s="36">
        <f>IFERROR(VLOOKUP($B66,[1]평가!$B:$Z,MATCH(LEFT(J$2,2),[1]평가!$7:$7,0)-1,FALSE),"")</f>
        <v>11</v>
      </c>
      <c r="K66" s="33">
        <f>IFERROR(VLOOKUP($B66,[2]평가!$B:$Z,MATCH(LEFT(K$2,2),[2]평가!$7:$7,0)-1,FALSE),"")</f>
        <v>0</v>
      </c>
      <c r="L66" s="36">
        <f>IFERROR(VLOOKUP($B66,[2]평가!$B:$Z,MATCH(LEFT(L$2,2),[2]평가!$7:$7,0)-1,FALSE),"")</f>
        <v>73</v>
      </c>
      <c r="M66" s="39">
        <f>IFERROR(VLOOKUP($B66,[2]평가!$B:$Z,MATCH(LEFT(M$2,2),[2]평가!$7:$7,0)-1,FALSE),"")</f>
        <v>80</v>
      </c>
      <c r="N66" s="33">
        <f>IFERROR(VLOOKUP($B66,[3]평가!$B:$Z,MATCH(LEFT(N$2,2),[3]평가!$7:$7,0)-1,FALSE),"")</f>
        <v>0</v>
      </c>
      <c r="O66" s="36">
        <f>IFERROR(VLOOKUP($B66,[3]평가!$B:$Z,MATCH(LEFT(O$2,2),[3]평가!$7:$7,0)-1,FALSE),"")</f>
        <v>82</v>
      </c>
      <c r="P66" s="39">
        <f>IFERROR(VLOOKUP($B66,[3]평가!$B:$Z,MATCH(LEFT(P$2,2),[3]평가!$7:$7,0)-1,FALSE),"")</f>
        <v>42</v>
      </c>
      <c r="Q66" s="33">
        <f>IFERROR(VLOOKUP($B66,[4]평가!$B:$Z,MATCH(LEFT(Q$2,2),[4]평가!$7:$7,0)-1,FALSE),"")</f>
        <v>0</v>
      </c>
      <c r="R66" s="36">
        <f>IFERROR(VLOOKUP($B66,[4]평가!$B:$Z,MATCH(LEFT(R$2,2),[4]평가!$7:$7,0)-1,FALSE),"")</f>
        <v>70</v>
      </c>
      <c r="S66" s="39">
        <f>IFERROR(VLOOKUP($B66,[4]평가!$B:$Z,MATCH(LEFT(S$2,2),[4]평가!$7:$7,0)-1,FALSE),"")</f>
        <v>100</v>
      </c>
      <c r="T66" s="33">
        <f>IFERROR(VLOOKUP($B66,[5]평가!$B:$Z,MATCH(LEFT(T$2,2),[5]평가!$7:$7,0)-1,FALSE),"")</f>
        <v>0</v>
      </c>
      <c r="U66" s="36">
        <f>IFERROR(VLOOKUP($B66,[5]평가!$B:$Z,MATCH(LEFT(U$2,2),[5]평가!$7:$7,0)-1,FALSE),"")</f>
        <v>78</v>
      </c>
      <c r="V66" s="39">
        <f>IFERROR(VLOOKUP($B66,[5]평가!$B:$Z,MATCH(LEFT(V$2,2),[5]평가!$7:$7,0)-1,FALSE),"")</f>
        <v>45</v>
      </c>
      <c r="W66" s="33">
        <f>IFERROR(VLOOKUP($B66,대상!$B:$AD,MATCH(W$2,대상!$1:$1,0)-1,FALSE),"")</f>
        <v>0</v>
      </c>
      <c r="X66" s="20">
        <f>IF(ISBLANK(B66),"",T$1-COUNTIF(H66:V66,"회피"))</f>
        <v>5</v>
      </c>
      <c r="Y66" s="21">
        <f>IF($T$1=X66,(SUM(I66,L66,O66,R66,U66)-MIN(I66,L66,O66,R66,U66)-MAX(I66,L66,O66,R66,U66))/($T$1-2),SUM(I66,L66,O66,R66,U66/X66))</f>
        <v>77.666666666666671</v>
      </c>
      <c r="Z66" s="40">
        <f>IFERROR(VLOOKUP($B66,대상!$B:$AD,MATCH(Z$2,대상!$1:$1,0)-1,FALSE),0)</f>
        <v>0</v>
      </c>
      <c r="AA66" s="41">
        <f>IFERROR(IF(W66="면제","100"+Z66,Y66+Z66),"")</f>
        <v>77.666666666666671</v>
      </c>
      <c r="AB66" s="35" t="str">
        <f>IF(OR(W66="면제",N(Y66)=0),"",IF(AA66&lt;60,"과락",""))</f>
        <v/>
      </c>
      <c r="AC66" s="54">
        <f>IF(N(AA66)=0,"",RANK(AA66,AA$3:AA$202))</f>
        <v>65</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①-사업화 대상 서비스 모델의 경쟁력 강화를 위한 차별화 요소 부각 방안에 대한 고민이 필요해 보입니다.
-서비스 모델의 특성상 후발 경쟁자의 시장진입 억제를 위한 방안에 대한 고민이 필요해 보입니다.
-보다 구체적인 수익창출 방안 설명 및 창업지원사업의 특성을 고려한 성과지표 제시 및 달성방안에 대한 설명이 필요해 보입니다.  _x000D_②개발 플랫폼의 검증이 완료되고 진단과 판매의 연계성 문제에 대한 분석이 완료된 상태로 매출 가능성은 높으나 유사 플랫폼에 대한 분석이 미흡하고 실질적 경쟁우위 확보 방안이 부족함 _x000D_③전달하고자 하는 가치는 충분히 매력적이며 기존 시장에 페인포인트를 해결할 수 있는 창업과제로 판단됨.  알고리즘 설계와 자동매칭 ,데이터화 방안에 대한 기술적인 구현방법에 대한 보완이 필요.  _x000D_④아이템의 기술수요와 개발방향은 이해하기 쉽게 작성되었으나, 전반적으로 추진 계획의 완성도는 미흡한 것으로 판단 됨. _x000D_⑤기존시장의 면밀한 구조적 분석과 충분히 검증된 많은 data를 통해 솔루션을 제공하고자 한다는 부분의 내용이 전반적으로 잘 설명되어져 있다. 다만, 실제 구현되는 컬러와 온라인 상에서의 컬러가 차이가 있으며 이런 문제점들을 극복하기 위한 기술적 방안의 설명에 대해 보완이 필요하다.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hidden="1" customHeight="1" x14ac:dyDescent="0.35">
      <c r="A67" s="4">
        <v>84</v>
      </c>
      <c r="B67" s="2">
        <v>20427576</v>
      </c>
      <c r="C67" s="38" t="str">
        <f>IFERROR(VLOOKUP($B67,대상!$B:$AC,MATCH(C$2,대상!$1:$1,0)-1,FALSE),"")</f>
        <v>지역기반</v>
      </c>
      <c r="D67" s="38" t="str">
        <f>IFERROR(VLOOKUP($B67,대상!$B:$AC,MATCH(D$2,대상!$1:$1,0)-1,FALSE),"")</f>
        <v>김도희</v>
      </c>
      <c r="E67" s="36" t="str">
        <f>IFERROR(VLOOKUP($B67,대상!$B:$AC,MATCH(E$2,대상!$1:$1,0)-1,FALSE),"")</f>
        <v>화공ㆍ섬유</v>
      </c>
      <c r="F67" s="38" t="str">
        <f>IFERROR(VLOOKUP($B67,대상!$B:$AC,MATCH(F$2,대상!$1:$1,0)-1,FALSE),"")</f>
        <v>락토피치 바이옴 독자 성분과 기능성 복합 포뮬러를 적용하여 팩 한 통의 효과를 간편하게 구현하는 고효능 모공 케어 앰플</v>
      </c>
      <c r="G67" s="38" t="str">
        <f>IFERROR(VLOOKUP($B67,대상!$B:$AC,MATCH(G$2,대상!$1:$1,0)-1,FALSE),"")</f>
        <v/>
      </c>
      <c r="H67" s="33">
        <f>IFERROR(VLOOKUP($B67,[1]평가!$B:$Z,MATCH(LEFT(H$2,2),[1]평가!$7:$7,0)-1,FALSE),"")</f>
        <v>0</v>
      </c>
      <c r="I67" s="36">
        <f>IFERROR(VLOOKUP($B67,[1]평가!$B:$Z,MATCH(LEFT(I$2,2),[1]평가!$7:$7,0)-1,FALSE),"")</f>
        <v>79</v>
      </c>
      <c r="J67" s="36">
        <f>IFERROR(VLOOKUP($B67,[1]평가!$B:$Z,MATCH(LEFT(J$2,2),[1]평가!$7:$7,0)-1,FALSE),"")</f>
        <v>47</v>
      </c>
      <c r="K67" s="33">
        <f>IFERROR(VLOOKUP($B67,[2]평가!$B:$Z,MATCH(LEFT(K$2,2),[2]평가!$7:$7,0)-1,FALSE),"")</f>
        <v>0</v>
      </c>
      <c r="L67" s="36">
        <f>IFERROR(VLOOKUP($B67,[2]평가!$B:$Z,MATCH(LEFT(L$2,2),[2]평가!$7:$7,0)-1,FALSE),"")</f>
        <v>79</v>
      </c>
      <c r="M67" s="39">
        <f>IFERROR(VLOOKUP($B67,[2]평가!$B:$Z,MATCH(LEFT(M$2,2),[2]평가!$7:$7,0)-1,FALSE),"")</f>
        <v>48</v>
      </c>
      <c r="N67" s="33">
        <f>IFERROR(VLOOKUP($B67,[3]평가!$B:$Z,MATCH(LEFT(N$2,2),[3]평가!$7:$7,0)-1,FALSE),"")</f>
        <v>0</v>
      </c>
      <c r="O67" s="36">
        <f>IFERROR(VLOOKUP($B67,[3]평가!$B:$Z,MATCH(LEFT(O$2,2),[3]평가!$7:$7,0)-1,FALSE),"")</f>
        <v>74</v>
      </c>
      <c r="P67" s="39">
        <f>IFERROR(VLOOKUP($B67,[3]평가!$B:$Z,MATCH(LEFT(P$2,2),[3]평가!$7:$7,0)-1,FALSE),"")</f>
        <v>64</v>
      </c>
      <c r="Q67" s="33">
        <f>IFERROR(VLOOKUP($B67,[4]평가!$B:$Z,MATCH(LEFT(Q$2,2),[4]평가!$7:$7,0)-1,FALSE),"")</f>
        <v>0</v>
      </c>
      <c r="R67" s="36">
        <f>IFERROR(VLOOKUP($B67,[4]평가!$B:$Z,MATCH(LEFT(R$2,2),[4]평가!$7:$7,0)-1,FALSE),"")</f>
        <v>80</v>
      </c>
      <c r="S67" s="39">
        <f>IFERROR(VLOOKUP($B67,[4]평가!$B:$Z,MATCH(LEFT(S$2,2),[4]평가!$7:$7,0)-1,FALSE),"")</f>
        <v>50</v>
      </c>
      <c r="T67" s="33">
        <f>IFERROR(VLOOKUP($B67,[5]평가!$B:$Z,MATCH(LEFT(T$2,2),[5]평가!$7:$7,0)-1,FALSE),"")</f>
        <v>0</v>
      </c>
      <c r="U67" s="36">
        <f>IFERROR(VLOOKUP($B67,[5]평가!$B:$Z,MATCH(LEFT(U$2,2),[5]평가!$7:$7,0)-1,FALSE),"")</f>
        <v>75</v>
      </c>
      <c r="V67" s="39">
        <f>IFERROR(VLOOKUP($B67,[5]평가!$B:$Z,MATCH(LEFT(V$2,2),[5]평가!$7:$7,0)-1,FALSE),"")</f>
        <v>63</v>
      </c>
      <c r="W67" s="33">
        <f>IFERROR(VLOOKUP($B67,대상!$B:$AD,MATCH(W$2,대상!$1:$1,0)-1,FALSE),"")</f>
        <v>0</v>
      </c>
      <c r="X67" s="20">
        <f>IF(ISBLANK(B67),"",T$1-COUNTIF(H67:V67,"회피"))</f>
        <v>5</v>
      </c>
      <c r="Y67" s="21">
        <f>IF($T$1=X67,(SUM(I67,L67,O67,R67,U67)-MIN(I67,L67,O67,R67,U67)-MAX(I67,L67,O67,R67,U67))/($T$1-2),SUM(I67,L67,O67,R67,U67/X67))</f>
        <v>77.666666666666671</v>
      </c>
      <c r="Z67" s="40">
        <f>IFERROR(VLOOKUP($B67,대상!$B:$AD,MATCH(Z$2,대상!$1:$1,0)-1,FALSE),0)</f>
        <v>0</v>
      </c>
      <c r="AA67" s="41">
        <f>IFERROR(IF(W67="면제","100"+Z67,Y67+Z67),"")</f>
        <v>77.666666666666671</v>
      </c>
      <c r="AB67" s="35" t="str">
        <f>IF(OR(W67="면제",N(Y67)=0),"",IF(AA67&lt;60,"과락",""))</f>
        <v/>
      </c>
      <c r="AC67" s="54">
        <f>IF(N(AA67)=0,"",RANK(AA67,AA$3:AA$202))</f>
        <v>65</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_x000D_②자체 성분 개발 제품에 대한 기술적 차별성은 있으나 유사 천연성분 제품과의 차별성은 미흡하고 사업화 전략이 일반적 단계로  특이성이 없어 향후 영업 확대 가능성에 대한 구체적 제시가 부족함.  _x000D_③진출 시장의 특징과 향후 개발 경로가 직관적으로 서술되었습니다. 다만, 현재의 기술 성숙도와 최종 목표치 사이의 경계가 모호한 측면이 있습니다. 기술 리더십은 확인되나, 목표 달성을 위한 구체적인 실현 가능성은 추가 검토가 필요하다.
 _x000D_④아이템의 기술수요와 개발 방향이 이해하기 쉽게 작성되었으며,  사업화 가능성을 검토한 수준도 양호하다고 판단 됨. _x000D_⑤사용편의성을 높이고 기능성을 부여한 헤어모공 제품을 창업아이템으로 하는 사업으로 기존 문제점과 현재 개발된 기술등에 대해 잘 설명되어져 있다. 특히 타사 제품들과의 비교를 통해 차별화된 기능을 가지고 있음이 어필되어져 있다. 다만, 실제 얼마나 성능이 있는지에 대한 객관적인 data가 제시되지 않아 이에 대한 보완이 필요하다.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hidden="1" customHeight="1" x14ac:dyDescent="0.35">
      <c r="A68" s="4">
        <v>90</v>
      </c>
      <c r="B68" s="2">
        <v>20428424</v>
      </c>
      <c r="C68" s="38" t="str">
        <f>IFERROR(VLOOKUP($B68,대상!$B:$AC,MATCH(C$2,대상!$1:$1,0)-1,FALSE),"")</f>
        <v>지역기반</v>
      </c>
      <c r="D68" s="38" t="str">
        <f>IFERROR(VLOOKUP($B68,대상!$B:$AC,MATCH(D$2,대상!$1:$1,0)-1,FALSE),"")</f>
        <v>박신우</v>
      </c>
      <c r="E68" s="36" t="str">
        <f>IFERROR(VLOOKUP($B68,대상!$B:$AC,MATCH(E$2,대상!$1:$1,0)-1,FALSE),"")</f>
        <v>화공ㆍ섬유</v>
      </c>
      <c r="F68" s="38" t="str">
        <f>IFERROR(VLOOKUP($B68,대상!$B:$AC,MATCH(F$2,대상!$1:$1,0)-1,FALSE),"")</f>
        <v>다층 압축 기술이 적용된 일상의 샤워를 특별하게 만드는 샤워 향기 태블릿, '딘트 샤워팝'</v>
      </c>
      <c r="G68" s="38" t="str">
        <f>IFERROR(VLOOKUP($B68,대상!$B:$AC,MATCH(G$2,대상!$1:$1,0)-1,FALSE),"")</f>
        <v/>
      </c>
      <c r="H68" s="33">
        <f>IFERROR(VLOOKUP($B68,[1]평가!$B:$Z,MATCH(LEFT(H$2,2),[1]평가!$7:$7,0)-1,FALSE),"")</f>
        <v>0</v>
      </c>
      <c r="I68" s="36">
        <f>IFERROR(VLOOKUP($B68,[1]평가!$B:$Z,MATCH(LEFT(I$2,2),[1]평가!$7:$7,0)-1,FALSE),"")</f>
        <v>83</v>
      </c>
      <c r="J68" s="36">
        <f>IFERROR(VLOOKUP($B68,[1]평가!$B:$Z,MATCH(LEFT(J$2,2),[1]평가!$7:$7,0)-1,FALSE),"")</f>
        <v>22</v>
      </c>
      <c r="K68" s="33">
        <f>IFERROR(VLOOKUP($B68,[2]평가!$B:$Z,MATCH(LEFT(K$2,2),[2]평가!$7:$7,0)-1,FALSE),"")</f>
        <v>0</v>
      </c>
      <c r="L68" s="36">
        <f>IFERROR(VLOOKUP($B68,[2]평가!$B:$Z,MATCH(LEFT(L$2,2),[2]평가!$7:$7,0)-1,FALSE),"")</f>
        <v>83</v>
      </c>
      <c r="M68" s="39">
        <f>IFERROR(VLOOKUP($B68,[2]평가!$B:$Z,MATCH(LEFT(M$2,2),[2]평가!$7:$7,0)-1,FALSE),"")</f>
        <v>26</v>
      </c>
      <c r="N68" s="33">
        <f>IFERROR(VLOOKUP($B68,[3]평가!$B:$Z,MATCH(LEFT(N$2,2),[3]평가!$7:$7,0)-1,FALSE),"")</f>
        <v>0</v>
      </c>
      <c r="O68" s="36">
        <f>IFERROR(VLOOKUP($B68,[3]평가!$B:$Z,MATCH(LEFT(O$2,2),[3]평가!$7:$7,0)-1,FALSE),"")</f>
        <v>71</v>
      </c>
      <c r="P68" s="39">
        <f>IFERROR(VLOOKUP($B68,[3]평가!$B:$Z,MATCH(LEFT(P$2,2),[3]평가!$7:$7,0)-1,FALSE),"")</f>
        <v>81</v>
      </c>
      <c r="Q68" s="33">
        <f>IFERROR(VLOOKUP($B68,[4]평가!$B:$Z,MATCH(LEFT(Q$2,2),[4]평가!$7:$7,0)-1,FALSE),"")</f>
        <v>0</v>
      </c>
      <c r="R68" s="36">
        <f>IFERROR(VLOOKUP($B68,[4]평가!$B:$Z,MATCH(LEFT(R$2,2),[4]평가!$7:$7,0)-1,FALSE),"")</f>
        <v>79</v>
      </c>
      <c r="S68" s="39">
        <f>IFERROR(VLOOKUP($B68,[4]평가!$B:$Z,MATCH(LEFT(S$2,2),[4]평가!$7:$7,0)-1,FALSE),"")</f>
        <v>58</v>
      </c>
      <c r="T68" s="33">
        <f>IFERROR(VLOOKUP($B68,[5]평가!$B:$Z,MATCH(LEFT(T$2,2),[5]평가!$7:$7,0)-1,FALSE),"")</f>
        <v>0</v>
      </c>
      <c r="U68" s="36">
        <f>IFERROR(VLOOKUP($B68,[5]평가!$B:$Z,MATCH(LEFT(U$2,2),[5]평가!$7:$7,0)-1,FALSE),"")</f>
        <v>68</v>
      </c>
      <c r="V68" s="39">
        <f>IFERROR(VLOOKUP($B68,[5]평가!$B:$Z,MATCH(LEFT(V$2,2),[5]평가!$7:$7,0)-1,FALSE),"")</f>
        <v>86</v>
      </c>
      <c r="W68" s="33">
        <f>IFERROR(VLOOKUP($B68,대상!$B:$AD,MATCH(W$2,대상!$1:$1,0)-1,FALSE),"")</f>
        <v>0</v>
      </c>
      <c r="X68" s="20">
        <f>IF(ISBLANK(B68),"",T$1-COUNTIF(H68:V68,"회피"))</f>
        <v>5</v>
      </c>
      <c r="Y68" s="21">
        <f>IF($T$1=X68,(SUM(I68,L68,O68,R68,U68)-MIN(I68,L68,O68,R68,U68)-MAX(I68,L68,O68,R68,U68))/($T$1-2),SUM(I68,L68,O68,R68,U68/X68))</f>
        <v>77.666666666666671</v>
      </c>
      <c r="Z68" s="40">
        <f>IFERROR(VLOOKUP($B68,대상!$B:$AD,MATCH(Z$2,대상!$1:$1,0)-1,FALSE),0)</f>
        <v>0</v>
      </c>
      <c r="AA68" s="41">
        <f>IFERROR(IF(W68="면제","100"+Z68,Y68+Z68),"")</f>
        <v>77.666666666666671</v>
      </c>
      <c r="AB68" s="35" t="str">
        <f>IF(OR(W68="면제",N(Y68)=0),"",IF(AA68&lt;60,"과락",""))</f>
        <v/>
      </c>
      <c r="AC68" s="54">
        <f>IF(N(AA68)=0,"",RANK(AA68,AA$3:AA$202))</f>
        <v>65</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특이성과 기술적 차별성이 있으며 틈새 시장에 대한 시장 요구성도 있을 것으로 판단되며 시장 진입 및 사업화 전략도 양호하게 제기되어 있으나 유사 제품에 대한 방어 전략이 다소 미흡한 것으로 판단됨 _x000D_③아이템의 핵심기능과 구체적인 판로개척방법들이 잘 정리되어 있음. 
지원사업의 성격에 따른 국내 기개발 제품과의 차별성, 해외 시장 진출에 따른 전략과 인증에 대한 구체적 방안 제시필요.  _x000D_④창업 동기와 문제 인식은 비교적 명확하게 제시가 되어 있으나, 실제 아이템의 시장 적용 가능성과 사업성에 대한 근거 자료 제시가 다소 미흠 함. _x000D_⑤창업아이템의 목표시장과 수익모델은 비교적 명확하게 제시되어있다. 다만, 해당 개발제품이 가지는 경쟁제품들과의 포지셔닝이나 현재개발수준이 목표를 도달하기에 높지 않은 부분이 다소 부족하였다. 기술추진의지는 확인되나 실현가능성에 대해 추가검토가 필요하다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hidden="1" customHeight="1" x14ac:dyDescent="0.35">
      <c r="A69" s="4">
        <v>14</v>
      </c>
      <c r="B69" s="2">
        <v>20420487</v>
      </c>
      <c r="C69" s="38" t="str">
        <f>IFERROR(VLOOKUP($B69,대상!$B:$AC,MATCH(C$2,대상!$1:$1,0)-1,FALSE),"")</f>
        <v>지역기반</v>
      </c>
      <c r="D69" s="38" t="str">
        <f>IFERROR(VLOOKUP($B69,대상!$B:$AC,MATCH(D$2,대상!$1:$1,0)-1,FALSE),"")</f>
        <v>임서윤</v>
      </c>
      <c r="E69" s="36" t="str">
        <f>IFERROR(VLOOKUP($B69,대상!$B:$AC,MATCH(E$2,대상!$1:$1,0)-1,FALSE),"")</f>
        <v>화공ㆍ섬유</v>
      </c>
      <c r="F69" s="38" t="str">
        <f>IFERROR(VLOOKUP($B69,대상!$B:$AC,MATCH(F$2,대상!$1:$1,0)-1,FALSE),"")</f>
        <v>업사이클링 천연 원료 기반 복합 기능 조성물 기술을 적용한 문제성 발톱 관리 제품</v>
      </c>
      <c r="G69" s="38" t="str">
        <f>IFERROR(VLOOKUP($B69,대상!$B:$AC,MATCH(G$2,대상!$1:$1,0)-1,FALSE),"")</f>
        <v/>
      </c>
      <c r="H69" s="33">
        <f>IFERROR(VLOOKUP($B69,[1]평가!$B:$Z,MATCH(LEFT(H$2,2),[1]평가!$7:$7,0)-1,FALSE),"")</f>
        <v>0</v>
      </c>
      <c r="I69" s="36">
        <f>IFERROR(VLOOKUP($B69,[1]평가!$B:$Z,MATCH(LEFT(I$2,2),[1]평가!$7:$7,0)-1,FALSE),"")</f>
        <v>82</v>
      </c>
      <c r="J69" s="36">
        <f>IFERROR(VLOOKUP($B69,[1]평가!$B:$Z,MATCH(LEFT(J$2,2),[1]평가!$7:$7,0)-1,FALSE),"")</f>
        <v>31</v>
      </c>
      <c r="K69" s="33">
        <f>IFERROR(VLOOKUP($B69,[2]평가!$B:$Z,MATCH(LEFT(K$2,2),[2]평가!$7:$7,0)-1,FALSE),"")</f>
        <v>0</v>
      </c>
      <c r="L69" s="36">
        <f>IFERROR(VLOOKUP($B69,[2]평가!$B:$Z,MATCH(LEFT(L$2,2),[2]평가!$7:$7,0)-1,FALSE),"")</f>
        <v>81</v>
      </c>
      <c r="M69" s="39">
        <f>IFERROR(VLOOKUP($B69,[2]평가!$B:$Z,MATCH(LEFT(M$2,2),[2]평가!$7:$7,0)-1,FALSE),"")</f>
        <v>41</v>
      </c>
      <c r="N69" s="33">
        <f>IFERROR(VLOOKUP($B69,[3]평가!$B:$Z,MATCH(LEFT(N$2,2),[3]평가!$7:$7,0)-1,FALSE),"")</f>
        <v>0</v>
      </c>
      <c r="O69" s="36">
        <f>IFERROR(VLOOKUP($B69,[3]평가!$B:$Z,MATCH(LEFT(O$2,2),[3]평가!$7:$7,0)-1,FALSE),"")</f>
        <v>72</v>
      </c>
      <c r="P69" s="39">
        <f>IFERROR(VLOOKUP($B69,[3]평가!$B:$Z,MATCH(LEFT(P$2,2),[3]평가!$7:$7,0)-1,FALSE),"")</f>
        <v>76</v>
      </c>
      <c r="Q69" s="33">
        <f>IFERROR(VLOOKUP($B69,[4]평가!$B:$Z,MATCH(LEFT(Q$2,2),[4]평가!$7:$7,0)-1,FALSE),"")</f>
        <v>0</v>
      </c>
      <c r="R69" s="36">
        <f>IFERROR(VLOOKUP($B69,[4]평가!$B:$Z,MATCH(LEFT(R$2,2),[4]평가!$7:$7,0)-1,FALSE),"")</f>
        <v>75</v>
      </c>
      <c r="S69" s="39">
        <f>IFERROR(VLOOKUP($B69,[4]평가!$B:$Z,MATCH(LEFT(S$2,2),[4]평가!$7:$7,0)-1,FALSE),"")</f>
        <v>80</v>
      </c>
      <c r="T69" s="33">
        <f>IFERROR(VLOOKUP($B69,[5]평가!$B:$Z,MATCH(LEFT(T$2,2),[5]평가!$7:$7,0)-1,FALSE),"")</f>
        <v>0</v>
      </c>
      <c r="U69" s="36">
        <f>IFERROR(VLOOKUP($B69,[5]평가!$B:$Z,MATCH(LEFT(U$2,2),[5]평가!$7:$7,0)-1,FALSE),"")</f>
        <v>76</v>
      </c>
      <c r="V69" s="39">
        <f>IFERROR(VLOOKUP($B69,[5]평가!$B:$Z,MATCH(LEFT(V$2,2),[5]평가!$7:$7,0)-1,FALSE),"")</f>
        <v>54</v>
      </c>
      <c r="W69" s="33">
        <f>IFERROR(VLOOKUP($B69,대상!$B:$AD,MATCH(W$2,대상!$1:$1,0)-1,FALSE),"")</f>
        <v>0</v>
      </c>
      <c r="X69" s="20">
        <f>IF(ISBLANK(B69),"",T$1-COUNTIF(H69:V69,"회피"))</f>
        <v>5</v>
      </c>
      <c r="Y69" s="21">
        <f>IF($T$1=X69,(SUM(I69,L69,O69,R69,U69)-MIN(I69,L69,O69,R69,U69)-MAX(I69,L69,O69,R69,U69))/($T$1-2),SUM(I69,L69,O69,R69,U69/X69))</f>
        <v>77.333333333333329</v>
      </c>
      <c r="Z69" s="40">
        <f>IFERROR(VLOOKUP($B69,대상!$B:$AD,MATCH(Z$2,대상!$1:$1,0)-1,FALSE),0)</f>
        <v>0</v>
      </c>
      <c r="AA69" s="41">
        <f>IFERROR(IF(W69="면제","100"+Z69,Y69+Z69),"")</f>
        <v>77.333333333333329</v>
      </c>
      <c r="AB69" s="35" t="str">
        <f>IF(OR(W69="면제",N(Y69)=0),"",IF(AA69&lt;60,"과락",""))</f>
        <v/>
      </c>
      <c r="AC69" s="54">
        <f>IF(N(AA69)=0,"",RANK(AA69,AA$3:AA$202))</f>
        <v>69</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①-사업화 아이템의 안정적 시장 진입을 위한 법/제도 검토 및 기존 시장의 유사제품에 대한 차별화 요소 도출/분석이 필요해 보입니다.
-사업의 지속성 확보를 위해 보다 구체적인 수익창출 방안에 대한 고민이 필요해 보입니다. _x000D_②생활형 발톱관리 예방체계 확보의 의미가 있는 제품개발로 고객 요구에 대응할 수있고 시장 선점성도 있을 것으로 판단됨.  단, 검증 시간과 효과에 대한 선행 시험 및 분석 자료가 미흡함 _x000D_③대표자의 역량이 중요하며 기술/운영 등 핵심 인력 구성이 미흡함. 
사업 추진에 필수적인 핵심 기술자나 운영 인력이 확보되지 않아 실행력이 우려됨 사업 확대 시 리스크 관리와 조직 운영을 위한 팀 빌딩 보완이 시급함. _x000D_④창업동기와 문제인식은 비교적 명확하게 제시되었으나, 시장규모와 고객 검증자료는 다소 미흡한 것으로 판단 됨. _x000D_⑤개발하고자 하는 제품에 대한 시장분석과 기존 제품들과의 차별성등이 잘 서술되어 있다. 다만 새로운 제품을 개발하는데 필요한 독자적인 기술성과 기존시장에서의 차별화 전략면에서 다소 부족하다. 대표자의 역량과 외부인력들의 기술력등이 잘 나타나 있지만, 개발 제품의 차별화로 제시된 포지셔닝이 좀 더 명확해야 사업화 진출에 용이할 것이다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hidden="1" customHeight="1" x14ac:dyDescent="0.35">
      <c r="A70" s="4">
        <v>20</v>
      </c>
      <c r="B70" s="2">
        <v>20424264</v>
      </c>
      <c r="C70" s="38" t="str">
        <f>IFERROR(VLOOKUP($B70,대상!$B:$AC,MATCH(C$2,대상!$1:$1,0)-1,FALSE),"")</f>
        <v>지역기반</v>
      </c>
      <c r="D70" s="38" t="str">
        <f>IFERROR(VLOOKUP($B70,대상!$B:$AC,MATCH(D$2,대상!$1:$1,0)-1,FALSE),"")</f>
        <v>오누리</v>
      </c>
      <c r="E70" s="36" t="str">
        <f>IFERROR(VLOOKUP($B70,대상!$B:$AC,MATCH(E$2,대상!$1:$1,0)-1,FALSE),"")</f>
        <v>화공ㆍ섬유</v>
      </c>
      <c r="F70" s="38" t="str">
        <f>IFERROR(VLOOKUP($B70,대상!$B:$AC,MATCH(F$2,대상!$1:$1,0)-1,FALSE),"")</f>
        <v>Changpo-Cica Relief 기반, 꽉 묶는 헤어스타일로 인한 두피 통증 완화 및 견인성 탈모 예방 쿨링 스칼프 앰플</v>
      </c>
      <c r="G70" s="38" t="str">
        <f>IFERROR(VLOOKUP($B70,대상!$B:$AC,MATCH(G$2,대상!$1:$1,0)-1,FALSE),"")</f>
        <v/>
      </c>
      <c r="H70" s="33">
        <f>IFERROR(VLOOKUP($B70,[1]평가!$B:$Z,MATCH(LEFT(H$2,2),[1]평가!$7:$7,0)-1,FALSE),"")</f>
        <v>0</v>
      </c>
      <c r="I70" s="36">
        <f>IFERROR(VLOOKUP($B70,[1]평가!$B:$Z,MATCH(LEFT(I$2,2),[1]평가!$7:$7,0)-1,FALSE),"")</f>
        <v>71</v>
      </c>
      <c r="J70" s="36">
        <f>IFERROR(VLOOKUP($B70,[1]평가!$B:$Z,MATCH(LEFT(J$2,2),[1]평가!$7:$7,0)-1,FALSE),"")</f>
        <v>97</v>
      </c>
      <c r="K70" s="33">
        <f>IFERROR(VLOOKUP($B70,[2]평가!$B:$Z,MATCH(LEFT(K$2,2),[2]평가!$7:$7,0)-1,FALSE),"")</f>
        <v>0</v>
      </c>
      <c r="L70" s="36">
        <f>IFERROR(VLOOKUP($B70,[2]평가!$B:$Z,MATCH(LEFT(L$2,2),[2]평가!$7:$7,0)-1,FALSE),"")</f>
        <v>79</v>
      </c>
      <c r="M70" s="39">
        <f>IFERROR(VLOOKUP($B70,[2]평가!$B:$Z,MATCH(LEFT(M$2,2),[2]평가!$7:$7,0)-1,FALSE),"")</f>
        <v>41</v>
      </c>
      <c r="N70" s="33">
        <f>IFERROR(VLOOKUP($B70,[3]평가!$B:$Z,MATCH(LEFT(N$2,2),[3]평가!$7:$7,0)-1,FALSE),"")</f>
        <v>0</v>
      </c>
      <c r="O70" s="36">
        <f>IFERROR(VLOOKUP($B70,[3]평가!$B:$Z,MATCH(LEFT(O$2,2),[3]평가!$7:$7,0)-1,FALSE),"")</f>
        <v>76</v>
      </c>
      <c r="P70" s="39">
        <f>IFERROR(VLOOKUP($B70,[3]평가!$B:$Z,MATCH(LEFT(P$2,2),[3]평가!$7:$7,0)-1,FALSE),"")</f>
        <v>49</v>
      </c>
      <c r="Q70" s="33">
        <f>IFERROR(VLOOKUP($B70,[4]평가!$B:$Z,MATCH(LEFT(Q$2,2),[4]평가!$7:$7,0)-1,FALSE),"")</f>
        <v>0</v>
      </c>
      <c r="R70" s="36">
        <f>IFERROR(VLOOKUP($B70,[4]평가!$B:$Z,MATCH(LEFT(R$2,2),[4]평가!$7:$7,0)-1,FALSE),"")</f>
        <v>68</v>
      </c>
      <c r="S70" s="39">
        <f>IFERROR(VLOOKUP($B70,[4]평가!$B:$Z,MATCH(LEFT(S$2,2),[4]평가!$7:$7,0)-1,FALSE),"")</f>
        <v>100</v>
      </c>
      <c r="T70" s="33">
        <f>IFERROR(VLOOKUP($B70,[5]평가!$B:$Z,MATCH(LEFT(T$2,2),[5]평가!$7:$7,0)-1,FALSE),"")</f>
        <v>0</v>
      </c>
      <c r="U70" s="36">
        <f>IFERROR(VLOOKUP($B70,[5]평가!$B:$Z,MATCH(LEFT(U$2,2),[5]평가!$7:$7,0)-1,FALSE),"")</f>
        <v>84</v>
      </c>
      <c r="V70" s="39">
        <f>IFERROR(VLOOKUP($B70,[5]평가!$B:$Z,MATCH(LEFT(V$2,2),[5]평가!$7:$7,0)-1,FALSE),"")</f>
        <v>20</v>
      </c>
      <c r="W70" s="33">
        <f>IFERROR(VLOOKUP($B70,대상!$B:$AD,MATCH(W$2,대상!$1:$1,0)-1,FALSE),"")</f>
        <v>0</v>
      </c>
      <c r="X70" s="20">
        <f>IF(ISBLANK(B70),"",T$1-COUNTIF(H70:V70,"회피"))</f>
        <v>5</v>
      </c>
      <c r="Y70" s="21">
        <f>IF($T$1=X70,(SUM(I70,L70,O70,R70,U70)-MIN(I70,L70,O70,R70,U70)-MAX(I70,L70,O70,R70,U70))/($T$1-2),SUM(I70,L70,O70,R70,U70/X70))</f>
        <v>75.333333333333329</v>
      </c>
      <c r="Z70" s="40">
        <f>IFERROR(VLOOKUP($B70,대상!$B:$AD,MATCH(Z$2,대상!$1:$1,0)-1,FALSE),0)</f>
        <v>2</v>
      </c>
      <c r="AA70" s="41">
        <f>IFERROR(IF(W70="면제","100"+Z70,Y70+Z70),"")</f>
        <v>77.333333333333329</v>
      </c>
      <c r="AB70" s="35" t="str">
        <f>IF(OR(W70="면제",N(Y70)=0),"",IF(AA70&lt;60,"과락",""))</f>
        <v/>
      </c>
      <c r="AC70" s="54">
        <f>IF(N(AA70)=0,"",RANK(AA70,AA$3:AA$202))</f>
        <v>69</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①-사업의 지속성 확보및 경쟁력 강화를 위해 다양한 측면에서 산업재산권 확보방안에 대한 검토가 필요해 보입니다. 
-창업지원사업의 성격을 고려한 성과목표 설정 및 달성방안에 대해 보다 상세한 설명이 필요해 보입니다.  _x000D_②개발 방향과 사업 전략의 구체성은 있으나 개발 제품에 대한 유사 경쟁업체와의 경쟁력 확보방안 및 사업 지속성에 대한 구체적 방향 설정이 미흡한 것으로 판단됨 _x000D_③창업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 _x000D_④창업동기와 문제인식은 비교적 명확하게 제시되었으나, 시장규모와 고객 검증자료는 다소 미흡한 것으로 판단 됨. _x000D_⑤경쟁제품비교와 사전 시장 조사를 통한 소비자들의 needs를 파악하고 이를 제품화 하여 시장진출을 노리는 시장전략과 제품설계 등의 전략적인 면보가 돋보인다. 다만 실제 시장이 진입하는 제품에 대한 효능과 기존 경쟁자대비 약 60%수준의 판매가에 대해 근거있는 설명이 필요하다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hidden="1" customHeight="1" x14ac:dyDescent="0.35">
      <c r="A71" s="4">
        <v>58</v>
      </c>
      <c r="B71" s="2">
        <v>20417276</v>
      </c>
      <c r="C71" s="38" t="str">
        <f>IFERROR(VLOOKUP($B71,대상!$B:$AC,MATCH(C$2,대상!$1:$1,0)-1,FALSE),"")</f>
        <v>지역기반</v>
      </c>
      <c r="D71" s="38" t="str">
        <f>IFERROR(VLOOKUP($B71,대상!$B:$AC,MATCH(D$2,대상!$1:$1,0)-1,FALSE),"")</f>
        <v>한의현</v>
      </c>
      <c r="E71" s="36" t="str">
        <f>IFERROR(VLOOKUP($B71,대상!$B:$AC,MATCH(E$2,대상!$1:$1,0)-1,FALSE),"")</f>
        <v>화공ㆍ섬유</v>
      </c>
      <c r="F71" s="38" t="str">
        <f>IFERROR(VLOOKUP($B71,대상!$B:$AC,MATCH(F$2,대상!$1:$1,0)-1,FALSE),"")</f>
        <v>AI기술이 적용된 수면 피부 맞춤 침구 솔루션 제품 서비스</v>
      </c>
      <c r="G71" s="38" t="str">
        <f>IFERROR(VLOOKUP($B71,대상!$B:$AC,MATCH(G$2,대상!$1:$1,0)-1,FALSE),"")</f>
        <v/>
      </c>
      <c r="H71" s="33">
        <f>IFERROR(VLOOKUP($B71,[1]평가!$B:$Z,MATCH(LEFT(H$2,2),[1]평가!$7:$7,0)-1,FALSE),"")</f>
        <v>0</v>
      </c>
      <c r="I71" s="36">
        <f>IFERROR(VLOOKUP($B71,[1]평가!$B:$Z,MATCH(LEFT(I$2,2),[1]평가!$7:$7,0)-1,FALSE),"")</f>
        <v>79</v>
      </c>
      <c r="J71" s="36">
        <f>IFERROR(VLOOKUP($B71,[1]평가!$B:$Z,MATCH(LEFT(J$2,2),[1]평가!$7:$7,0)-1,FALSE),"")</f>
        <v>47</v>
      </c>
      <c r="K71" s="33">
        <f>IFERROR(VLOOKUP($B71,[2]평가!$B:$Z,MATCH(LEFT(K$2,2),[2]평가!$7:$7,0)-1,FALSE),"")</f>
        <v>0</v>
      </c>
      <c r="L71" s="36">
        <f>IFERROR(VLOOKUP($B71,[2]평가!$B:$Z,MATCH(LEFT(L$2,2),[2]평가!$7:$7,0)-1,FALSE),"")</f>
        <v>78</v>
      </c>
      <c r="M71" s="39">
        <f>IFERROR(VLOOKUP($B71,[2]평가!$B:$Z,MATCH(LEFT(M$2,2),[2]평가!$7:$7,0)-1,FALSE),"")</f>
        <v>55</v>
      </c>
      <c r="N71" s="33">
        <f>IFERROR(VLOOKUP($B71,[3]평가!$B:$Z,MATCH(LEFT(N$2,2),[3]평가!$7:$7,0)-1,FALSE),"")</f>
        <v>0</v>
      </c>
      <c r="O71" s="36">
        <f>IFERROR(VLOOKUP($B71,[3]평가!$B:$Z,MATCH(LEFT(O$2,2),[3]평가!$7:$7,0)-1,FALSE),"")</f>
        <v>75</v>
      </c>
      <c r="P71" s="39">
        <f>IFERROR(VLOOKUP($B71,[3]평가!$B:$Z,MATCH(LEFT(P$2,2),[3]평가!$7:$7,0)-1,FALSE),"")</f>
        <v>59</v>
      </c>
      <c r="Q71" s="33">
        <f>IFERROR(VLOOKUP($B71,[4]평가!$B:$Z,MATCH(LEFT(Q$2,2),[4]평가!$7:$7,0)-1,FALSE),"")</f>
        <v>0</v>
      </c>
      <c r="R71" s="36">
        <f>IFERROR(VLOOKUP($B71,[4]평가!$B:$Z,MATCH(LEFT(R$2,2),[4]평가!$7:$7,0)-1,FALSE),"")</f>
        <v>86</v>
      </c>
      <c r="S71" s="39">
        <f>IFERROR(VLOOKUP($B71,[4]평가!$B:$Z,MATCH(LEFT(S$2,2),[4]평가!$7:$7,0)-1,FALSE),"")</f>
        <v>23</v>
      </c>
      <c r="T71" s="33">
        <f>IFERROR(VLOOKUP($B71,[5]평가!$B:$Z,MATCH(LEFT(T$2,2),[5]평가!$7:$7,0)-1,FALSE),"")</f>
        <v>0</v>
      </c>
      <c r="U71" s="36">
        <f>IFERROR(VLOOKUP($B71,[5]평가!$B:$Z,MATCH(LEFT(U$2,2),[5]평가!$7:$7,0)-1,FALSE),"")</f>
        <v>67</v>
      </c>
      <c r="V71" s="39">
        <f>IFERROR(VLOOKUP($B71,[5]평가!$B:$Z,MATCH(LEFT(V$2,2),[5]평가!$7:$7,0)-1,FALSE),"")</f>
        <v>95</v>
      </c>
      <c r="W71" s="33">
        <f>IFERROR(VLOOKUP($B71,대상!$B:$AD,MATCH(W$2,대상!$1:$1,0)-1,FALSE),"")</f>
        <v>0</v>
      </c>
      <c r="X71" s="20">
        <f>IF(ISBLANK(B71),"",T$1-COUNTIF(H71:V71,"회피"))</f>
        <v>5</v>
      </c>
      <c r="Y71" s="21">
        <f>IF($T$1=X71,(SUM(I71,L71,O71,R71,U71)-MIN(I71,L71,O71,R71,U71)-MAX(I71,L71,O71,R71,U71))/($T$1-2),SUM(I71,L71,O71,R71,U71/X71))</f>
        <v>77.333333333333329</v>
      </c>
      <c r="Z71" s="40">
        <f>IFERROR(VLOOKUP($B71,대상!$B:$AD,MATCH(Z$2,대상!$1:$1,0)-1,FALSE),0)</f>
        <v>0</v>
      </c>
      <c r="AA71" s="41">
        <f>IFERROR(IF(W71="면제","100"+Z71,Y71+Z71),"")</f>
        <v>77.333333333333329</v>
      </c>
      <c r="AB71" s="35" t="str">
        <f>IF(OR(W71="면제",N(Y71)=0),"",IF(AA71&lt;60,"과락",""))</f>
        <v/>
      </c>
      <c r="AC71" s="54">
        <f>IF(N(AA71)=0,"",RANK(AA71,AA$3:AA$202))</f>
        <v>69</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①-사업화 아이템의 특성을 고려하여 보다 세부적인 경쟁분석이 필요해 보입니다.
-사업의 지속성 확보를 위해 보다 구체적인 수익창출 방안 및 마케팅 전략에 대한 고민이 필요해 보입니다.
-창업지원사업의 특성을 고려한 정량적 성과지표 및 달성방안에 대한 설명이 필요해 보입니다.   _x000D_②개발 시스템인 피부 관찰과 연계한 맞춤형 침구 적용 솔루션의 아이디어는 좋으나 AI기반 피부 관찰의 경우  침구 제조 업체 자체 적요 우위성에 대한 대응 전략이 필요하고 자사몰 한정 매출의 한계성에 대한 대응 전략이 요구됨.  _x000D_③슬립테크와 연관된 데이터 축척과 aI 분석의 단계등 개발배경과 목적이 명확
전반적으로 사업계획의 방향성과 구성은 적절한 것으로 판단된다. _x000D_④창업 동기와 문제 인식은 비교적 명확하게 제시가 되어 있으나, 실제 차별성이 기술 우위로 연결되는 설명이 다소 미흠 함. _x000D_⑤AI관찰 및 분석기술과 침구 소재를 연결하여 개인맞춤형 침구 솔루션 서비스를 제공하기 위한 창업아이템으로 현재의 문제점과 개발아이템의 시장성 등에 대한 분석이 잘 이루어져 있다. 다만, 설문과 촬영을 통한 분석은 AI를 활용하더라도 통계처리 이상의 효과를 보기 어려우며, 이를 통한 개인맞춤형 솔루션과의 로직이 충분하지 않아 보이는 부분등의 보완이 필요하다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hidden="1" customHeight="1" x14ac:dyDescent="0.35">
      <c r="A72" s="4">
        <v>96</v>
      </c>
      <c r="B72" s="2">
        <v>20432460</v>
      </c>
      <c r="C72" s="38" t="str">
        <f>IFERROR(VLOOKUP($B72,대상!$B:$AC,MATCH(C$2,대상!$1:$1,0)-1,FALSE),"")</f>
        <v>지역기반</v>
      </c>
      <c r="D72" s="38" t="str">
        <f>IFERROR(VLOOKUP($B72,대상!$B:$AC,MATCH(D$2,대상!$1:$1,0)-1,FALSE),"")</f>
        <v>이민주</v>
      </c>
      <c r="E72" s="36" t="str">
        <f>IFERROR(VLOOKUP($B72,대상!$B:$AC,MATCH(E$2,대상!$1:$1,0)-1,FALSE),"")</f>
        <v>화공ㆍ섬유</v>
      </c>
      <c r="F72" s="38" t="str">
        <f>IFERROR(VLOOKUP($B72,대상!$B:$AC,MATCH(F$2,대상!$1:$1,0)-1,FALSE),"")</f>
        <v>여성 선수 체형 설계 데이터베이스 기반 퍼포먼스 스포츠웨어 '주키트(JUKIT) 우먼스 라인'</v>
      </c>
      <c r="G72" s="38" t="str">
        <f>IFERROR(VLOOKUP($B72,대상!$B:$AC,MATCH(G$2,대상!$1:$1,0)-1,FALSE),"")</f>
        <v/>
      </c>
      <c r="H72" s="33">
        <f>IFERROR(VLOOKUP($B72,[1]평가!$B:$Z,MATCH(LEFT(H$2,2),[1]평가!$7:$7,0)-1,FALSE),"")</f>
        <v>0</v>
      </c>
      <c r="I72" s="36">
        <f>IFERROR(VLOOKUP($B72,[1]평가!$B:$Z,MATCH(LEFT(I$2,2),[1]평가!$7:$7,0)-1,FALSE),"")</f>
        <v>77</v>
      </c>
      <c r="J72" s="36">
        <f>IFERROR(VLOOKUP($B72,[1]평가!$B:$Z,MATCH(LEFT(J$2,2),[1]평가!$7:$7,0)-1,FALSE),"")</f>
        <v>70</v>
      </c>
      <c r="K72" s="33">
        <f>IFERROR(VLOOKUP($B72,[2]평가!$B:$Z,MATCH(LEFT(K$2,2),[2]평가!$7:$7,0)-1,FALSE),"")</f>
        <v>0</v>
      </c>
      <c r="L72" s="36">
        <f>IFERROR(VLOOKUP($B72,[2]평가!$B:$Z,MATCH(LEFT(L$2,2),[2]평가!$7:$7,0)-1,FALSE),"")</f>
        <v>68</v>
      </c>
      <c r="M72" s="39">
        <f>IFERROR(VLOOKUP($B72,[2]평가!$B:$Z,MATCH(LEFT(M$2,2),[2]평가!$7:$7,0)-1,FALSE),"")</f>
        <v>98</v>
      </c>
      <c r="N72" s="33">
        <f>IFERROR(VLOOKUP($B72,[3]평가!$B:$Z,MATCH(LEFT(N$2,2),[3]평가!$7:$7,0)-1,FALSE),"")</f>
        <v>0</v>
      </c>
      <c r="O72" s="36">
        <f>IFERROR(VLOOKUP($B72,[3]평가!$B:$Z,MATCH(LEFT(O$2,2),[3]평가!$7:$7,0)-1,FALSE),"")</f>
        <v>74</v>
      </c>
      <c r="P72" s="39">
        <f>IFERROR(VLOOKUP($B72,[3]평가!$B:$Z,MATCH(LEFT(P$2,2),[3]평가!$7:$7,0)-1,FALSE),"")</f>
        <v>64</v>
      </c>
      <c r="Q72" s="33">
        <f>IFERROR(VLOOKUP($B72,[4]평가!$B:$Z,MATCH(LEFT(Q$2,2),[4]평가!$7:$7,0)-1,FALSE),"")</f>
        <v>0</v>
      </c>
      <c r="R72" s="36">
        <f>IFERROR(VLOOKUP($B72,[4]평가!$B:$Z,MATCH(LEFT(R$2,2),[4]평가!$7:$7,0)-1,FALSE),"")</f>
        <v>81</v>
      </c>
      <c r="S72" s="39">
        <f>IFERROR(VLOOKUP($B72,[4]평가!$B:$Z,MATCH(LEFT(S$2,2),[4]평가!$7:$7,0)-1,FALSE),"")</f>
        <v>46</v>
      </c>
      <c r="T72" s="33">
        <f>IFERROR(VLOOKUP($B72,[5]평가!$B:$Z,MATCH(LEFT(T$2,2),[5]평가!$7:$7,0)-1,FALSE),"")</f>
        <v>0</v>
      </c>
      <c r="U72" s="36">
        <f>IFERROR(VLOOKUP($B72,[5]평가!$B:$Z,MATCH(LEFT(U$2,2),[5]평가!$7:$7,0)-1,FALSE),"")</f>
        <v>83</v>
      </c>
      <c r="V72" s="39">
        <f>IFERROR(VLOOKUP($B72,[5]평가!$B:$Z,MATCH(LEFT(V$2,2),[5]평가!$7:$7,0)-1,FALSE),"")</f>
        <v>33</v>
      </c>
      <c r="W72" s="33">
        <f>IFERROR(VLOOKUP($B72,대상!$B:$AD,MATCH(W$2,대상!$1:$1,0)-1,FALSE),"")</f>
        <v>0</v>
      </c>
      <c r="X72" s="20">
        <f>IF(ISBLANK(B72),"",T$1-COUNTIF(H72:V72,"회피"))</f>
        <v>5</v>
      </c>
      <c r="Y72" s="21">
        <f>IF($T$1=X72,(SUM(I72,L72,O72,R72,U72)-MIN(I72,L72,O72,R72,U72)-MAX(I72,L72,O72,R72,U72))/($T$1-2),SUM(I72,L72,O72,R72,U72/X72))</f>
        <v>77.333333333333329</v>
      </c>
      <c r="Z72" s="40">
        <f>IFERROR(VLOOKUP($B72,대상!$B:$AD,MATCH(Z$2,대상!$1:$1,0)-1,FALSE),0)</f>
        <v>0</v>
      </c>
      <c r="AA72" s="41">
        <f>IFERROR(IF(W72="면제","100"+Z72,Y72+Z72),"")</f>
        <v>77.333333333333329</v>
      </c>
      <c r="AB72" s="35" t="str">
        <f>IF(OR(W72="면제",N(Y72)=0),"",IF(AA72&lt;60,"과락",""))</f>
        <v/>
      </c>
      <c r="AC72" s="54">
        <f>IF(N(AA72)=0,"",RANK(AA72,AA$3:AA$202))</f>
        <v>69</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①-기존시장의 유사제품과 비교하여 소비자의 니즈 및 우리 제품의 차별화 요소를 바탕으로 보다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_x000D_②여성 전용 스포츠 의류에 대한 체형 설계 시스템과 데이터를 활용한 제품 개발로 전문화된 포지셔닝과 특이성은 있으나 기존 3D 맞춤형 프로그램 및 Ai기반 의류 설계 플랫폼 등과 유사성이 있어 차별화는 다소 어려울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_x000D_⑤창업아이템에 대한 정의와 기술적 개요를 포함하여 잘 정리되어 있다. 또한 기존 출시된 v1제품과의 연관성도 창업아이템과 잘 매칭되어 있는 점이 돋보인다. 다만, 기존 기능성 시장 제품들과의 차별성이나 기술적 포지셔닝이 명확히 제시되지 않아 이에 대한 보완이 필요하다.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hidden="1" customHeight="1" x14ac:dyDescent="0.35">
      <c r="A73" s="4">
        <v>7</v>
      </c>
      <c r="B73" s="2">
        <v>20412478</v>
      </c>
      <c r="C73" s="38" t="str">
        <f>IFERROR(VLOOKUP($B73,대상!$B:$AC,MATCH(C$2,대상!$1:$1,0)-1,FALSE),"")</f>
        <v>지역기반</v>
      </c>
      <c r="D73" s="38" t="str">
        <f>IFERROR(VLOOKUP($B73,대상!$B:$AC,MATCH(D$2,대상!$1:$1,0)-1,FALSE),"")</f>
        <v>이용준</v>
      </c>
      <c r="E73" s="36" t="str">
        <f>IFERROR(VLOOKUP($B73,대상!$B:$AC,MATCH(E$2,대상!$1:$1,0)-1,FALSE),"")</f>
        <v>화공ㆍ섬유</v>
      </c>
      <c r="F73" s="38" t="str">
        <f>IFERROR(VLOOKUP($B73,대상!$B:$AC,MATCH(F$2,대상!$1:$1,0)-1,FALSE),"")</f>
        <v>업사이클링 원료 기반, 1030 트러블 케어 ‘1회분 스틱 파우더 팩’ · ‘10초 바디 진정 미스트’ 세트 개발 및 국내 버티컬 플랫폼 상용화</v>
      </c>
      <c r="G73" s="38" t="str">
        <f>IFERROR(VLOOKUP($B73,대상!$B:$AC,MATCH(G$2,대상!$1:$1,0)-1,FALSE),"")</f>
        <v/>
      </c>
      <c r="H73" s="33">
        <f>IFERROR(VLOOKUP($B73,[1]평가!$B:$Z,MATCH(LEFT(H$2,2),[1]평가!$7:$7,0)-1,FALSE),"")</f>
        <v>0</v>
      </c>
      <c r="I73" s="36">
        <f>IFERROR(VLOOKUP($B73,[1]평가!$B:$Z,MATCH(LEFT(I$2,2),[1]평가!$7:$7,0)-1,FALSE),"")</f>
        <v>86</v>
      </c>
      <c r="J73" s="36">
        <f>IFERROR(VLOOKUP($B73,[1]평가!$B:$Z,MATCH(LEFT(J$2,2),[1]평가!$7:$7,0)-1,FALSE),"")</f>
        <v>12</v>
      </c>
      <c r="K73" s="33">
        <f>IFERROR(VLOOKUP($B73,[2]평가!$B:$Z,MATCH(LEFT(K$2,2),[2]평가!$7:$7,0)-1,FALSE),"")</f>
        <v>0</v>
      </c>
      <c r="L73" s="36">
        <f>IFERROR(VLOOKUP($B73,[2]평가!$B:$Z,MATCH(LEFT(L$2,2),[2]평가!$7:$7,0)-1,FALSE),"")</f>
        <v>81</v>
      </c>
      <c r="M73" s="39">
        <f>IFERROR(VLOOKUP($B73,[2]평가!$B:$Z,MATCH(LEFT(M$2,2),[2]평가!$7:$7,0)-1,FALSE),"")</f>
        <v>41</v>
      </c>
      <c r="N73" s="33">
        <f>IFERROR(VLOOKUP($B73,[3]평가!$B:$Z,MATCH(LEFT(N$2,2),[3]평가!$7:$7,0)-1,FALSE),"")</f>
        <v>0</v>
      </c>
      <c r="O73" s="36">
        <f>IFERROR(VLOOKUP($B73,[3]평가!$B:$Z,MATCH(LEFT(O$2,2),[3]평가!$7:$7,0)-1,FALSE),"")</f>
        <v>72</v>
      </c>
      <c r="P73" s="39">
        <f>IFERROR(VLOOKUP($B73,[3]평가!$B:$Z,MATCH(LEFT(P$2,2),[3]평가!$7:$7,0)-1,FALSE),"")</f>
        <v>76</v>
      </c>
      <c r="Q73" s="33">
        <f>IFERROR(VLOOKUP($B73,[4]평가!$B:$Z,MATCH(LEFT(Q$2,2),[4]평가!$7:$7,0)-1,FALSE),"")</f>
        <v>0</v>
      </c>
      <c r="R73" s="36">
        <f>IFERROR(VLOOKUP($B73,[4]평가!$B:$Z,MATCH(LEFT(R$2,2),[4]평가!$7:$7,0)-1,FALSE),"")</f>
        <v>74</v>
      </c>
      <c r="S73" s="39">
        <f>IFERROR(VLOOKUP($B73,[4]평가!$B:$Z,MATCH(LEFT(S$2,2),[4]평가!$7:$7,0)-1,FALSE),"")</f>
        <v>85</v>
      </c>
      <c r="T73" s="33">
        <f>IFERROR(VLOOKUP($B73,[5]평가!$B:$Z,MATCH(LEFT(T$2,2),[5]평가!$7:$7,0)-1,FALSE),"")</f>
        <v>0</v>
      </c>
      <c r="U73" s="36">
        <f>IFERROR(VLOOKUP($B73,[5]평가!$B:$Z,MATCH(LEFT(U$2,2),[5]평가!$7:$7,0)-1,FALSE),"")</f>
        <v>76</v>
      </c>
      <c r="V73" s="39">
        <f>IFERROR(VLOOKUP($B73,[5]평가!$B:$Z,MATCH(LEFT(V$2,2),[5]평가!$7:$7,0)-1,FALSE),"")</f>
        <v>54</v>
      </c>
      <c r="W73" s="33">
        <f>IFERROR(VLOOKUP($B73,대상!$B:$AD,MATCH(W$2,대상!$1:$1,0)-1,FALSE),"")</f>
        <v>0</v>
      </c>
      <c r="X73" s="20">
        <f>IF(ISBLANK(B73),"",T$1-COUNTIF(H73:V73,"회피"))</f>
        <v>5</v>
      </c>
      <c r="Y73" s="21">
        <f>IF($T$1=X73,(SUM(I73,L73,O73,R73,U73)-MIN(I73,L73,O73,R73,U73)-MAX(I73,L73,O73,R73,U73))/($T$1-2),SUM(I73,L73,O73,R73,U73/X73))</f>
        <v>77</v>
      </c>
      <c r="Z73" s="40">
        <f>IFERROR(VLOOKUP($B73,대상!$B:$AD,MATCH(Z$2,대상!$1:$1,0)-1,FALSE),0)</f>
        <v>0</v>
      </c>
      <c r="AA73" s="41">
        <f>IFERROR(IF(W73="면제","100"+Z73,Y73+Z73),"")</f>
        <v>77</v>
      </c>
      <c r="AB73" s="35" t="str">
        <f>IF(OR(W73="면제",N(Y73)=0),"",IF(AA73&lt;60,"과락",""))</f>
        <v/>
      </c>
      <c r="AC73" s="54">
        <f>IF(N(AA73)=0,"",RANK(AA73,AA$3:AA$202))</f>
        <v>73</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 사업화 아이템의 지속성 확보 및 후발 경쟁자에 대한 차별화를 위한 지식재산 확보 방안에 대한 고민이 필요해 보입니다.
- 창업지원 사업의 특성을 감안하여 보다 구체적이고 정량적인 성과목표제시및 달성방안에 대한 고민이 필요해 보입니다.  _x000D_②시장 필요성에 맞는 제품개발로 천연성분에 대한 친화성은 있으나 제품의 지속성과 보관 내구성에 대한 분석내용이 부족함 _x000D_③경쟁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 _x000D_④전반적으로 차별화 방향은 확인되나 독창성 판단에는 추가 검토가 필요 함. _x000D_⑤개발하고자 하는 제품에 대한 시장분석과 기존 제품들과의 차별성등이 잘 서술되어 있다. 다만 새로운 제품을 개발하는데 필요한 독자적인 기술성과 기존시장에서의 차별화 전략면에서 다소 부족한 부분이 있었다. 친환경제품이 가지는 전략적인 포지션, 가격경쟁력 대비 품질적인 부분을 보완한다면 더 경쟁력을 가질수 있을것이다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hidden="1" customHeight="1" x14ac:dyDescent="0.35">
      <c r="A74" s="4">
        <v>117</v>
      </c>
      <c r="B74" s="2">
        <v>20429160</v>
      </c>
      <c r="C74" s="38" t="str">
        <f>IFERROR(VLOOKUP($B74,대상!$B:$AC,MATCH(C$2,대상!$1:$1,0)-1,FALSE),"")</f>
        <v>지역기반</v>
      </c>
      <c r="D74" s="38" t="str">
        <f>IFERROR(VLOOKUP($B74,대상!$B:$AC,MATCH(D$2,대상!$1:$1,0)-1,FALSE),"")</f>
        <v>심은희</v>
      </c>
      <c r="E74" s="36" t="str">
        <f>IFERROR(VLOOKUP($B74,대상!$B:$AC,MATCH(E$2,대상!$1:$1,0)-1,FALSE),"")</f>
        <v>화공ㆍ섬유</v>
      </c>
      <c r="F74" s="38" t="str">
        <f>IFERROR(VLOOKUP($B74,대상!$B:$AC,MATCH(F$2,대상!$1:$1,0)-1,FALSE),"")</f>
        <v>국산 과일 소재화 기술 기반 데이터·AI 연계 K-Fruit 동결건조 식품소재 개발 및 글로벌 사업화</v>
      </c>
      <c r="G74" s="38" t="str">
        <f>IFERROR(VLOOKUP($B74,대상!$B:$AC,MATCH(G$2,대상!$1:$1,0)-1,FALSE),"")</f>
        <v/>
      </c>
      <c r="H74" s="33">
        <f>IFERROR(VLOOKUP($B74,[1]평가!$B:$Z,MATCH(LEFT(H$2,2),[1]평가!$7:$7,0)-1,FALSE),"")</f>
        <v>0</v>
      </c>
      <c r="I74" s="36">
        <f>IFERROR(VLOOKUP($B74,[1]평가!$B:$Z,MATCH(LEFT(I$2,2),[1]평가!$7:$7,0)-1,FALSE),"")</f>
        <v>84</v>
      </c>
      <c r="J74" s="36">
        <f>IFERROR(VLOOKUP($B74,[1]평가!$B:$Z,MATCH(LEFT(J$2,2),[1]평가!$7:$7,0)-1,FALSE),"")</f>
        <v>19</v>
      </c>
      <c r="K74" s="33">
        <f>IFERROR(VLOOKUP($B74,[2]평가!$B:$Z,MATCH(LEFT(K$2,2),[2]평가!$7:$7,0)-1,FALSE),"")</f>
        <v>0</v>
      </c>
      <c r="L74" s="36">
        <f>IFERROR(VLOOKUP($B74,[2]평가!$B:$Z,MATCH(LEFT(L$2,2),[2]평가!$7:$7,0)-1,FALSE),"")</f>
        <v>65</v>
      </c>
      <c r="M74" s="39">
        <f>IFERROR(VLOOKUP($B74,[2]평가!$B:$Z,MATCH(LEFT(M$2,2),[2]평가!$7:$7,0)-1,FALSE),"")</f>
        <v>110</v>
      </c>
      <c r="N74" s="33">
        <f>IFERROR(VLOOKUP($B74,[3]평가!$B:$Z,MATCH(LEFT(N$2,2),[3]평가!$7:$7,0)-1,FALSE),"")</f>
        <v>0</v>
      </c>
      <c r="O74" s="36">
        <f>IFERROR(VLOOKUP($B74,[3]평가!$B:$Z,MATCH(LEFT(O$2,2),[3]평가!$7:$7,0)-1,FALSE),"")</f>
        <v>77</v>
      </c>
      <c r="P74" s="39">
        <f>IFERROR(VLOOKUP($B74,[3]평가!$B:$Z,MATCH(LEFT(P$2,2),[3]평가!$7:$7,0)-1,FALSE),"")</f>
        <v>51</v>
      </c>
      <c r="Q74" s="33">
        <f>IFERROR(VLOOKUP($B74,[4]평가!$B:$Z,MATCH(LEFT(Q$2,2),[4]평가!$7:$7,0)-1,FALSE),"")</f>
        <v>0</v>
      </c>
      <c r="R74" s="36">
        <f>IFERROR(VLOOKUP($B74,[4]평가!$B:$Z,MATCH(LEFT(R$2,2),[4]평가!$7:$7,0)-1,FALSE),"")</f>
        <v>84</v>
      </c>
      <c r="S74" s="39">
        <f>IFERROR(VLOOKUP($B74,[4]평가!$B:$Z,MATCH(LEFT(S$2,2),[4]평가!$7:$7,0)-1,FALSE),"")</f>
        <v>35</v>
      </c>
      <c r="T74" s="33">
        <f>IFERROR(VLOOKUP($B74,[5]평가!$B:$Z,MATCH(LEFT(T$2,2),[5]평가!$7:$7,0)-1,FALSE),"")</f>
        <v>0</v>
      </c>
      <c r="U74" s="36">
        <f>IFERROR(VLOOKUP($B74,[5]평가!$B:$Z,MATCH(LEFT(U$2,2),[5]평가!$7:$7,0)-1,FALSE),"")</f>
        <v>70</v>
      </c>
      <c r="V74" s="39">
        <f>IFERROR(VLOOKUP($B74,[5]평가!$B:$Z,MATCH(LEFT(V$2,2),[5]평가!$7:$7,0)-1,FALSE),"")</f>
        <v>83</v>
      </c>
      <c r="W74" s="33">
        <f>IFERROR(VLOOKUP($B74,대상!$B:$AD,MATCH(W$2,대상!$1:$1,0)-1,FALSE),"")</f>
        <v>0</v>
      </c>
      <c r="X74" s="20">
        <f>IF(ISBLANK(B74),"",T$1-COUNTIF(H74:V74,"회피"))</f>
        <v>5</v>
      </c>
      <c r="Y74" s="21">
        <f>IF($T$1=X74,(SUM(I74,L74,O74,R74,U74)-MIN(I74,L74,O74,R74,U74)-MAX(I74,L74,O74,R74,U74))/($T$1-2),SUM(I74,L74,O74,R74,U74/X74))</f>
        <v>77</v>
      </c>
      <c r="Z74" s="40">
        <f>IFERROR(VLOOKUP($B74,대상!$B:$AD,MATCH(Z$2,대상!$1:$1,0)-1,FALSE),0)</f>
        <v>0</v>
      </c>
      <c r="AA74" s="41">
        <f>IFERROR(IF(W74="면제","100"+Z74,Y74+Z74),"")</f>
        <v>77</v>
      </c>
      <c r="AB74" s="35" t="str">
        <f>IF(OR(W74="면제",N(Y74)=0),"",IF(AA74&lt;60,"과락",""))</f>
        <v/>
      </c>
      <c r="AC74" s="54">
        <f>IF(N(AA74)=0,"",RANK(AA74,AA$3:AA$202))</f>
        <v>73</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_x000D_②기존 제품과의 분별성이 약하고 기술적 차이점이 적으며 기존 시장에서 유사 제품 판매가 진행되고 있어 사업성에 대한 긍정적 가능성이 높지않을 것으로 평가됨 _x000D_③기술적 구현 로드맵과 비즈니스 모델 간의 정합성이 우수하며, 전체적인 사업 실행 계획의 기획 완성도가 높은 수준으로 평가됩니다.기술 확보 의지는 뚜렷하나, 세부적인 매출 파이프라인과 실질적인 시장 침투 전략은 구체화가 더 필요해 보입니다.  _x000D_④창업 동기와 문제 인식이 비교적 명확하게 제시가 되어 있으며, 사업화 가능성을 검토한 수준도 비교적 양호하다고 판단 됨.  _x000D_⑤과일을 동결건조 및 파우더화 하는 식품 가공형태의 창업아이템에 대해 전반적인 내용이 잘 기술되어 있으나, 동결건조를 위한 차별화된 기술이 제시되어 있지 않으며, 이를 유통하기 위한 부분도 보완이 필요할 것으로 판단됨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hidden="1" customHeight="1" x14ac:dyDescent="0.35">
      <c r="A75" s="4">
        <v>13</v>
      </c>
      <c r="B75" s="2">
        <v>20420092</v>
      </c>
      <c r="C75" s="38" t="str">
        <f>IFERROR(VLOOKUP($B75,대상!$B:$AC,MATCH(C$2,대상!$1:$1,0)-1,FALSE),"")</f>
        <v>지역기반</v>
      </c>
      <c r="D75" s="38" t="str">
        <f>IFERROR(VLOOKUP($B75,대상!$B:$AC,MATCH(D$2,대상!$1:$1,0)-1,FALSE),"")</f>
        <v>김수지</v>
      </c>
      <c r="E75" s="36" t="str">
        <f>IFERROR(VLOOKUP($B75,대상!$B:$AC,MATCH(E$2,대상!$1:$1,0)-1,FALSE),"")</f>
        <v>화공ㆍ섬유</v>
      </c>
      <c r="F75" s="38" t="str">
        <f>IFERROR(VLOOKUP($B75,대상!$B:$AC,MATCH(F$2,대상!$1:$1,0)-1,FALSE),"")</f>
        <v>90분 건조 브라</v>
      </c>
      <c r="G75" s="38" t="str">
        <f>IFERROR(VLOOKUP($B75,대상!$B:$AC,MATCH(G$2,대상!$1:$1,0)-1,FALSE),"")</f>
        <v/>
      </c>
      <c r="H75" s="33">
        <f>IFERROR(VLOOKUP($B75,[1]평가!$B:$Z,MATCH(LEFT(H$2,2),[1]평가!$7:$7,0)-1,FALSE),"")</f>
        <v>0</v>
      </c>
      <c r="I75" s="36">
        <f>IFERROR(VLOOKUP($B75,[1]평가!$B:$Z,MATCH(LEFT(I$2,2),[1]평가!$7:$7,0)-1,FALSE),"")</f>
        <v>79</v>
      </c>
      <c r="J75" s="36">
        <f>IFERROR(VLOOKUP($B75,[1]평가!$B:$Z,MATCH(LEFT(J$2,2),[1]평가!$7:$7,0)-1,FALSE),"")</f>
        <v>47</v>
      </c>
      <c r="K75" s="33">
        <f>IFERROR(VLOOKUP($B75,[2]평가!$B:$Z,MATCH(LEFT(K$2,2),[2]평가!$7:$7,0)-1,FALSE),"")</f>
        <v>0</v>
      </c>
      <c r="L75" s="36">
        <f>IFERROR(VLOOKUP($B75,[2]평가!$B:$Z,MATCH(LEFT(L$2,2),[2]평가!$7:$7,0)-1,FALSE),"")</f>
        <v>69</v>
      </c>
      <c r="M75" s="39">
        <f>IFERROR(VLOOKUP($B75,[2]평가!$B:$Z,MATCH(LEFT(M$2,2),[2]평가!$7:$7,0)-1,FALSE),"")</f>
        <v>88</v>
      </c>
      <c r="N75" s="33">
        <f>IFERROR(VLOOKUP($B75,[3]평가!$B:$Z,MATCH(LEFT(N$2,2),[3]평가!$7:$7,0)-1,FALSE),"")</f>
        <v>0</v>
      </c>
      <c r="O75" s="36">
        <f>IFERROR(VLOOKUP($B75,[3]평가!$B:$Z,MATCH(LEFT(O$2,2),[3]평가!$7:$7,0)-1,FALSE),"")</f>
        <v>84</v>
      </c>
      <c r="P75" s="39">
        <f>IFERROR(VLOOKUP($B75,[3]평가!$B:$Z,MATCH(LEFT(P$2,2),[3]평가!$7:$7,0)-1,FALSE),"")</f>
        <v>31</v>
      </c>
      <c r="Q75" s="33">
        <f>IFERROR(VLOOKUP($B75,[4]평가!$B:$Z,MATCH(LEFT(Q$2,2),[4]평가!$7:$7,0)-1,FALSE),"")</f>
        <v>0</v>
      </c>
      <c r="R75" s="36">
        <f>IFERROR(VLOOKUP($B75,[4]평가!$B:$Z,MATCH(LEFT(R$2,2),[4]평가!$7:$7,0)-1,FALSE),"")</f>
        <v>82</v>
      </c>
      <c r="S75" s="39">
        <f>IFERROR(VLOOKUP($B75,[4]평가!$B:$Z,MATCH(LEFT(S$2,2),[4]평가!$7:$7,0)-1,FALSE),"")</f>
        <v>41</v>
      </c>
      <c r="T75" s="33">
        <f>IFERROR(VLOOKUP($B75,[5]평가!$B:$Z,MATCH(LEFT(T$2,2),[5]평가!$7:$7,0)-1,FALSE),"")</f>
        <v>0</v>
      </c>
      <c r="U75" s="36">
        <f>IFERROR(VLOOKUP($B75,[5]평가!$B:$Z,MATCH(LEFT(U$2,2),[5]평가!$7:$7,0)-1,FALSE),"")</f>
        <v>68</v>
      </c>
      <c r="V75" s="39">
        <f>IFERROR(VLOOKUP($B75,[5]평가!$B:$Z,MATCH(LEFT(V$2,2),[5]평가!$7:$7,0)-1,FALSE),"")</f>
        <v>86</v>
      </c>
      <c r="W75" s="33">
        <f>IFERROR(VLOOKUP($B75,대상!$B:$AD,MATCH(W$2,대상!$1:$1,0)-1,FALSE),"")</f>
        <v>0</v>
      </c>
      <c r="X75" s="20">
        <f>IF(ISBLANK(B75),"",T$1-COUNTIF(H75:V75,"회피"))</f>
        <v>5</v>
      </c>
      <c r="Y75" s="21">
        <f>IF($T$1=X75,(SUM(I75,L75,O75,R75,U75)-MIN(I75,L75,O75,R75,U75)-MAX(I75,L75,O75,R75,U75))/($T$1-2),SUM(I75,L75,O75,R75,U75/X75))</f>
        <v>76.666666666666671</v>
      </c>
      <c r="Z75" s="40">
        <f>IFERROR(VLOOKUP($B75,대상!$B:$AD,MATCH(Z$2,대상!$1:$1,0)-1,FALSE),0)</f>
        <v>0</v>
      </c>
      <c r="AA75" s="41">
        <f>IFERROR(IF(W75="면제","100"+Z75,Y75+Z75),"")</f>
        <v>76.666666666666671</v>
      </c>
      <c r="AB75" s="35" t="str">
        <f>IF(OR(W75="면제",N(Y75)=0),"",IF(AA75&lt;60,"과락",""))</f>
        <v/>
      </c>
      <c r="AC75" s="54">
        <f>IF(N(AA75)=0,"",RANK(AA75,AA$3:AA$202))</f>
        <v>75</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①-사업의 지속성 확보 및 사업화 아이템의 경쟁력 확보를 위한 방안에 대하여 고민이 필요해 보입니다.
-사업화 아이템의 안정적 시장 안착과 지속적 수익창출을 위해 기술적 독자성 확보를 위한 방안을 고민해 볼 필요가 있어보입니다.  _x000D_②여행을 즐기는 여성소비자의 필요성은 있으나 개발에 따른 시장 확장성이 약하고 사업화 제시 방향도부족한 것으로 판단됨 _x000D_③아이템의 핵심 기능과 구체적인 활용 방안이 잘 정리되어 있으며, 기술적 구현 방법과 사업화 전략이 논리적으로 연결됩니다. 
기술 추진 의지는 확고해 보이나, 실질적인 구현 가능성에 대해서는 추가적인 검토가 요구됩니다. _x000D_④전반적으로 차별화 방향은 확인되나 대표자의 전문성 판단에는 추가 검토가 필요 함. _x000D_⑤개발하고자 하는 제품에 대한 시장분석과 기존 제품들과의 차별성등이 잘 서술되어 있다. 다만 새로운 제품을 개발하는데 필요한 독자적인 기술성과 기존시장에서의 차별화 전략면에서 다소 부족하다. 이너웨어라는 특성상 잦은 세탁 및 건조환경등에서 기존제품 대비 나은 내구성을 반드시 확보해야 하는 제품으로 보이나 이에 대한 보완이 필요하다.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hidden="1" customHeight="1" x14ac:dyDescent="0.35">
      <c r="A76" s="4">
        <v>64</v>
      </c>
      <c r="B76" s="2">
        <v>20419492</v>
      </c>
      <c r="C76" s="38" t="str">
        <f>IFERROR(VLOOKUP($B76,대상!$B:$AC,MATCH(C$2,대상!$1:$1,0)-1,FALSE),"")</f>
        <v>지역기반</v>
      </c>
      <c r="D76" s="38" t="str">
        <f>IFERROR(VLOOKUP($B76,대상!$B:$AC,MATCH(D$2,대상!$1:$1,0)-1,FALSE),"")</f>
        <v>문소영</v>
      </c>
      <c r="E76" s="36" t="str">
        <f>IFERROR(VLOOKUP($B76,대상!$B:$AC,MATCH(E$2,대상!$1:$1,0)-1,FALSE),"")</f>
        <v>화공ㆍ섬유</v>
      </c>
      <c r="F76" s="38" t="str">
        <f>IFERROR(VLOOKUP($B76,대상!$B:$AC,MATCH(F$2,대상!$1:$1,0)-1,FALSE),"")</f>
        <v>스마트 소재와 인체공학적 보정 패턴 기술이 융합된  5060 시니어 여성 특화 데일리 캐주얼 &amp;lt;헤이린드&amp;gt;</v>
      </c>
      <c r="G76" s="38" t="str">
        <f>IFERROR(VLOOKUP($B76,대상!$B:$AC,MATCH(G$2,대상!$1:$1,0)-1,FALSE),"")</f>
        <v/>
      </c>
      <c r="H76" s="33">
        <f>IFERROR(VLOOKUP($B76,[1]평가!$B:$Z,MATCH(LEFT(H$2,2),[1]평가!$7:$7,0)-1,FALSE),"")</f>
        <v>0</v>
      </c>
      <c r="I76" s="36">
        <f>IFERROR(VLOOKUP($B76,[1]평가!$B:$Z,MATCH(LEFT(I$2,2),[1]평가!$7:$7,0)-1,FALSE),"")</f>
        <v>77</v>
      </c>
      <c r="J76" s="36">
        <f>IFERROR(VLOOKUP($B76,[1]평가!$B:$Z,MATCH(LEFT(J$2,2),[1]평가!$7:$7,0)-1,FALSE),"")</f>
        <v>70</v>
      </c>
      <c r="K76" s="33">
        <f>IFERROR(VLOOKUP($B76,[2]평가!$B:$Z,MATCH(LEFT(K$2,2),[2]평가!$7:$7,0)-1,FALSE),"")</f>
        <v>0</v>
      </c>
      <c r="L76" s="36">
        <f>IFERROR(VLOOKUP($B76,[2]평가!$B:$Z,MATCH(LEFT(L$2,2),[2]평가!$7:$7,0)-1,FALSE),"")</f>
        <v>76</v>
      </c>
      <c r="M76" s="39">
        <f>IFERROR(VLOOKUP($B76,[2]평가!$B:$Z,MATCH(LEFT(M$2,2),[2]평가!$7:$7,0)-1,FALSE),"")</f>
        <v>67</v>
      </c>
      <c r="N76" s="33">
        <f>IFERROR(VLOOKUP($B76,[3]평가!$B:$Z,MATCH(LEFT(N$2,2),[3]평가!$7:$7,0)-1,FALSE),"")</f>
        <v>0</v>
      </c>
      <c r="O76" s="36">
        <f>IFERROR(VLOOKUP($B76,[3]평가!$B:$Z,MATCH(LEFT(O$2,2),[3]평가!$7:$7,0)-1,FALSE),"")</f>
        <v>77</v>
      </c>
      <c r="P76" s="39">
        <f>IFERROR(VLOOKUP($B76,[3]평가!$B:$Z,MATCH(LEFT(P$2,2),[3]평가!$7:$7,0)-1,FALSE),"")</f>
        <v>51</v>
      </c>
      <c r="Q76" s="33">
        <f>IFERROR(VLOOKUP($B76,[4]평가!$B:$Z,MATCH(LEFT(Q$2,2),[4]평가!$7:$7,0)-1,FALSE),"")</f>
        <v>0</v>
      </c>
      <c r="R76" s="36">
        <f>IFERROR(VLOOKUP($B76,[4]평가!$B:$Z,MATCH(LEFT(R$2,2),[4]평가!$7:$7,0)-1,FALSE),"")</f>
        <v>86</v>
      </c>
      <c r="S76" s="39">
        <f>IFERROR(VLOOKUP($B76,[4]평가!$B:$Z,MATCH(LEFT(S$2,2),[4]평가!$7:$7,0)-1,FALSE),"")</f>
        <v>23</v>
      </c>
      <c r="T76" s="33">
        <f>IFERROR(VLOOKUP($B76,[5]평가!$B:$Z,MATCH(LEFT(T$2,2),[5]평가!$7:$7,0)-1,FALSE),"")</f>
        <v>0</v>
      </c>
      <c r="U76" s="36">
        <f>IFERROR(VLOOKUP($B76,[5]평가!$B:$Z,MATCH(LEFT(U$2,2),[5]평가!$7:$7,0)-1,FALSE),"")</f>
        <v>74</v>
      </c>
      <c r="V76" s="39">
        <f>IFERROR(VLOOKUP($B76,[5]평가!$B:$Z,MATCH(LEFT(V$2,2),[5]평가!$7:$7,0)-1,FALSE),"")</f>
        <v>68</v>
      </c>
      <c r="W76" s="33">
        <f>IFERROR(VLOOKUP($B76,대상!$B:$AD,MATCH(W$2,대상!$1:$1,0)-1,FALSE),"")</f>
        <v>0</v>
      </c>
      <c r="X76" s="20">
        <f>IF(ISBLANK(B76),"",T$1-COUNTIF(H76:V76,"회피"))</f>
        <v>5</v>
      </c>
      <c r="Y76" s="21">
        <f>IF($T$1=X76,(SUM(I76,L76,O76,R76,U76)-MIN(I76,L76,O76,R76,U76)-MAX(I76,L76,O76,R76,U76))/($T$1-2),SUM(I76,L76,O76,R76,U76/X76))</f>
        <v>76.666666666666671</v>
      </c>
      <c r="Z76" s="40">
        <f>IFERROR(VLOOKUP($B76,대상!$B:$AD,MATCH(Z$2,대상!$1:$1,0)-1,FALSE),0)</f>
        <v>0</v>
      </c>
      <c r="AA76" s="41">
        <f>IFERROR(IF(W76="면제","100"+Z76,Y76+Z76),"")</f>
        <v>76.666666666666671</v>
      </c>
      <c r="AB76" s="35" t="str">
        <f>IF(OR(W76="면제",N(Y76)=0),"",IF(AA76&lt;60,"과락",""))</f>
        <v/>
      </c>
      <c r="AC76" s="54">
        <f>IF(N(AA76)=0,"",RANK(AA76,AA$3:AA$202))</f>
        <v>75</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hidden="1" customHeight="1" x14ac:dyDescent="0.35">
      <c r="A77" s="4">
        <v>77</v>
      </c>
      <c r="B77" s="2">
        <v>20426074</v>
      </c>
      <c r="C77" s="38" t="str">
        <f>IFERROR(VLOOKUP($B77,대상!$B:$AC,MATCH(C$2,대상!$1:$1,0)-1,FALSE),"")</f>
        <v>지역기반</v>
      </c>
      <c r="D77" s="38" t="str">
        <f>IFERROR(VLOOKUP($B77,대상!$B:$AC,MATCH(D$2,대상!$1:$1,0)-1,FALSE),"")</f>
        <v>배창준</v>
      </c>
      <c r="E77" s="36" t="str">
        <f>IFERROR(VLOOKUP($B77,대상!$B:$AC,MATCH(E$2,대상!$1:$1,0)-1,FALSE),"")</f>
        <v>화공ㆍ섬유</v>
      </c>
      <c r="F77" s="38" t="str">
        <f>IFERROR(VLOOKUP($B77,대상!$B:$AC,MATCH(F$2,대상!$1:$1,0)-1,FALSE),"")</f>
        <v>피부 트러블 및 소재 손상 방지를 위한 중성 포뮬러 기반  아이웨어 전용 폼 워시</v>
      </c>
      <c r="G77" s="38" t="str">
        <f>IFERROR(VLOOKUP($B77,대상!$B:$AC,MATCH(G$2,대상!$1:$1,0)-1,FALSE),"")</f>
        <v/>
      </c>
      <c r="H77" s="33">
        <f>IFERROR(VLOOKUP($B77,[1]평가!$B:$Z,MATCH(LEFT(H$2,2),[1]평가!$7:$7,0)-1,FALSE),"")</f>
        <v>0</v>
      </c>
      <c r="I77" s="36">
        <f>IFERROR(VLOOKUP($B77,[1]평가!$B:$Z,MATCH(LEFT(I$2,2),[1]평가!$7:$7,0)-1,FALSE),"")</f>
        <v>77</v>
      </c>
      <c r="J77" s="36">
        <f>IFERROR(VLOOKUP($B77,[1]평가!$B:$Z,MATCH(LEFT(J$2,2),[1]평가!$7:$7,0)-1,FALSE),"")</f>
        <v>47</v>
      </c>
      <c r="K77" s="33">
        <f>IFERROR(VLOOKUP($B77,[2]평가!$B:$Z,MATCH(LEFT(K$2,2),[2]평가!$7:$7,0)-1,FALSE),"")</f>
        <v>0</v>
      </c>
      <c r="L77" s="36">
        <f>IFERROR(VLOOKUP($B77,[2]평가!$B:$Z,MATCH(LEFT(L$2,2),[2]평가!$7:$7,0)-1,FALSE),"")</f>
        <v>72</v>
      </c>
      <c r="M77" s="39">
        <f>IFERROR(VLOOKUP($B77,[2]평가!$B:$Z,MATCH(LEFT(M$2,2),[2]평가!$7:$7,0)-1,FALSE),"")</f>
        <v>78</v>
      </c>
      <c r="N77" s="33">
        <f>IFERROR(VLOOKUP($B77,[3]평가!$B:$Z,MATCH(LEFT(N$2,2),[3]평가!$7:$7,0)-1,FALSE),"")</f>
        <v>0</v>
      </c>
      <c r="O77" s="36">
        <f>IFERROR(VLOOKUP($B77,[3]평가!$B:$Z,MATCH(LEFT(O$2,2),[3]평가!$7:$7,0)-1,FALSE),"")</f>
        <v>70</v>
      </c>
      <c r="P77" s="39">
        <f>IFERROR(VLOOKUP($B77,[3]평가!$B:$Z,MATCH(LEFT(P$2,2),[3]평가!$7:$7,0)-1,FALSE),"")</f>
        <v>76</v>
      </c>
      <c r="Q77" s="33">
        <f>IFERROR(VLOOKUP($B77,[4]평가!$B:$Z,MATCH(LEFT(Q$2,2),[4]평가!$7:$7,0)-1,FALSE),"")</f>
        <v>0</v>
      </c>
      <c r="R77" s="36">
        <f>IFERROR(VLOOKUP($B77,[4]평가!$B:$Z,MATCH(LEFT(R$2,2),[4]평가!$7:$7,0)-1,FALSE),"")</f>
        <v>85</v>
      </c>
      <c r="S77" s="39">
        <f>IFERROR(VLOOKUP($B77,[4]평가!$B:$Z,MATCH(LEFT(S$2,2),[4]평가!$7:$7,0)-1,FALSE),"")</f>
        <v>17</v>
      </c>
      <c r="T77" s="33">
        <f>IFERROR(VLOOKUP($B77,[5]평가!$B:$Z,MATCH(LEFT(T$2,2),[5]평가!$7:$7,0)-1,FALSE),"")</f>
        <v>0</v>
      </c>
      <c r="U77" s="36">
        <f>IFERROR(VLOOKUP($B77,[5]평가!$B:$Z,MATCH(LEFT(U$2,2),[5]평가!$7:$7,0)-1,FALSE),"")</f>
        <v>75</v>
      </c>
      <c r="V77" s="39">
        <f>IFERROR(VLOOKUP($B77,[5]평가!$B:$Z,MATCH(LEFT(V$2,2),[5]평가!$7:$7,0)-1,FALSE),"")</f>
        <v>50</v>
      </c>
      <c r="W77" s="33">
        <f>IFERROR(VLOOKUP($B77,대상!$B:$AD,MATCH(W$2,대상!$1:$1,0)-1,FALSE),"")</f>
        <v>0</v>
      </c>
      <c r="X77" s="20">
        <f>IF(ISBLANK(B77),"",T$1-COUNTIF(H77:V77,"회피"))</f>
        <v>5</v>
      </c>
      <c r="Y77" s="21">
        <f>IF($T$1=X77,(SUM(I77,L77,O77,R77,U77)-MIN(I77,L77,O77,R77,U77)-MAX(I77,L77,O77,R77,U77))/($T$1-2),SUM(I77,L77,O77,R77,U77/X77))</f>
        <v>74.666666666666671</v>
      </c>
      <c r="Z77" s="40">
        <f>IFERROR(VLOOKUP($B77,대상!$B:$AD,MATCH(Z$2,대상!$1:$1,0)-1,FALSE),0)</f>
        <v>2</v>
      </c>
      <c r="AA77" s="41">
        <f>IFERROR(IF(W77="면제","100"+Z77,Y77+Z77),"")</f>
        <v>76.666666666666671</v>
      </c>
      <c r="AB77" s="35" t="str">
        <f>IF(OR(W77="면제",N(Y77)=0),"",IF(AA77&lt;60,"과락",""))</f>
        <v/>
      </c>
      <c r="AC77" s="54">
        <f>IF(N(AA77)=0,"",RANK(AA77,AA$3:AA$202))</f>
        <v>75</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_x000D_②렌즈 크리닝 전용 세제의 제형 개발과 제품성 검증 등은 완료되었고 전반적 제품에 대한 시험 검증 등 제품 자체 개발은 달성되었으나 유사 일반적 계면활성제 활용방법 대비 사용 편의성 및 제품 경쟁력 확보 방안이 부족함.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인식은 비교적 명확하게 제시가 되어 있으나, 전반적으로 추진 계획의 완성도가 양호한 것으로 판단 됨. _x000D_⑤기존 렌즈세정에서 벗어난 안경전체를 세정할 수 있는 세정제를 창업아이템으로 하여 시장에서의 필요성과 사업성에 대해 전반적으로 설명되어져 있다. 다만, 해당 세정제에 관련된 세정력 또는 위해성, 친환경성등에 대한 부분이 나타나 있지 않아 보완이 필요할 것으로 판단된다.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hidden="1" customHeight="1" x14ac:dyDescent="0.35">
      <c r="A78" s="4">
        <v>92</v>
      </c>
      <c r="B78" s="2">
        <v>20429506</v>
      </c>
      <c r="C78" s="38" t="str">
        <f>IFERROR(VLOOKUP($B78,대상!$B:$AC,MATCH(C$2,대상!$1:$1,0)-1,FALSE),"")</f>
        <v>지역기반</v>
      </c>
      <c r="D78" s="38" t="str">
        <f>IFERROR(VLOOKUP($B78,대상!$B:$AC,MATCH(D$2,대상!$1:$1,0)-1,FALSE),"")</f>
        <v>이시은</v>
      </c>
      <c r="E78" s="36" t="str">
        <f>IFERROR(VLOOKUP($B78,대상!$B:$AC,MATCH(E$2,대상!$1:$1,0)-1,FALSE),"")</f>
        <v>화공ㆍ섬유</v>
      </c>
      <c r="F78" s="38" t="str">
        <f>IFERROR(VLOOKUP($B78,대상!$B:$AC,MATCH(F$2,대상!$1:$1,0)-1,FALSE),"")</f>
        <v>멜라노사이트 표적 리포좀 기술이 적용된 임산부 색소침착 개선 기능을 제공하는 피트산 리포좀 립 마스크</v>
      </c>
      <c r="G78" s="38" t="str">
        <f>IFERROR(VLOOKUP($B78,대상!$B:$AC,MATCH(G$2,대상!$1:$1,0)-1,FALSE),"")</f>
        <v/>
      </c>
      <c r="H78" s="33">
        <f>IFERROR(VLOOKUP($B78,[1]평가!$B:$Z,MATCH(LEFT(H$2,2),[1]평가!$7:$7,0)-1,FALSE),"")</f>
        <v>0</v>
      </c>
      <c r="I78" s="36">
        <f>IFERROR(VLOOKUP($B78,[1]평가!$B:$Z,MATCH(LEFT(I$2,2),[1]평가!$7:$7,0)-1,FALSE),"")</f>
        <v>75</v>
      </c>
      <c r="J78" s="36">
        <f>IFERROR(VLOOKUP($B78,[1]평가!$B:$Z,MATCH(LEFT(J$2,2),[1]평가!$7:$7,0)-1,FALSE),"")</f>
        <v>84</v>
      </c>
      <c r="K78" s="33">
        <f>IFERROR(VLOOKUP($B78,[2]평가!$B:$Z,MATCH(LEFT(K$2,2),[2]평가!$7:$7,0)-1,FALSE),"")</f>
        <v>0</v>
      </c>
      <c r="L78" s="36">
        <f>IFERROR(VLOOKUP($B78,[2]평가!$B:$Z,MATCH(LEFT(L$2,2),[2]평가!$7:$7,0)-1,FALSE),"")</f>
        <v>82</v>
      </c>
      <c r="M78" s="39">
        <f>IFERROR(VLOOKUP($B78,[2]평가!$B:$Z,MATCH(LEFT(M$2,2),[2]평가!$7:$7,0)-1,FALSE),"")</f>
        <v>34</v>
      </c>
      <c r="N78" s="33">
        <f>IFERROR(VLOOKUP($B78,[3]평가!$B:$Z,MATCH(LEFT(N$2,2),[3]평가!$7:$7,0)-1,FALSE),"")</f>
        <v>0</v>
      </c>
      <c r="O78" s="36">
        <f>IFERROR(VLOOKUP($B78,[3]평가!$B:$Z,MATCH(LEFT(O$2,2),[3]평가!$7:$7,0)-1,FALSE),"")</f>
        <v>73</v>
      </c>
      <c r="P78" s="39">
        <f>IFERROR(VLOOKUP($B78,[3]평가!$B:$Z,MATCH(LEFT(P$2,2),[3]평가!$7:$7,0)-1,FALSE),"")</f>
        <v>72</v>
      </c>
      <c r="Q78" s="33">
        <f>IFERROR(VLOOKUP($B78,[4]평가!$B:$Z,MATCH(LEFT(Q$2,2),[4]평가!$7:$7,0)-1,FALSE),"")</f>
        <v>0</v>
      </c>
      <c r="R78" s="36">
        <f>IFERROR(VLOOKUP($B78,[4]평가!$B:$Z,MATCH(LEFT(R$2,2),[4]평가!$7:$7,0)-1,FALSE),"")</f>
        <v>85</v>
      </c>
      <c r="S78" s="39">
        <f>IFERROR(VLOOKUP($B78,[4]평가!$B:$Z,MATCH(LEFT(S$2,2),[4]평가!$7:$7,0)-1,FALSE),"")</f>
        <v>31</v>
      </c>
      <c r="T78" s="33">
        <f>IFERROR(VLOOKUP($B78,[5]평가!$B:$Z,MATCH(LEFT(T$2,2),[5]평가!$7:$7,0)-1,FALSE),"")</f>
        <v>0</v>
      </c>
      <c r="U78" s="36">
        <f>IFERROR(VLOOKUP($B78,[5]평가!$B:$Z,MATCH(LEFT(U$2,2),[5]평가!$7:$7,0)-1,FALSE),"")</f>
        <v>72</v>
      </c>
      <c r="V78" s="39">
        <f>IFERROR(VLOOKUP($B78,[5]평가!$B:$Z,MATCH(LEFT(V$2,2),[5]평가!$7:$7,0)-1,FALSE),"")</f>
        <v>75</v>
      </c>
      <c r="W78" s="33">
        <f>IFERROR(VLOOKUP($B78,대상!$B:$AD,MATCH(W$2,대상!$1:$1,0)-1,FALSE),"")</f>
        <v>0</v>
      </c>
      <c r="X78" s="20">
        <f>IF(ISBLANK(B78),"",T$1-COUNTIF(H78:V78,"회피"))</f>
        <v>5</v>
      </c>
      <c r="Y78" s="21">
        <f>IF($T$1=X78,(SUM(I78,L78,O78,R78,U78)-MIN(I78,L78,O78,R78,U78)-MAX(I78,L78,O78,R78,U78))/($T$1-2),SUM(I78,L78,O78,R78,U78/X78))</f>
        <v>76.666666666666671</v>
      </c>
      <c r="Z78" s="40">
        <f>IFERROR(VLOOKUP($B78,대상!$B:$AD,MATCH(Z$2,대상!$1:$1,0)-1,FALSE),0)</f>
        <v>0</v>
      </c>
      <c r="AA78" s="41">
        <f>IFERROR(IF(W78="면제","100"+Z78,Y78+Z78),"")</f>
        <v>76.666666666666671</v>
      </c>
      <c r="AB78" s="35" t="str">
        <f>IF(OR(W78="면제",N(Y78)=0),"",IF(AA78&lt;60,"과락",""))</f>
        <v/>
      </c>
      <c r="AC78" s="54">
        <f>IF(N(AA78)=0,"",RANK(AA78,AA$3:AA$202))</f>
        <v>75</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_x000D_②기존 미백 성분 대비 저자극성 성분을 이용한 신규성 제품 개발로  시장 수요 규모가 전체 시장 대비 작으나 시장성은 충분할 것으로 판단됨.  향후 사업화를 위한 투자 유치 및 사업화 조달 계획의 명확한 근거가 다소 부족함.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인식이 비교적 명확하게 제시가 되어 있으며, 사업화 가능성을 검토한 수준도 양호하다고 판단 됨.  _x000D_⑤창업동기와 문제인식은 비교적 명확하게 제시되어 있다. 다만 전반적으로 사업 방향은 적절하나 경쟁제품들과 종합적인 분석이나 객관적인 data가 제시 되지 못하여 보완 확인이 필요하다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hidden="1" customHeight="1" x14ac:dyDescent="0.35">
      <c r="A79" s="4">
        <v>46</v>
      </c>
      <c r="B79" s="2">
        <v>20409143</v>
      </c>
      <c r="C79" s="38" t="str">
        <f>IFERROR(VLOOKUP($B79,대상!$B:$AC,MATCH(C$2,대상!$1:$1,0)-1,FALSE),"")</f>
        <v>지역기반</v>
      </c>
      <c r="D79" s="38" t="str">
        <f>IFERROR(VLOOKUP($B79,대상!$B:$AC,MATCH(D$2,대상!$1:$1,0)-1,FALSE),"")</f>
        <v>손영필</v>
      </c>
      <c r="E79" s="36" t="str">
        <f>IFERROR(VLOOKUP($B79,대상!$B:$AC,MATCH(E$2,대상!$1:$1,0)-1,FALSE),"")</f>
        <v>화공ㆍ섬유</v>
      </c>
      <c r="F79" s="38" t="str">
        <f>IFERROR(VLOOKUP($B79,대상!$B:$AC,MATCH(F$2,대상!$1:$1,0)-1,FALSE),"")</f>
        <v>N52 등급 자성 결합 기술과 하이브리드 소재 공정을 적용한 맥세이프 부착형 프리미엄 립 케어 모듈 개발</v>
      </c>
      <c r="G79" s="38" t="str">
        <f>IFERROR(VLOOKUP($B79,대상!$B:$AC,MATCH(G$2,대상!$1:$1,0)-1,FALSE),"")</f>
        <v/>
      </c>
      <c r="H79" s="33">
        <f>IFERROR(VLOOKUP($B79,[1]평가!$B:$Z,MATCH(LEFT(H$2,2),[1]평가!$7:$7,0)-1,FALSE),"")</f>
        <v>0</v>
      </c>
      <c r="I79" s="36">
        <f>IFERROR(VLOOKUP($B79,[1]평가!$B:$Z,MATCH(LEFT(I$2,2),[1]평가!$7:$7,0)-1,FALSE),"")</f>
        <v>78</v>
      </c>
      <c r="J79" s="36">
        <f>IFERROR(VLOOKUP($B79,[1]평가!$B:$Z,MATCH(LEFT(J$2,2),[1]평가!$7:$7,0)-1,FALSE),"")</f>
        <v>66</v>
      </c>
      <c r="K79" s="33">
        <f>IFERROR(VLOOKUP($B79,[2]평가!$B:$Z,MATCH(LEFT(K$2,2),[2]평가!$7:$7,0)-1,FALSE),"")</f>
        <v>0</v>
      </c>
      <c r="L79" s="36">
        <f>IFERROR(VLOOKUP($B79,[2]평가!$B:$Z,MATCH(LEFT(L$2,2),[2]평가!$7:$7,0)-1,FALSE),"")</f>
        <v>76</v>
      </c>
      <c r="M79" s="39">
        <f>IFERROR(VLOOKUP($B79,[2]평가!$B:$Z,MATCH(LEFT(M$2,2),[2]평가!$7:$7,0)-1,FALSE),"")</f>
        <v>67</v>
      </c>
      <c r="N79" s="33">
        <f>IFERROR(VLOOKUP($B79,[3]평가!$B:$Z,MATCH(LEFT(N$2,2),[3]평가!$7:$7,0)-1,FALSE),"")</f>
        <v>0</v>
      </c>
      <c r="O79" s="36">
        <f>IFERROR(VLOOKUP($B79,[3]평가!$B:$Z,MATCH(LEFT(O$2,2),[3]평가!$7:$7,0)-1,FALSE),"")</f>
        <v>75</v>
      </c>
      <c r="P79" s="39">
        <f>IFERROR(VLOOKUP($B79,[3]평가!$B:$Z,MATCH(LEFT(P$2,2),[3]평가!$7:$7,0)-1,FALSE),"")</f>
        <v>59</v>
      </c>
      <c r="Q79" s="33">
        <f>IFERROR(VLOOKUP($B79,[4]평가!$B:$Z,MATCH(LEFT(Q$2,2),[4]평가!$7:$7,0)-1,FALSE),"")</f>
        <v>0</v>
      </c>
      <c r="R79" s="36">
        <f>IFERROR(VLOOKUP($B79,[4]평가!$B:$Z,MATCH(LEFT(R$2,2),[4]평가!$7:$7,0)-1,FALSE),"")</f>
        <v>88</v>
      </c>
      <c r="S79" s="39">
        <f>IFERROR(VLOOKUP($B79,[4]평가!$B:$Z,MATCH(LEFT(S$2,2),[4]평가!$7:$7,0)-1,FALSE),"")</f>
        <v>13</v>
      </c>
      <c r="T79" s="33">
        <f>IFERROR(VLOOKUP($B79,[5]평가!$B:$Z,MATCH(LEFT(T$2,2),[5]평가!$7:$7,0)-1,FALSE),"")</f>
        <v>0</v>
      </c>
      <c r="U79" s="36">
        <f>IFERROR(VLOOKUP($B79,[5]평가!$B:$Z,MATCH(LEFT(U$2,2),[5]평가!$7:$7,0)-1,FALSE),"")</f>
        <v>65</v>
      </c>
      <c r="V79" s="39">
        <f>IFERROR(VLOOKUP($B79,[5]평가!$B:$Z,MATCH(LEFT(V$2,2),[5]평가!$7:$7,0)-1,FALSE),"")</f>
        <v>108</v>
      </c>
      <c r="W79" s="33">
        <f>IFERROR(VLOOKUP($B79,대상!$B:$AD,MATCH(W$2,대상!$1:$1,0)-1,FALSE),"")</f>
        <v>0</v>
      </c>
      <c r="X79" s="20">
        <f>IF(ISBLANK(B79),"",T$1-COUNTIF(H79:V79,"회피"))</f>
        <v>5</v>
      </c>
      <c r="Y79" s="21">
        <f>IF($T$1=X79,(SUM(I79,L79,O79,R79,U79)-MIN(I79,L79,O79,R79,U79)-MAX(I79,L79,O79,R79,U79))/($T$1-2),SUM(I79,L79,O79,R79,U79/X79))</f>
        <v>76.333333333333329</v>
      </c>
      <c r="Z79" s="40">
        <f>IFERROR(VLOOKUP($B79,대상!$B:$AD,MATCH(Z$2,대상!$1:$1,0)-1,FALSE),0)</f>
        <v>0</v>
      </c>
      <c r="AA79" s="41">
        <f>IFERROR(IF(W79="면제","100"+Z79,Y79+Z79),"")</f>
        <v>76.333333333333329</v>
      </c>
      <c r="AB79" s="35" t="str">
        <f>IF(OR(W79="면제",N(Y79)=0),"",IF(AA79&lt;60,"과락",""))</f>
        <v/>
      </c>
      <c r="AC79" s="54">
        <f>IF(N(AA79)=0,"",RANK(AA79,AA$3:AA$202))</f>
        <v>79</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_x000D_②제품 아이디어가 좋고 실질적 판매가 가능하며 시장성도 높을 것으로 예상되나 개발의 평이성과 판매의 지속성 등 향후 영업 전략의 구체성이 필요하며 제품 우위성에 대한 구체적 설명이 미흡함 _x000D_③아이템의 핵심기능과 구체적인 판로개척방법들이 잘 정리되어 있음. 다만 시장 문제점에 대한 분석이 피상적이며, 시장의 페인 포인트를 입증할 통계나 근거 자료 보완이 필수적임. 아이템의 참신함이 돋보이므로 시장 데이터 보완시 매력적인 사업이 될 것임.  _x000D_④아이템의 핵심 기능과 활용 방안이 구체적으로 정리가 되어 있으며, 추진 계획의 완성도 및 사업화 가능성도 비교적 양호한 것으로 판단 됨. _x000D_⑤맥세이프 기술을 활용한 코스메틱과의 결합이라는 새로운 아이디어가 돋보이며, 이에 대한 디자인이나 기능성면에서는 충분히 잘 설명되어져 있다. 다만, 맥세이프가 대중적으로 활용되고 있는 기술이라 하더라도 이러한 제품의 시장이 립밤의 시장력과 동일하다고 판단되기 어려우며, 활용성외에 고객이 느끼는 실질적인 장점이 드러나 있지 않은 부분이 다소 아쉽게 판단된다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hidden="1" customHeight="1" x14ac:dyDescent="0.35">
      <c r="A80" s="4">
        <v>85</v>
      </c>
      <c r="B80" s="2">
        <v>20427594</v>
      </c>
      <c r="C80" s="38" t="str">
        <f>IFERROR(VLOOKUP($B80,대상!$B:$AC,MATCH(C$2,대상!$1:$1,0)-1,FALSE),"")</f>
        <v>지역기반</v>
      </c>
      <c r="D80" s="38" t="str">
        <f>IFERROR(VLOOKUP($B80,대상!$B:$AC,MATCH(D$2,대상!$1:$1,0)-1,FALSE),"")</f>
        <v>유현민</v>
      </c>
      <c r="E80" s="36" t="str">
        <f>IFERROR(VLOOKUP($B80,대상!$B:$AC,MATCH(E$2,대상!$1:$1,0)-1,FALSE),"")</f>
        <v>화공ㆍ섬유</v>
      </c>
      <c r="F80" s="38" t="str">
        <f>IFERROR(VLOOKUP($B80,대상!$B:$AC,MATCH(F$2,대상!$1:$1,0)-1,FALSE),"")</f>
        <v>“나노 하이브리드 코팅 기술이 적용된 선크림 차단막 보존 기능의  SWEIN 테크니컬 스킨 타월”</v>
      </c>
      <c r="G80" s="38" t="str">
        <f>IFERROR(VLOOKUP($B80,대상!$B:$AC,MATCH(G$2,대상!$1:$1,0)-1,FALSE),"")</f>
        <v/>
      </c>
      <c r="H80" s="33">
        <f>IFERROR(VLOOKUP($B80,[1]평가!$B:$Z,MATCH(LEFT(H$2,2),[1]평가!$7:$7,0)-1,FALSE),"")</f>
        <v>0</v>
      </c>
      <c r="I80" s="36">
        <f>IFERROR(VLOOKUP($B80,[1]평가!$B:$Z,MATCH(LEFT(I$2,2),[1]평가!$7:$7,0)-1,FALSE),"")</f>
        <v>74</v>
      </c>
      <c r="J80" s="36">
        <f>IFERROR(VLOOKUP($B80,[1]평가!$B:$Z,MATCH(LEFT(J$2,2),[1]평가!$7:$7,0)-1,FALSE),"")</f>
        <v>89</v>
      </c>
      <c r="K80" s="33">
        <f>IFERROR(VLOOKUP($B80,[2]평가!$B:$Z,MATCH(LEFT(K$2,2),[2]평가!$7:$7,0)-1,FALSE),"")</f>
        <v>0</v>
      </c>
      <c r="L80" s="36">
        <f>IFERROR(VLOOKUP($B80,[2]평가!$B:$Z,MATCH(LEFT(L$2,2),[2]평가!$7:$7,0)-1,FALSE),"")</f>
        <v>79</v>
      </c>
      <c r="M80" s="39">
        <f>IFERROR(VLOOKUP($B80,[2]평가!$B:$Z,MATCH(LEFT(M$2,2),[2]평가!$7:$7,0)-1,FALSE),"")</f>
        <v>48</v>
      </c>
      <c r="N80" s="33">
        <f>IFERROR(VLOOKUP($B80,[3]평가!$B:$Z,MATCH(LEFT(N$2,2),[3]평가!$7:$7,0)-1,FALSE),"")</f>
        <v>0</v>
      </c>
      <c r="O80" s="36">
        <f>IFERROR(VLOOKUP($B80,[3]평가!$B:$Z,MATCH(LEFT(O$2,2),[3]평가!$7:$7,0)-1,FALSE),"")</f>
        <v>76</v>
      </c>
      <c r="P80" s="39">
        <f>IFERROR(VLOOKUP($B80,[3]평가!$B:$Z,MATCH(LEFT(P$2,2),[3]평가!$7:$7,0)-1,FALSE),"")</f>
        <v>55</v>
      </c>
      <c r="Q80" s="33">
        <f>IFERROR(VLOOKUP($B80,[4]평가!$B:$Z,MATCH(LEFT(Q$2,2),[4]평가!$7:$7,0)-1,FALSE),"")</f>
        <v>0</v>
      </c>
      <c r="R80" s="36">
        <f>IFERROR(VLOOKUP($B80,[4]평가!$B:$Z,MATCH(LEFT(R$2,2),[4]평가!$7:$7,0)-1,FALSE),"")</f>
        <v>79</v>
      </c>
      <c r="S80" s="39">
        <f>IFERROR(VLOOKUP($B80,[4]평가!$B:$Z,MATCH(LEFT(S$2,2),[4]평가!$7:$7,0)-1,FALSE),"")</f>
        <v>58</v>
      </c>
      <c r="T80" s="33">
        <f>IFERROR(VLOOKUP($B80,[5]평가!$B:$Z,MATCH(LEFT(T$2,2),[5]평가!$7:$7,0)-1,FALSE),"")</f>
        <v>0</v>
      </c>
      <c r="U80" s="36">
        <f>IFERROR(VLOOKUP($B80,[5]평가!$B:$Z,MATCH(LEFT(U$2,2),[5]평가!$7:$7,0)-1,FALSE),"")</f>
        <v>74</v>
      </c>
      <c r="V80" s="39">
        <f>IFERROR(VLOOKUP($B80,[5]평가!$B:$Z,MATCH(LEFT(V$2,2),[5]평가!$7:$7,0)-1,FALSE),"")</f>
        <v>68</v>
      </c>
      <c r="W80" s="33">
        <f>IFERROR(VLOOKUP($B80,대상!$B:$AD,MATCH(W$2,대상!$1:$1,0)-1,FALSE),"")</f>
        <v>0</v>
      </c>
      <c r="X80" s="20">
        <f>IF(ISBLANK(B80),"",T$1-COUNTIF(H80:V80,"회피"))</f>
        <v>5</v>
      </c>
      <c r="Y80" s="21">
        <f>IF($T$1=X80,(SUM(I80,L80,O80,R80,U80)-MIN(I80,L80,O80,R80,U80)-MAX(I80,L80,O80,R80,U80))/($T$1-2),SUM(I80,L80,O80,R80,U80/X80))</f>
        <v>76.333333333333329</v>
      </c>
      <c r="Z80" s="40">
        <f>IFERROR(VLOOKUP($B80,대상!$B:$AD,MATCH(Z$2,대상!$1:$1,0)-1,FALSE),0)</f>
        <v>0</v>
      </c>
      <c r="AA80" s="41">
        <f>IFERROR(IF(W80="면제","100"+Z80,Y80+Z80),"")</f>
        <v>76.333333333333329</v>
      </c>
      <c r="AB80" s="35" t="str">
        <f>IF(OR(W80="면제",N(Y80)=0),"",IF(AA80&lt;60,"과락",""))</f>
        <v/>
      </c>
      <c r="AC80" s="54">
        <f>IF(N(AA80)=0,"",RANK(AA80,AA$3:AA$202))</f>
        <v>79</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_x000D_②개발 제품의 컨셉은 좋으나 소재 자체 특성 이상의  기능성에 대한 제조 방법에 대한 구체적 제시가 부족함.  전반적으로 마켓팅과 영업 전략은 양호하게 수립된 것으로 판단됨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인식이 비교적 명확하게 제시가 되어 있으나,  추진 의지 대비 실현 가능성에 대한 검토는 다소 마흡 함.. _x000D_⑤피부보호제품은 남기고 땀을 효과적으로 제거할 수 있는 초저마찰 나노스킨 타월을 창업아이템으로 하여 사업전반의 내용이 잘 설명되어져 있으며, 기존 수영 전용 습식 타월을 통해 코어 기술력은 확보된 것이 잘 설명되어져 있다. 전반적으로 사업의 구성이나 실행력등이 잘 설명되어져 있으나, 그 효용성에 대해 객관성이 있는 근거를 제시하고 타 타월들과의 차별성을 나타냄으로서 보완할 필요가 있다.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hidden="1" customHeight="1" x14ac:dyDescent="0.35">
      <c r="A81" s="4">
        <v>25</v>
      </c>
      <c r="B81" s="2">
        <v>20427911</v>
      </c>
      <c r="C81" s="38" t="str">
        <f>IFERROR(VLOOKUP($B81,대상!$B:$AC,MATCH(C$2,대상!$1:$1,0)-1,FALSE),"")</f>
        <v>지역기반</v>
      </c>
      <c r="D81" s="38" t="str">
        <f>IFERROR(VLOOKUP($B81,대상!$B:$AC,MATCH(D$2,대상!$1:$1,0)-1,FALSE),"")</f>
        <v>박지원</v>
      </c>
      <c r="E81" s="36" t="str">
        <f>IFERROR(VLOOKUP($B81,대상!$B:$AC,MATCH(E$2,대상!$1:$1,0)-1,FALSE),"")</f>
        <v>화공ㆍ섬유</v>
      </c>
      <c r="F81" s="38" t="str">
        <f>IFERROR(VLOOKUP($B81,대상!$B:$AC,MATCH(F$2,대상!$1:$1,0)-1,FALSE),"")</f>
        <v>탄닌계 바이오 매염제 기반 저온 편물 가먼트 염색 기술이 적용된 냉·온감 기능 유지 및 색상 확장 기능의 홀가먼트 침구</v>
      </c>
      <c r="G81" s="38" t="str">
        <f>IFERROR(VLOOKUP($B81,대상!$B:$AC,MATCH(G$2,대상!$1:$1,0)-1,FALSE),"")</f>
        <v/>
      </c>
      <c r="H81" s="33">
        <f>IFERROR(VLOOKUP($B81,[1]평가!$B:$Z,MATCH(LEFT(H$2,2),[1]평가!$7:$7,0)-1,FALSE),"")</f>
        <v>0</v>
      </c>
      <c r="I81" s="36">
        <f>IFERROR(VLOOKUP($B81,[1]평가!$B:$Z,MATCH(LEFT(I$2,2),[1]평가!$7:$7,0)-1,FALSE),"")</f>
        <v>73</v>
      </c>
      <c r="J81" s="36">
        <f>IFERROR(VLOOKUP($B81,[1]평가!$B:$Z,MATCH(LEFT(J$2,2),[1]평가!$7:$7,0)-1,FALSE),"")</f>
        <v>97</v>
      </c>
      <c r="K81" s="33">
        <f>IFERROR(VLOOKUP($B81,[2]평가!$B:$Z,MATCH(LEFT(K$2,2),[2]평가!$7:$7,0)-1,FALSE),"")</f>
        <v>0</v>
      </c>
      <c r="L81" s="36">
        <f>IFERROR(VLOOKUP($B81,[2]평가!$B:$Z,MATCH(LEFT(L$2,2),[2]평가!$7:$7,0)-1,FALSE),"")</f>
        <v>78</v>
      </c>
      <c r="M81" s="39">
        <f>IFERROR(VLOOKUP($B81,[2]평가!$B:$Z,MATCH(LEFT(M$2,2),[2]평가!$7:$7,0)-1,FALSE),"")</f>
        <v>55</v>
      </c>
      <c r="N81" s="33">
        <f>IFERROR(VLOOKUP($B81,[3]평가!$B:$Z,MATCH(LEFT(N$2,2),[3]평가!$7:$7,0)-1,FALSE),"")</f>
        <v>0</v>
      </c>
      <c r="O81" s="36">
        <f>IFERROR(VLOOKUP($B81,[3]평가!$B:$Z,MATCH(LEFT(O$2,2),[3]평가!$7:$7,0)-1,FALSE),"")</f>
        <v>70</v>
      </c>
      <c r="P81" s="39">
        <f>IFERROR(VLOOKUP($B81,[3]평가!$B:$Z,MATCH(LEFT(P$2,2),[3]평가!$7:$7,0)-1,FALSE),"")</f>
        <v>84</v>
      </c>
      <c r="Q81" s="33">
        <f>IFERROR(VLOOKUP($B81,[4]평가!$B:$Z,MATCH(LEFT(Q$2,2),[4]평가!$7:$7,0)-1,FALSE),"")</f>
        <v>0</v>
      </c>
      <c r="R81" s="36">
        <f>IFERROR(VLOOKUP($B81,[4]평가!$B:$Z,MATCH(LEFT(R$2,2),[4]평가!$7:$7,0)-1,FALSE),"")</f>
        <v>77</v>
      </c>
      <c r="S81" s="39">
        <f>IFERROR(VLOOKUP($B81,[4]평가!$B:$Z,MATCH(LEFT(S$2,2),[4]평가!$7:$7,0)-1,FALSE),"")</f>
        <v>72</v>
      </c>
      <c r="T81" s="33">
        <f>IFERROR(VLOOKUP($B81,[5]평가!$B:$Z,MATCH(LEFT(T$2,2),[5]평가!$7:$7,0)-1,FALSE),"")</f>
        <v>0</v>
      </c>
      <c r="U81" s="36">
        <f>IFERROR(VLOOKUP($B81,[5]평가!$B:$Z,MATCH(LEFT(U$2,2),[5]평가!$7:$7,0)-1,FALSE),"")</f>
        <v>87</v>
      </c>
      <c r="V81" s="39">
        <f>IFERROR(VLOOKUP($B81,[5]평가!$B:$Z,MATCH(LEFT(V$2,2),[5]평가!$7:$7,0)-1,FALSE),"")</f>
        <v>14</v>
      </c>
      <c r="W81" s="33">
        <f>IFERROR(VLOOKUP($B81,대상!$B:$AD,MATCH(W$2,대상!$1:$1,0)-1,FALSE),"")</f>
        <v>0</v>
      </c>
      <c r="X81" s="20">
        <f>IF(ISBLANK(B81),"",T$1-COUNTIF(H81:V81,"회피"))</f>
        <v>5</v>
      </c>
      <c r="Y81" s="21">
        <f>IF($T$1=X81,(SUM(I81,L81,O81,R81,U81)-MIN(I81,L81,O81,R81,U81)-MAX(I81,L81,O81,R81,U81))/($T$1-2),SUM(I81,L81,O81,R81,U81/X81))</f>
        <v>76</v>
      </c>
      <c r="Z81" s="40">
        <f>IFERROR(VLOOKUP($B81,대상!$B:$AD,MATCH(Z$2,대상!$1:$1,0)-1,FALSE),0)</f>
        <v>0</v>
      </c>
      <c r="AA81" s="41">
        <f>IFERROR(IF(W81="면제","100"+Z81,Y81+Z81),"")</f>
        <v>76</v>
      </c>
      <c r="AB81" s="35" t="str">
        <f>IF(OR(W81="면제",N(Y81)=0),"",IF(AA81&lt;60,"과락",""))</f>
        <v/>
      </c>
      <c r="AC81" s="54">
        <f>IF(N(AA81)=0,"",RANK(AA81,AA$3:AA$202))</f>
        <v>81</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①-사업화아이템의 성공가능성 향상을 위하여 기존시장의 유사제품에 대한 차별화 요인 도출 및 경쟁력 강화요인 도출에 대한 고민이 필요해 보입니다.
-창업지원사업의 성격을 고려한 성과목표 제시 및 달성방안에 대한 고민이 필요해 보입니다. _x000D_②냉감소재의 색상 다양성 확보 기술의 의미가 있으나 개발 공정성과 타 소재제품과의 경쟁력 확보방안이 미비하고 기존 제품 시장에 대한 분석화가 미흡한 것으로 판단됨. _x000D_③기술의 개요와 개발 방향은 이해하기 쉽게 서술되었으나, 현재의 개발 공정과 최종 목표치 사이의 구분이 다소 모호합니다. 
기술 추진 의지는 확고해 보이나, 실질적인 구현 가능성에 대해서는 추가적인 검토가 요구됩니다. _x000D_④아이템의 기술수요와 개발방향은 이해하기 쉽게 작성되었으나, 현재 개발 단계와 목표 수준의 구분은 다소 미흡 함. _x000D_⑤기존의 환경규제 탈피를 위한 새로운방안의 제품을 개발하고자 하는 방향과 계절에 맞는 차별화된 제품을 설계하는 등 사업화 내용에 대한 우수한 사업계획으로 구성되어있다. 다만 친환경 공정 전환제품에 대해 그 성능의 차별성이나 우수성에 대해 보완할 필요가 있다.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hidden="1" customHeight="1" x14ac:dyDescent="0.35">
      <c r="A82" s="4">
        <v>33</v>
      </c>
      <c r="B82" s="2">
        <v>20440097</v>
      </c>
      <c r="C82" s="38" t="str">
        <f>IFERROR(VLOOKUP($B82,대상!$B:$AC,MATCH(C$2,대상!$1:$1,0)-1,FALSE),"")</f>
        <v>지역기반</v>
      </c>
      <c r="D82" s="38" t="str">
        <f>IFERROR(VLOOKUP($B82,대상!$B:$AC,MATCH(D$2,대상!$1:$1,0)-1,FALSE),"")</f>
        <v>박소슬</v>
      </c>
      <c r="E82" s="36" t="str">
        <f>IFERROR(VLOOKUP($B82,대상!$B:$AC,MATCH(E$2,대상!$1:$1,0)-1,FALSE),"")</f>
        <v>화공ㆍ섬유</v>
      </c>
      <c r="F82" s="38" t="str">
        <f>IFERROR(VLOOKUP($B82,대상!$B:$AC,MATCH(F$2,대상!$1:$1,0)-1,FALSE),"")</f>
        <v>더마리프(DermaLeaf)</v>
      </c>
      <c r="G82" s="38" t="str">
        <f>IFERROR(VLOOKUP($B82,대상!$B:$AC,MATCH(G$2,대상!$1:$1,0)-1,FALSE),"")</f>
        <v/>
      </c>
      <c r="H82" s="33">
        <f>IFERROR(VLOOKUP($B82,[1]평가!$B:$Z,MATCH(LEFT(H$2,2),[1]평가!$7:$7,0)-1,FALSE),"")</f>
        <v>0</v>
      </c>
      <c r="I82" s="36">
        <f>IFERROR(VLOOKUP($B82,[1]평가!$B:$Z,MATCH(LEFT(I$2,2),[1]평가!$7:$7,0)-1,FALSE),"")</f>
        <v>81</v>
      </c>
      <c r="J82" s="36">
        <f>IFERROR(VLOOKUP($B82,[1]평가!$B:$Z,MATCH(LEFT(J$2,2),[1]평가!$7:$7,0)-1,FALSE),"")</f>
        <v>37</v>
      </c>
      <c r="K82" s="33">
        <f>IFERROR(VLOOKUP($B82,[2]평가!$B:$Z,MATCH(LEFT(K$2,2),[2]평가!$7:$7,0)-1,FALSE),"")</f>
        <v>0</v>
      </c>
      <c r="L82" s="36">
        <f>IFERROR(VLOOKUP($B82,[2]평가!$B:$Z,MATCH(LEFT(L$2,2),[2]평가!$7:$7,0)-1,FALSE),"")</f>
        <v>76</v>
      </c>
      <c r="M82" s="39">
        <f>IFERROR(VLOOKUP($B82,[2]평가!$B:$Z,MATCH(LEFT(M$2,2),[2]평가!$7:$7,0)-1,FALSE),"")</f>
        <v>67</v>
      </c>
      <c r="N82" s="33">
        <f>IFERROR(VLOOKUP($B82,[3]평가!$B:$Z,MATCH(LEFT(N$2,2),[3]평가!$7:$7,0)-1,FALSE),"")</f>
        <v>0</v>
      </c>
      <c r="O82" s="36">
        <f>IFERROR(VLOOKUP($B82,[3]평가!$B:$Z,MATCH(LEFT(O$2,2),[3]평가!$7:$7,0)-1,FALSE),"")</f>
        <v>72</v>
      </c>
      <c r="P82" s="39">
        <f>IFERROR(VLOOKUP($B82,[3]평가!$B:$Z,MATCH(LEFT(P$2,2),[3]평가!$7:$7,0)-1,FALSE),"")</f>
        <v>76</v>
      </c>
      <c r="Q82" s="33">
        <f>IFERROR(VLOOKUP($B82,[4]평가!$B:$Z,MATCH(LEFT(Q$2,2),[4]평가!$7:$7,0)-1,FALSE),"")</f>
        <v>0</v>
      </c>
      <c r="R82" s="36">
        <f>IFERROR(VLOOKUP($B82,[4]평가!$B:$Z,MATCH(LEFT(R$2,2),[4]평가!$7:$7,0)-1,FALSE),"")</f>
        <v>73</v>
      </c>
      <c r="S82" s="39">
        <f>IFERROR(VLOOKUP($B82,[4]평가!$B:$Z,MATCH(LEFT(S$2,2),[4]평가!$7:$7,0)-1,FALSE),"")</f>
        <v>90</v>
      </c>
      <c r="T82" s="33">
        <f>IFERROR(VLOOKUP($B82,[5]평가!$B:$Z,MATCH(LEFT(T$2,2),[5]평가!$7:$7,0)-1,FALSE),"")</f>
        <v>0</v>
      </c>
      <c r="U82" s="36">
        <f>IFERROR(VLOOKUP($B82,[5]평가!$B:$Z,MATCH(LEFT(U$2,2),[5]평가!$7:$7,0)-1,FALSE),"")</f>
        <v>79</v>
      </c>
      <c r="V82" s="39">
        <f>IFERROR(VLOOKUP($B82,[5]평가!$B:$Z,MATCH(LEFT(V$2,2),[5]평가!$7:$7,0)-1,FALSE),"")</f>
        <v>43</v>
      </c>
      <c r="W82" s="33">
        <f>IFERROR(VLOOKUP($B82,대상!$B:$AD,MATCH(W$2,대상!$1:$1,0)-1,FALSE),"")</f>
        <v>0</v>
      </c>
      <c r="X82" s="20">
        <f>IF(ISBLANK(B82),"",T$1-COUNTIF(H82:V82,"회피"))</f>
        <v>5</v>
      </c>
      <c r="Y82" s="21">
        <f>IF($T$1=X82,(SUM(I82,L82,O82,R82,U82)-MIN(I82,L82,O82,R82,U82)-MAX(I82,L82,O82,R82,U82))/($T$1-2),SUM(I82,L82,O82,R82,U82/X82))</f>
        <v>76</v>
      </c>
      <c r="Z82" s="40">
        <f>IFERROR(VLOOKUP($B82,대상!$B:$AD,MATCH(Z$2,대상!$1:$1,0)-1,FALSE),0)</f>
        <v>0</v>
      </c>
      <c r="AA82" s="41">
        <f>IFERROR(IF(W82="면제","100"+Z82,Y82+Z82),"")</f>
        <v>76</v>
      </c>
      <c r="AB82" s="35" t="str">
        <f>IF(OR(W82="면제",N(Y82)=0),"",IF(AA82&lt;60,"과락",""))</f>
        <v/>
      </c>
      <c r="AC82" s="54">
        <f>IF(N(AA82)=0,"",RANK(AA82,AA$3:AA$202))</f>
        <v>81</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①-사업화 아이템이 특성을 고려한 법/제도 분석을 통한 사업의 안정성 확보방안에 대한 고민이 필요해 보입니다.
-창업지원사업의 특성을 고려한 성과목표 제시 및 달성방안에 대한 상세한 설명이 필요해 보입니다.
-사업의 지속성 확보 및 경쟁력 강화를 위한 원료물질 등록, 산업재산권 확보 등 기술 독점성 확보 방안에 대한 고민이 필요해 보입니다.   _x000D_②특정 성분을 이용한 제품개발과 제품의 차별성있고 개발 방향 설정은 양호하나 구체적인 공급 및 판매 체계 수립이 구체화되지 못해 매출 연계의 어려움이 예상됨.  _x000D_③창업 아이템의 개발 배경과 목적이 뚜렷하게 제시되어 있으며, 목표 시장 및 고객 분석 수준 또한 우수합니다. 다만, 제품에 대한 자사만의 차별성과 기술력 독보적인 경쟁력을 증명하기 위한 시장에 대한 객관적 지표와 추가 보완이 필요합니다. _x000D_④경쟁사 대비 차별화 요소를 제시한 점은 긍정적으로 평가되나 차별성이 실제 기술 우위로 연결되는 근거는 다소 미흡 함. _x000D_⑤기능성 친환경 소재를 활용한 코스메틱 시장 진출을 위해 기존제품들과의 차별성과 시장 경쟁력에 대한 설명이 잘 기술되어져 있다. 다만, 친환경 소재를 활용한 신규제품과 기존 제품들과의 기능성 성능적인 부분이나, 기술적인 차별성이 나타나 있지 않으며, 코스메틱 제품인만큼 유해성에 대한 검증을 하기위한 구체적인 계획이 보완되어야 할 것이다.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hidden="1" customHeight="1" x14ac:dyDescent="0.35">
      <c r="A83" s="4">
        <v>95</v>
      </c>
      <c r="B83" s="2">
        <v>20432269</v>
      </c>
      <c r="C83" s="38" t="str">
        <f>IFERROR(VLOOKUP($B83,대상!$B:$AC,MATCH(C$2,대상!$1:$1,0)-1,FALSE),"")</f>
        <v>지역기반</v>
      </c>
      <c r="D83" s="38" t="str">
        <f>IFERROR(VLOOKUP($B83,대상!$B:$AC,MATCH(D$2,대상!$1:$1,0)-1,FALSE),"")</f>
        <v>서수빈</v>
      </c>
      <c r="E83" s="36" t="str">
        <f>IFERROR(VLOOKUP($B83,대상!$B:$AC,MATCH(E$2,대상!$1:$1,0)-1,FALSE),"")</f>
        <v>화공ㆍ섬유</v>
      </c>
      <c r="F83" s="38" t="str">
        <f>IFERROR(VLOOKUP($B83,대상!$B:$AC,MATCH(F$2,대상!$1:$1,0)-1,FALSE),"")</f>
        <v>나노리포좀 기술이 적용된 해양 바이오 K뷰티 스킨케어 브랜드 : 해올</v>
      </c>
      <c r="G83" s="38" t="str">
        <f>IFERROR(VLOOKUP($B83,대상!$B:$AC,MATCH(G$2,대상!$1:$1,0)-1,FALSE),"")</f>
        <v/>
      </c>
      <c r="H83" s="33">
        <f>IFERROR(VLOOKUP($B83,[1]평가!$B:$Z,MATCH(LEFT(H$2,2),[1]평가!$7:$7,0)-1,FALSE),"")</f>
        <v>0</v>
      </c>
      <c r="I83" s="36">
        <f>IFERROR(VLOOKUP($B83,[1]평가!$B:$Z,MATCH(LEFT(I$2,2),[1]평가!$7:$7,0)-1,FALSE),"")</f>
        <v>80</v>
      </c>
      <c r="J83" s="36">
        <f>IFERROR(VLOOKUP($B83,[1]평가!$B:$Z,MATCH(LEFT(J$2,2),[1]평가!$7:$7,0)-1,FALSE),"")</f>
        <v>31</v>
      </c>
      <c r="K83" s="33">
        <f>IFERROR(VLOOKUP($B83,[2]평가!$B:$Z,MATCH(LEFT(K$2,2),[2]평가!$7:$7,0)-1,FALSE),"")</f>
        <v>0</v>
      </c>
      <c r="L83" s="36">
        <f>IFERROR(VLOOKUP($B83,[2]평가!$B:$Z,MATCH(LEFT(L$2,2),[2]평가!$7:$7,0)-1,FALSE),"")</f>
        <v>74</v>
      </c>
      <c r="M83" s="39">
        <f>IFERROR(VLOOKUP($B83,[2]평가!$B:$Z,MATCH(LEFT(M$2,2),[2]평가!$7:$7,0)-1,FALSE),"")</f>
        <v>67</v>
      </c>
      <c r="N83" s="33">
        <f>IFERROR(VLOOKUP($B83,[3]평가!$B:$Z,MATCH(LEFT(N$2,2),[3]평가!$7:$7,0)-1,FALSE),"")</f>
        <v>0</v>
      </c>
      <c r="O83" s="36">
        <f>IFERROR(VLOOKUP($B83,[3]평가!$B:$Z,MATCH(LEFT(O$2,2),[3]평가!$7:$7,0)-1,FALSE),"")</f>
        <v>74</v>
      </c>
      <c r="P83" s="39">
        <f>IFERROR(VLOOKUP($B83,[3]평가!$B:$Z,MATCH(LEFT(P$2,2),[3]평가!$7:$7,0)-1,FALSE),"")</f>
        <v>55</v>
      </c>
      <c r="Q83" s="33">
        <f>IFERROR(VLOOKUP($B83,[4]평가!$B:$Z,MATCH(LEFT(Q$2,2),[4]평가!$7:$7,0)-1,FALSE),"")</f>
        <v>0</v>
      </c>
      <c r="R83" s="36">
        <f>IFERROR(VLOOKUP($B83,[4]평가!$B:$Z,MATCH(LEFT(R$2,2),[4]평가!$7:$7,0)-1,FALSE),"")</f>
        <v>74</v>
      </c>
      <c r="S83" s="39">
        <f>IFERROR(VLOOKUP($B83,[4]평가!$B:$Z,MATCH(LEFT(S$2,2),[4]평가!$7:$7,0)-1,FALSE),"")</f>
        <v>74</v>
      </c>
      <c r="T83" s="33">
        <f>IFERROR(VLOOKUP($B83,[5]평가!$B:$Z,MATCH(LEFT(T$2,2),[5]평가!$7:$7,0)-1,FALSE),"")</f>
        <v>0</v>
      </c>
      <c r="U83" s="36">
        <f>IFERROR(VLOOKUP($B83,[5]평가!$B:$Z,MATCH(LEFT(U$2,2),[5]평가!$7:$7,0)-1,FALSE),"")</f>
        <v>70</v>
      </c>
      <c r="V83" s="39">
        <f>IFERROR(VLOOKUP($B83,[5]평가!$B:$Z,MATCH(LEFT(V$2,2),[5]평가!$7:$7,0)-1,FALSE),"")</f>
        <v>75</v>
      </c>
      <c r="W83" s="33">
        <f>IFERROR(VLOOKUP($B83,대상!$B:$AD,MATCH(W$2,대상!$1:$1,0)-1,FALSE),"")</f>
        <v>0</v>
      </c>
      <c r="X83" s="20">
        <f>IF(ISBLANK(B83),"",T$1-COUNTIF(H83:V83,"회피"))</f>
        <v>5</v>
      </c>
      <c r="Y83" s="21">
        <f>IF($T$1=X83,(SUM(I83,L83,O83,R83,U83)-MIN(I83,L83,O83,R83,U83)-MAX(I83,L83,O83,R83,U83))/($T$1-2),SUM(I83,L83,O83,R83,U83/X83))</f>
        <v>74</v>
      </c>
      <c r="Z83" s="40">
        <f>IFERROR(VLOOKUP($B83,대상!$B:$AD,MATCH(Z$2,대상!$1:$1,0)-1,FALSE),0)</f>
        <v>2</v>
      </c>
      <c r="AA83" s="41">
        <f>IFERROR(IF(W83="면제","100"+Z83,Y83+Z83),"")</f>
        <v>76</v>
      </c>
      <c r="AB83" s="35" t="str">
        <f>IF(OR(W83="면제",N(Y83)=0),"",IF(AA83&lt;60,"과락",""))</f>
        <v/>
      </c>
      <c r="AC83" s="54">
        <f>IF(N(AA83)=0,"",RANK(AA83,AA$3:AA$202))</f>
        <v>81</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①-기존시장의 유사제품과 비교하여 소비자의 니즈 및 우리 제품의 차별화 요소를 바탕으로 보다 다각적인 경쟁분석과 함께 규제분석을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_x000D_②목표 제품의 특이성과 계절별 제품의 포지셔닝 등 단게별 개발 전략은 양호하게 제시되어 있으나 타 성분 제품과의 명확한 차별성이 부족하고 부가적 디바이스 개발 등에 의한 시장 경쟁력 확보 방안이 부족한 것으로 판단됨 _x000D_③아이템의 핵심기능과 구체적인 판로개척방법들이 잘 정리되어 있음. 
지원사업의 성격에 따른 국내 기개발 제품과의 차별성, 해외 시장 진출에 따른 전략과 인증에 대한 구체적 방안 제시필요.  _x000D_④창업 동기와 문제 인식은 비교적 명확하게 제시가 되어 있으나, 실제 차별성이 기술 우위로 연결되는 설명은 다소 미흠 함. _x000D_⑤기존시장에서의 문제점과 이를 해결하고자 하는 사업방향은 잘 설명되어져 있다. 다만, 기존 기능성 제품들과의 비교에서 기능에 대한 분석보다는 주관적인 소비자 인식에 그치고 있으며, 차별화 포지셔닝을 위한 객관적인 데이터가 필요하다.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hidden="1" customHeight="1" x14ac:dyDescent="0.35">
      <c r="A84" s="4">
        <v>109</v>
      </c>
      <c r="B84" s="2">
        <v>20412068</v>
      </c>
      <c r="C84" s="38" t="str">
        <f>IFERROR(VLOOKUP($B84,대상!$B:$AC,MATCH(C$2,대상!$1:$1,0)-1,FALSE),"")</f>
        <v>지역기반</v>
      </c>
      <c r="D84" s="38" t="str">
        <f>IFERROR(VLOOKUP($B84,대상!$B:$AC,MATCH(D$2,대상!$1:$1,0)-1,FALSE),"")</f>
        <v>주민</v>
      </c>
      <c r="E84" s="36" t="str">
        <f>IFERROR(VLOOKUP($B84,대상!$B:$AC,MATCH(E$2,대상!$1:$1,0)-1,FALSE),"")</f>
        <v>화공ㆍ섬유</v>
      </c>
      <c r="F84" s="38" t="str">
        <f>IFERROR(VLOOKUP($B84,대상!$B:$AC,MATCH(F$2,대상!$1:$1,0)-1,FALSE),"")</f>
        <v>계면활성제 10% 이하 초저계면 세정 기술이 적용된  탄산 마이크로버블 브랜드 ‘beurth’ 양산화 및 글로벌(아마존) 스케일업</v>
      </c>
      <c r="G84" s="38" t="str">
        <f>IFERROR(VLOOKUP($B84,대상!$B:$AC,MATCH(G$2,대상!$1:$1,0)-1,FALSE),"")</f>
        <v/>
      </c>
      <c r="H84" s="33">
        <f>IFERROR(VLOOKUP($B84,[1]평가!$B:$Z,MATCH(LEFT(H$2,2),[1]평가!$7:$7,0)-1,FALSE),"")</f>
        <v>0</v>
      </c>
      <c r="I84" s="36">
        <f>IFERROR(VLOOKUP($B84,[1]평가!$B:$Z,MATCH(LEFT(I$2,2),[1]평가!$7:$7,0)-1,FALSE),"")</f>
        <v>76</v>
      </c>
      <c r="J84" s="36">
        <f>IFERROR(VLOOKUP($B84,[1]평가!$B:$Z,MATCH(LEFT(J$2,2),[1]평가!$7:$7,0)-1,FALSE),"")</f>
        <v>76</v>
      </c>
      <c r="K84" s="33">
        <f>IFERROR(VLOOKUP($B84,[2]평가!$B:$Z,MATCH(LEFT(K$2,2),[2]평가!$7:$7,0)-1,FALSE),"")</f>
        <v>0</v>
      </c>
      <c r="L84" s="36">
        <f>IFERROR(VLOOKUP($B84,[2]평가!$B:$Z,MATCH(LEFT(L$2,2),[2]평가!$7:$7,0)-1,FALSE),"")</f>
        <v>84</v>
      </c>
      <c r="M84" s="39">
        <f>IFERROR(VLOOKUP($B84,[2]평가!$B:$Z,MATCH(LEFT(M$2,2),[2]평가!$7:$7,0)-1,FALSE),"")</f>
        <v>21</v>
      </c>
      <c r="N84" s="33">
        <f>IFERROR(VLOOKUP($B84,[3]평가!$B:$Z,MATCH(LEFT(N$2,2),[3]평가!$7:$7,0)-1,FALSE),"")</f>
        <v>0</v>
      </c>
      <c r="O84" s="36">
        <f>IFERROR(VLOOKUP($B84,[3]평가!$B:$Z,MATCH(LEFT(O$2,2),[3]평가!$7:$7,0)-1,FALSE),"")</f>
        <v>74</v>
      </c>
      <c r="P84" s="39">
        <f>IFERROR(VLOOKUP($B84,[3]평가!$B:$Z,MATCH(LEFT(P$2,2),[3]평가!$7:$7,0)-1,FALSE),"")</f>
        <v>64</v>
      </c>
      <c r="Q84" s="33">
        <f>IFERROR(VLOOKUP($B84,[4]평가!$B:$Z,MATCH(LEFT(Q$2,2),[4]평가!$7:$7,0)-1,FALSE),"")</f>
        <v>0</v>
      </c>
      <c r="R84" s="36">
        <f>IFERROR(VLOOKUP($B84,[4]평가!$B:$Z,MATCH(LEFT(R$2,2),[4]평가!$7:$7,0)-1,FALSE),"")</f>
        <v>77</v>
      </c>
      <c r="S84" s="39">
        <f>IFERROR(VLOOKUP($B84,[4]평가!$B:$Z,MATCH(LEFT(S$2,2),[4]평가!$7:$7,0)-1,FALSE),"")</f>
        <v>72</v>
      </c>
      <c r="T84" s="33">
        <f>IFERROR(VLOOKUP($B84,[5]평가!$B:$Z,MATCH(LEFT(T$2,2),[5]평가!$7:$7,0)-1,FALSE),"")</f>
        <v>0</v>
      </c>
      <c r="U84" s="36">
        <f>IFERROR(VLOOKUP($B84,[5]평가!$B:$Z,MATCH(LEFT(U$2,2),[5]평가!$7:$7,0)-1,FALSE),"")</f>
        <v>75</v>
      </c>
      <c r="V84" s="39">
        <f>IFERROR(VLOOKUP($B84,[5]평가!$B:$Z,MATCH(LEFT(V$2,2),[5]평가!$7:$7,0)-1,FALSE),"")</f>
        <v>63</v>
      </c>
      <c r="W84" s="33">
        <f>IFERROR(VLOOKUP($B84,대상!$B:$AD,MATCH(W$2,대상!$1:$1,0)-1,FALSE),"")</f>
        <v>0</v>
      </c>
      <c r="X84" s="20">
        <f>IF(ISBLANK(B84),"",T$1-COUNTIF(H84:V84,"회피"))</f>
        <v>5</v>
      </c>
      <c r="Y84" s="21">
        <f>IF($T$1=X84,(SUM(I84,L84,O84,R84,U84)-MIN(I84,L84,O84,R84,U84)-MAX(I84,L84,O84,R84,U84))/($T$1-2),SUM(I84,L84,O84,R84,U84/X84))</f>
        <v>76</v>
      </c>
      <c r="Z84" s="40">
        <f>IFERROR(VLOOKUP($B84,대상!$B:$AD,MATCH(Z$2,대상!$1:$1,0)-1,FALSE),0)</f>
        <v>0</v>
      </c>
      <c r="AA84" s="41">
        <f>IFERROR(IF(W84="면제","100"+Z84,Y84+Z84),"")</f>
        <v>76</v>
      </c>
      <c r="AB84" s="35" t="str">
        <f>IF(OR(W84="면제",N(Y84)=0),"",IF(AA84&lt;60,"과락",""))</f>
        <v/>
      </c>
      <c r="AC84" s="54">
        <f>IF(N(AA84)=0,"",RANK(AA84,AA$3:AA$202))</f>
        <v>81</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_x000D_②고함량 계면활성제 화장품의 개선 제품으로 제품 및 개발 기술의 노하우가 있고 시장에 대한 제품성도 있을 것으로 판단되나 제품성에 대한 사전 검증 및 실질적 시장 조사 자료는 다소 부족한 것으로 보임 _x000D_③대표자의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_x000D_④창업아이템의 개발 배경과 목적이 비교적 명확하게 제시되었으며, 팀 구성의 적정성도 양호한 수준으로 판단 됨 _x000D_⑤저자극을 위한 저계면활성제 화장품을 창업아이템으로 하여 그 필요성과 기존 시장제품들과의 차별성에 대해 잘 설명되어져 있다. 전반적으로 추진 기반은 있는 것으로 보이나, 비즈니스 모델을 통한 사업화나 scale up을 통한 품질 검증 시스템 등이 마련되어 있지 않아 이에 대한 보완이 필요하다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hidden="1" customHeight="1" x14ac:dyDescent="0.35">
      <c r="A85" s="4">
        <v>11</v>
      </c>
      <c r="B85" s="2">
        <v>20418712</v>
      </c>
      <c r="C85" s="38" t="str">
        <f>IFERROR(VLOOKUP($B85,대상!$B:$AC,MATCH(C$2,대상!$1:$1,0)-1,FALSE),"")</f>
        <v>지역기반</v>
      </c>
      <c r="D85" s="38" t="str">
        <f>IFERROR(VLOOKUP($B85,대상!$B:$AC,MATCH(D$2,대상!$1:$1,0)-1,FALSE),"")</f>
        <v>김해리</v>
      </c>
      <c r="E85" s="36" t="str">
        <f>IFERROR(VLOOKUP($B85,대상!$B:$AC,MATCH(E$2,대상!$1:$1,0)-1,FALSE),"")</f>
        <v>화공ㆍ섬유</v>
      </c>
      <c r="F85" s="38" t="str">
        <f>IFERROR(VLOOKUP($B85,대상!$B:$AC,MATCH(F$2,대상!$1:$1,0)-1,FALSE),"")</f>
        <v>고강도 퍼포먼스 환경에서의 안면 홍조 진정 및 피부 장벽 보호를 위한 '마이크로바이옴 스킨-본딩 쿠션 선크림 HAERI</v>
      </c>
      <c r="G85" s="38" t="str">
        <f>IFERROR(VLOOKUP($B85,대상!$B:$AC,MATCH(G$2,대상!$1:$1,0)-1,FALSE),"")</f>
        <v/>
      </c>
      <c r="H85" s="33">
        <f>IFERROR(VLOOKUP($B85,[1]평가!$B:$Z,MATCH(LEFT(H$2,2),[1]평가!$7:$7,0)-1,FALSE),"")</f>
        <v>0</v>
      </c>
      <c r="I85" s="36">
        <f>IFERROR(VLOOKUP($B85,[1]평가!$B:$Z,MATCH(LEFT(I$2,2),[1]평가!$7:$7,0)-1,FALSE),"")</f>
        <v>86</v>
      </c>
      <c r="J85" s="36">
        <f>IFERROR(VLOOKUP($B85,[1]평가!$B:$Z,MATCH(LEFT(J$2,2),[1]평가!$7:$7,0)-1,FALSE),"")</f>
        <v>12</v>
      </c>
      <c r="K85" s="33">
        <f>IFERROR(VLOOKUP($B85,[2]평가!$B:$Z,MATCH(LEFT(K$2,2),[2]평가!$7:$7,0)-1,FALSE),"")</f>
        <v>0</v>
      </c>
      <c r="L85" s="36">
        <f>IFERROR(VLOOKUP($B85,[2]평가!$B:$Z,MATCH(LEFT(L$2,2),[2]평가!$7:$7,0)-1,FALSE),"")</f>
        <v>81</v>
      </c>
      <c r="M85" s="39">
        <f>IFERROR(VLOOKUP($B85,[2]평가!$B:$Z,MATCH(LEFT(M$2,2),[2]평가!$7:$7,0)-1,FALSE),"")</f>
        <v>41</v>
      </c>
      <c r="N85" s="33">
        <f>IFERROR(VLOOKUP($B85,[3]평가!$B:$Z,MATCH(LEFT(N$2,2),[3]평가!$7:$7,0)-1,FALSE),"")</f>
        <v>0</v>
      </c>
      <c r="O85" s="36">
        <f>IFERROR(VLOOKUP($B85,[3]평가!$B:$Z,MATCH(LEFT(O$2,2),[3]평가!$7:$7,0)-1,FALSE),"")</f>
        <v>74</v>
      </c>
      <c r="P85" s="39">
        <f>IFERROR(VLOOKUP($B85,[3]평가!$B:$Z,MATCH(LEFT(P$2,2),[3]평가!$7:$7,0)-1,FALSE),"")</f>
        <v>64</v>
      </c>
      <c r="Q85" s="33">
        <f>IFERROR(VLOOKUP($B85,[4]평가!$B:$Z,MATCH(LEFT(Q$2,2),[4]평가!$7:$7,0)-1,FALSE),"")</f>
        <v>0</v>
      </c>
      <c r="R85" s="36">
        <f>IFERROR(VLOOKUP($B85,[4]평가!$B:$Z,MATCH(LEFT(R$2,2),[4]평가!$7:$7,0)-1,FALSE),"")</f>
        <v>64</v>
      </c>
      <c r="S85" s="39">
        <f>IFERROR(VLOOKUP($B85,[4]평가!$B:$Z,MATCH(LEFT(S$2,2),[4]평가!$7:$7,0)-1,FALSE),"")</f>
        <v>114</v>
      </c>
      <c r="T85" s="33">
        <f>IFERROR(VLOOKUP($B85,[5]평가!$B:$Z,MATCH(LEFT(T$2,2),[5]평가!$7:$7,0)-1,FALSE),"")</f>
        <v>0</v>
      </c>
      <c r="U85" s="36">
        <f>IFERROR(VLOOKUP($B85,[5]평가!$B:$Z,MATCH(LEFT(U$2,2),[5]평가!$7:$7,0)-1,FALSE),"")</f>
        <v>72</v>
      </c>
      <c r="V85" s="39">
        <f>IFERROR(VLOOKUP($B85,[5]평가!$B:$Z,MATCH(LEFT(V$2,2),[5]평가!$7:$7,0)-1,FALSE),"")</f>
        <v>75</v>
      </c>
      <c r="W85" s="33">
        <f>IFERROR(VLOOKUP($B85,대상!$B:$AD,MATCH(W$2,대상!$1:$1,0)-1,FALSE),"")</f>
        <v>0</v>
      </c>
      <c r="X85" s="20">
        <f>IF(ISBLANK(B85),"",T$1-COUNTIF(H85:V85,"회피"))</f>
        <v>5</v>
      </c>
      <c r="Y85" s="21">
        <f>IF($T$1=X85,(SUM(I85,L85,O85,R85,U85)-MIN(I85,L85,O85,R85,U85)-MAX(I85,L85,O85,R85,U85))/($T$1-2),SUM(I85,L85,O85,R85,U85/X85))</f>
        <v>75.666666666666671</v>
      </c>
      <c r="Z85" s="40">
        <f>IFERROR(VLOOKUP($B85,대상!$B:$AD,MATCH(Z$2,대상!$1:$1,0)-1,FALSE),0)</f>
        <v>0</v>
      </c>
      <c r="AA85" s="41">
        <f>IFERROR(IF(W85="면제","100"+Z85,Y85+Z85),"")</f>
        <v>75.666666666666671</v>
      </c>
      <c r="AB85" s="35" t="str">
        <f>IF(OR(W85="면제",N(Y85)=0),"",IF(AA85&lt;60,"과락",""))</f>
        <v/>
      </c>
      <c r="AC85" s="54">
        <f>IF(N(AA85)=0,"",RANK(AA85,AA$3:AA$202))</f>
        <v>85</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①-사업화 아이템의 특성을 감안하여 보다 구체적이고 현실성있는 수익창출 전략 수립에 대한고민이 필요해 보입니다.
-사업의 지속성 확보 및 비즈니스 경쟁력 확보를 위한 중장기 전략 수립이 필요해 보입니다. _x000D_②소비층의 니치마켓에 대한 방향성이 양호하고 제품성 검증단계 확인 등은 양호하나 실제 시장 규모에 대한 분석이 다소 부족한 것으로 판단됨 _x000D_③창업 동기와 문제 해결의 필요성은 설득력 있게 제시되었습니다. 
다만, 시장 규모와 고객 검증을 뒷받침하는 데이터가 다소 제한적이므로, 사업 방향의 타당성을 높이기 위한 객관적 근거 보완이 일부 필요해 보입니다. _x000D_④창업동기와 문제인식은 비교적 명확하게 제시되었으나, 시장규모와 고객 검증자료 및 본 사업에 대한 전문성이 다소 미흡한 것으로 판단 됨. _x000D_⑤기능성제품에 대한 필요성에 대해 충분히 설명해주고 있으며, 시장진입을 위한 기술적인 차별성 및 틈새시장을 향한 전략이 돋보인다. 다만 기능성제품이 가져야 할 효능성과 인체위해성에 대한 검증방안에 대한 부분에 대해 좀 더 강화할 필요가 있으며, 시장진입을 위한 마케팅 방안도 구체화 할 필요가 있다.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hidden="1" customHeight="1" x14ac:dyDescent="0.35">
      <c r="A86" s="4">
        <v>65</v>
      </c>
      <c r="B86" s="2">
        <v>20419677</v>
      </c>
      <c r="C86" s="38" t="str">
        <f>IFERROR(VLOOKUP($B86,대상!$B:$AC,MATCH(C$2,대상!$1:$1,0)-1,FALSE),"")</f>
        <v>지역기반</v>
      </c>
      <c r="D86" s="38" t="str">
        <f>IFERROR(VLOOKUP($B86,대상!$B:$AC,MATCH(D$2,대상!$1:$1,0)-1,FALSE),"")</f>
        <v>조웅래</v>
      </c>
      <c r="E86" s="36" t="str">
        <f>IFERROR(VLOOKUP($B86,대상!$B:$AC,MATCH(E$2,대상!$1:$1,0)-1,FALSE),"")</f>
        <v>화공ㆍ섬유</v>
      </c>
      <c r="F86" s="38" t="str">
        <f>IFERROR(VLOOKUP($B86,대상!$B:$AC,MATCH(F$2,대상!$1:$1,0)-1,FALSE),"")</f>
        <v>오토와인더 기술이 적용된  폴리프로필렌(PP) 원사 제조 및 인공지능 공정 제어를 위한 DX</v>
      </c>
      <c r="G86" s="38" t="str">
        <f>IFERROR(VLOOKUP($B86,대상!$B:$AC,MATCH(G$2,대상!$1:$1,0)-1,FALSE),"")</f>
        <v/>
      </c>
      <c r="H86" s="33">
        <f>IFERROR(VLOOKUP($B86,[1]평가!$B:$Z,MATCH(LEFT(H$2,2),[1]평가!$7:$7,0)-1,FALSE),"")</f>
        <v>0</v>
      </c>
      <c r="I86" s="36">
        <f>IFERROR(VLOOKUP($B86,[1]평가!$B:$Z,MATCH(LEFT(I$2,2),[1]평가!$7:$7,0)-1,FALSE),"")</f>
        <v>84</v>
      </c>
      <c r="J86" s="36">
        <f>IFERROR(VLOOKUP($B86,[1]평가!$B:$Z,MATCH(LEFT(J$2,2),[1]평가!$7:$7,0)-1,FALSE),"")</f>
        <v>19</v>
      </c>
      <c r="K86" s="33">
        <f>IFERROR(VLOOKUP($B86,[2]평가!$B:$Z,MATCH(LEFT(K$2,2),[2]평가!$7:$7,0)-1,FALSE),"")</f>
        <v>0</v>
      </c>
      <c r="L86" s="36">
        <f>IFERROR(VLOOKUP($B86,[2]평가!$B:$Z,MATCH(LEFT(L$2,2),[2]평가!$7:$7,0)-1,FALSE),"")</f>
        <v>73</v>
      </c>
      <c r="M86" s="39">
        <f>IFERROR(VLOOKUP($B86,[2]평가!$B:$Z,MATCH(LEFT(M$2,2),[2]평가!$7:$7,0)-1,FALSE),"")</f>
        <v>80</v>
      </c>
      <c r="N86" s="33">
        <f>IFERROR(VLOOKUP($B86,[3]평가!$B:$Z,MATCH(LEFT(N$2,2),[3]평가!$7:$7,0)-1,FALSE),"")</f>
        <v>0</v>
      </c>
      <c r="O86" s="36">
        <f>IFERROR(VLOOKUP($B86,[3]평가!$B:$Z,MATCH(LEFT(O$2,2),[3]평가!$7:$7,0)-1,FALSE),"")</f>
        <v>87</v>
      </c>
      <c r="P86" s="39">
        <f>IFERROR(VLOOKUP($B86,[3]평가!$B:$Z,MATCH(LEFT(P$2,2),[3]평가!$7:$7,0)-1,FALSE),"")</f>
        <v>11</v>
      </c>
      <c r="Q86" s="33">
        <f>IFERROR(VLOOKUP($B86,[4]평가!$B:$Z,MATCH(LEFT(Q$2,2),[4]평가!$7:$7,0)-1,FALSE),"")</f>
        <v>0</v>
      </c>
      <c r="R86" s="36">
        <f>IFERROR(VLOOKUP($B86,[4]평가!$B:$Z,MATCH(LEFT(R$2,2),[4]평가!$7:$7,0)-1,FALSE),"")</f>
        <v>70</v>
      </c>
      <c r="S86" s="39">
        <f>IFERROR(VLOOKUP($B86,[4]평가!$B:$Z,MATCH(LEFT(S$2,2),[4]평가!$7:$7,0)-1,FALSE),"")</f>
        <v>100</v>
      </c>
      <c r="T86" s="33">
        <f>IFERROR(VLOOKUP($B86,[5]평가!$B:$Z,MATCH(LEFT(T$2,2),[5]평가!$7:$7,0)-1,FALSE),"")</f>
        <v>0</v>
      </c>
      <c r="U86" s="36">
        <f>IFERROR(VLOOKUP($B86,[5]평가!$B:$Z,MATCH(LEFT(U$2,2),[5]평가!$7:$7,0)-1,FALSE),"")</f>
        <v>67</v>
      </c>
      <c r="V86" s="39">
        <f>IFERROR(VLOOKUP($B86,[5]평가!$B:$Z,MATCH(LEFT(V$2,2),[5]평가!$7:$7,0)-1,FALSE),"")</f>
        <v>95</v>
      </c>
      <c r="W86" s="33">
        <f>IFERROR(VLOOKUP($B86,대상!$B:$AD,MATCH(W$2,대상!$1:$1,0)-1,FALSE),"")</f>
        <v>0</v>
      </c>
      <c r="X86" s="20">
        <f>IF(ISBLANK(B86),"",T$1-COUNTIF(H86:V86,"회피"))</f>
        <v>5</v>
      </c>
      <c r="Y86" s="21">
        <f>IF($T$1=X86,(SUM(I86,L86,O86,R86,U86)-MIN(I86,L86,O86,R86,U86)-MAX(I86,L86,O86,R86,U86))/($T$1-2),SUM(I86,L86,O86,R86,U86/X86))</f>
        <v>75.666666666666671</v>
      </c>
      <c r="Z86" s="40">
        <f>IFERROR(VLOOKUP($B86,대상!$B:$AD,MATCH(Z$2,대상!$1:$1,0)-1,FALSE),0)</f>
        <v>0</v>
      </c>
      <c r="AA86" s="41">
        <f>IFERROR(IF(W86="면제","100"+Z86,Y86+Z86),"")</f>
        <v>75.666666666666671</v>
      </c>
      <c r="AB86" s="35" t="str">
        <f>IF(OR(W86="면제",N(Y86)=0),"",IF(AA86&lt;60,"과락",""))</f>
        <v/>
      </c>
      <c r="AC86" s="54">
        <f>IF(N(AA86)=0,"",RANK(AA86,AA$3:AA$202))</f>
        <v>85</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_x000D_②제품개발 보다 공정 개발로 주요 핵심 부품인 오토 와인더를 통한 생산 효율성 증가 및 원사 경쟁력 확보의 목표는 완료 가능하나 실제적 개발 내용은 부족한 것으로 판단됨. _x000D_③아이템의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_x000D_④창업 동기와 문제 인식은 비교적 명확하게 제시가 되어 있으나, 실제 차별성 및 기술 우위로 연결되는 설명이 다소 미흠 함. _x000D_⑤기존 섬유시장에서 발생되는 문제점과 이를 극복하기 위한 오토와인더와 MES시스템의 연계를 통해 생산성 향상을 위한 창업아이템으로 전반적인 내용이 잘 설명되어져 있다. 다만, 기존에 보유중인 오토와인더 외에 이를 위한 MES 및 AI시스템들과의 연계성에서 보완이 필요하며, 수집한 공정data를 어떤방식으로 활용할지에 대해서도 불투명하게 명기되어 있는 부분이 다소 아쉽다.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hidden="1" customHeight="1" x14ac:dyDescent="0.35">
      <c r="A87" s="4">
        <v>83</v>
      </c>
      <c r="B87" s="2">
        <v>20427388</v>
      </c>
      <c r="C87" s="38" t="str">
        <f>IFERROR(VLOOKUP($B87,대상!$B:$AC,MATCH(C$2,대상!$1:$1,0)-1,FALSE),"")</f>
        <v>지역기반</v>
      </c>
      <c r="D87" s="38" t="str">
        <f>IFERROR(VLOOKUP($B87,대상!$B:$AC,MATCH(D$2,대상!$1:$1,0)-1,FALSE),"")</f>
        <v>박병훈</v>
      </c>
      <c r="E87" s="36" t="str">
        <f>IFERROR(VLOOKUP($B87,대상!$B:$AC,MATCH(E$2,대상!$1:$1,0)-1,FALSE),"")</f>
        <v>화공ㆍ섬유</v>
      </c>
      <c r="F87" s="38" t="str">
        <f>IFERROR(VLOOKUP($B87,대상!$B:$AC,MATCH(F$2,대상!$1:$1,0)-1,FALSE),"")</f>
        <v>pH5.5 이중 배합 기술 기반 두피세정·모발코팅 듀얼 케어 샴푸</v>
      </c>
      <c r="G87" s="38" t="str">
        <f>IFERROR(VLOOKUP($B87,대상!$B:$AC,MATCH(G$2,대상!$1:$1,0)-1,FALSE),"")</f>
        <v/>
      </c>
      <c r="H87" s="33">
        <f>IFERROR(VLOOKUP($B87,[1]평가!$B:$Z,MATCH(LEFT(H$2,2),[1]평가!$7:$7,0)-1,FALSE),"")</f>
        <v>0</v>
      </c>
      <c r="I87" s="36">
        <f>IFERROR(VLOOKUP($B87,[1]평가!$B:$Z,MATCH(LEFT(I$2,2),[1]평가!$7:$7,0)-1,FALSE),"")</f>
        <v>81</v>
      </c>
      <c r="J87" s="36">
        <f>IFERROR(VLOOKUP($B87,[1]평가!$B:$Z,MATCH(LEFT(J$2,2),[1]평가!$7:$7,0)-1,FALSE),"")</f>
        <v>37</v>
      </c>
      <c r="K87" s="33">
        <f>IFERROR(VLOOKUP($B87,[2]평가!$B:$Z,MATCH(LEFT(K$2,2),[2]평가!$7:$7,0)-1,FALSE),"")</f>
        <v>0</v>
      </c>
      <c r="L87" s="36">
        <f>IFERROR(VLOOKUP($B87,[2]평가!$B:$Z,MATCH(LEFT(L$2,2),[2]평가!$7:$7,0)-1,FALSE),"")</f>
        <v>75</v>
      </c>
      <c r="M87" s="39">
        <f>IFERROR(VLOOKUP($B87,[2]평가!$B:$Z,MATCH(LEFT(M$2,2),[2]평가!$7:$7,0)-1,FALSE),"")</f>
        <v>74</v>
      </c>
      <c r="N87" s="33">
        <f>IFERROR(VLOOKUP($B87,[3]평가!$B:$Z,MATCH(LEFT(N$2,2),[3]평가!$7:$7,0)-1,FALSE),"")</f>
        <v>0</v>
      </c>
      <c r="O87" s="36">
        <f>IFERROR(VLOOKUP($B87,[3]평가!$B:$Z,MATCH(LEFT(O$2,2),[3]평가!$7:$7,0)-1,FALSE),"")</f>
        <v>71</v>
      </c>
      <c r="P87" s="39">
        <f>IFERROR(VLOOKUP($B87,[3]평가!$B:$Z,MATCH(LEFT(P$2,2),[3]평가!$7:$7,0)-1,FALSE),"")</f>
        <v>81</v>
      </c>
      <c r="Q87" s="33">
        <f>IFERROR(VLOOKUP($B87,[4]평가!$B:$Z,MATCH(LEFT(Q$2,2),[4]평가!$7:$7,0)-1,FALSE),"")</f>
        <v>0</v>
      </c>
      <c r="R87" s="36">
        <f>IFERROR(VLOOKUP($B87,[4]평가!$B:$Z,MATCH(LEFT(R$2,2),[4]평가!$7:$7,0)-1,FALSE),"")</f>
        <v>84</v>
      </c>
      <c r="S87" s="39">
        <f>IFERROR(VLOOKUP($B87,[4]평가!$B:$Z,MATCH(LEFT(S$2,2),[4]평가!$7:$7,0)-1,FALSE),"")</f>
        <v>35</v>
      </c>
      <c r="T87" s="33">
        <f>IFERROR(VLOOKUP($B87,[5]평가!$B:$Z,MATCH(LEFT(T$2,2),[5]평가!$7:$7,0)-1,FALSE),"")</f>
        <v>0</v>
      </c>
      <c r="U87" s="36">
        <f>IFERROR(VLOOKUP($B87,[5]평가!$B:$Z,MATCH(LEFT(U$2,2),[5]평가!$7:$7,0)-1,FALSE),"")</f>
        <v>68</v>
      </c>
      <c r="V87" s="39">
        <f>IFERROR(VLOOKUP($B87,[5]평가!$B:$Z,MATCH(LEFT(V$2,2),[5]평가!$7:$7,0)-1,FALSE),"")</f>
        <v>86</v>
      </c>
      <c r="W87" s="33">
        <f>IFERROR(VLOOKUP($B87,대상!$B:$AD,MATCH(W$2,대상!$1:$1,0)-1,FALSE),"")</f>
        <v>0</v>
      </c>
      <c r="X87" s="20">
        <f>IF(ISBLANK(B87),"",T$1-COUNTIF(H87:V87,"회피"))</f>
        <v>5</v>
      </c>
      <c r="Y87" s="21">
        <f>IF($T$1=X87,(SUM(I87,L87,O87,R87,U87)-MIN(I87,L87,O87,R87,U87)-MAX(I87,L87,O87,R87,U87))/($T$1-2),SUM(I87,L87,O87,R87,U87/X87))</f>
        <v>75.666666666666671</v>
      </c>
      <c r="Z87" s="40">
        <f>IFERROR(VLOOKUP($B87,대상!$B:$AD,MATCH(Z$2,대상!$1:$1,0)-1,FALSE),0)</f>
        <v>0</v>
      </c>
      <c r="AA87" s="41">
        <f>IFERROR(IF(W87="면제","100"+Z87,Y87+Z87),"")</f>
        <v>75.666666666666671</v>
      </c>
      <c r="AB87" s="35" t="str">
        <f>IF(OR(W87="면제",N(Y87)=0),"",IF(AA87&lt;60,"과락",""))</f>
        <v/>
      </c>
      <c r="AC87" s="54">
        <f>IF(N(AA87)=0,"",RANK(AA87,AA$3:AA$202))</f>
        <v>85</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_x000D_②목표 제품의 개발방향과 사업화 전략은 양호하게 구성되어있으나 기존 판매 또는 유사개발 제품과의 차별성과 시장 현황에 대한 조사가 미흡하고 관련제품에 대한 지적 재산권 확보 방안이 부족함 _x000D_③사업의 배경 및 문제 해결의 필요성은 비교적 명확하게 작성되었습니다.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인식이 비교적 명확하게 제시가 되어 있으며, 사업화 가능성을 검토한 수준도 양호하다고 판단 됨.  _x000D_⑤두피세정 및 모발코팅을 동시에 구현한 기능성 헤어케어 제품을 창업아이템으로 하는 사업의 필요성과 사업의 타당성에 대해 잘 설명되어져 있다. 다만, 실제 구현한 제품의 효용성과 기존 제품들과의 비교를 통해 얻어지는 기술의 우위성 부분이 드러나 있지 않아 보완이 필요하다.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hidden="1" customHeight="1" x14ac:dyDescent="0.35">
      <c r="A88" s="4">
        <v>120</v>
      </c>
      <c r="B88" s="2">
        <v>20430395</v>
      </c>
      <c r="C88" s="38" t="str">
        <f>IFERROR(VLOOKUP($B88,대상!$B:$AC,MATCH(C$2,대상!$1:$1,0)-1,FALSE),"")</f>
        <v>지역기반</v>
      </c>
      <c r="D88" s="38" t="str">
        <f>IFERROR(VLOOKUP($B88,대상!$B:$AC,MATCH(D$2,대상!$1:$1,0)-1,FALSE),"")</f>
        <v>권슬기</v>
      </c>
      <c r="E88" s="36" t="str">
        <f>IFERROR(VLOOKUP($B88,대상!$B:$AC,MATCH(E$2,대상!$1:$1,0)-1,FALSE),"")</f>
        <v>화공ㆍ섬유</v>
      </c>
      <c r="F88" s="38" t="str">
        <f>IFERROR(VLOOKUP($B88,대상!$B:$AC,MATCH(F$2,대상!$1:$1,0)-1,FALSE),"")</f>
        <v>고양이와 안전하게 외출할 수 있는 슬개골‧디스크 케어 이동가방</v>
      </c>
      <c r="G88" s="38" t="str">
        <f>IFERROR(VLOOKUP($B88,대상!$B:$AC,MATCH(G$2,대상!$1:$1,0)-1,FALSE),"")</f>
        <v/>
      </c>
      <c r="H88" s="33">
        <f>IFERROR(VLOOKUP($B88,[1]평가!$B:$Z,MATCH(LEFT(H$2,2),[1]평가!$7:$7,0)-1,FALSE),"")</f>
        <v>0</v>
      </c>
      <c r="I88" s="36">
        <f>IFERROR(VLOOKUP($B88,[1]평가!$B:$Z,MATCH(LEFT(I$2,2),[1]평가!$7:$7,0)-1,FALSE),"")</f>
        <v>80</v>
      </c>
      <c r="J88" s="36">
        <f>IFERROR(VLOOKUP($B88,[1]평가!$B:$Z,MATCH(LEFT(J$2,2),[1]평가!$7:$7,0)-1,FALSE),"")</f>
        <v>31</v>
      </c>
      <c r="K88" s="33">
        <f>IFERROR(VLOOKUP($B88,[2]평가!$B:$Z,MATCH(LEFT(K$2,2),[2]평가!$7:$7,0)-1,FALSE),"")</f>
        <v>0</v>
      </c>
      <c r="L88" s="36">
        <f>IFERROR(VLOOKUP($B88,[2]평가!$B:$Z,MATCH(LEFT(L$2,2),[2]평가!$7:$7,0)-1,FALSE),"")</f>
        <v>74</v>
      </c>
      <c r="M88" s="39">
        <f>IFERROR(VLOOKUP($B88,[2]평가!$B:$Z,MATCH(LEFT(M$2,2),[2]평가!$7:$7,0)-1,FALSE),"")</f>
        <v>67</v>
      </c>
      <c r="N88" s="33">
        <f>IFERROR(VLOOKUP($B88,[3]평가!$B:$Z,MATCH(LEFT(N$2,2),[3]평가!$7:$7,0)-1,FALSE),"")</f>
        <v>0</v>
      </c>
      <c r="O88" s="36">
        <f>IFERROR(VLOOKUP($B88,[3]평가!$B:$Z,MATCH(LEFT(O$2,2),[3]평가!$7:$7,0)-1,FALSE),"")</f>
        <v>67</v>
      </c>
      <c r="P88" s="39">
        <f>IFERROR(VLOOKUP($B88,[3]평가!$B:$Z,MATCH(LEFT(P$2,2),[3]평가!$7:$7,0)-1,FALSE),"")</f>
        <v>88</v>
      </c>
      <c r="Q88" s="33">
        <f>IFERROR(VLOOKUP($B88,[4]평가!$B:$Z,MATCH(LEFT(Q$2,2),[4]평가!$7:$7,0)-1,FALSE),"")</f>
        <v>0</v>
      </c>
      <c r="R88" s="36">
        <f>IFERROR(VLOOKUP($B88,[4]평가!$B:$Z,MATCH(LEFT(R$2,2),[4]평가!$7:$7,0)-1,FALSE),"")</f>
        <v>81</v>
      </c>
      <c r="S88" s="39">
        <f>IFERROR(VLOOKUP($B88,[4]평가!$B:$Z,MATCH(LEFT(S$2,2),[4]평가!$7:$7,0)-1,FALSE),"")</f>
        <v>39</v>
      </c>
      <c r="T88" s="33">
        <f>IFERROR(VLOOKUP($B88,[5]평가!$B:$Z,MATCH(LEFT(T$2,2),[5]평가!$7:$7,0)-1,FALSE),"")</f>
        <v>0</v>
      </c>
      <c r="U88" s="36">
        <f>IFERROR(VLOOKUP($B88,[5]평가!$B:$Z,MATCH(LEFT(U$2,2),[5]평가!$7:$7,0)-1,FALSE),"")</f>
        <v>64</v>
      </c>
      <c r="V88" s="39">
        <f>IFERROR(VLOOKUP($B88,[5]평가!$B:$Z,MATCH(LEFT(V$2,2),[5]평가!$7:$7,0)-1,FALSE),"")</f>
        <v>100</v>
      </c>
      <c r="W88" s="33">
        <f>IFERROR(VLOOKUP($B88,대상!$B:$AD,MATCH(W$2,대상!$1:$1,0)-1,FALSE),"")</f>
        <v>0</v>
      </c>
      <c r="X88" s="20">
        <f>IF(ISBLANK(B88),"",T$1-COUNTIF(H88:V88,"회피"))</f>
        <v>5</v>
      </c>
      <c r="Y88" s="21">
        <f>IF($T$1=X88,(SUM(I88,L88,O88,R88,U88)-MIN(I88,L88,O88,R88,U88)-MAX(I88,L88,O88,R88,U88))/($T$1-2),SUM(I88,L88,O88,R88,U88/X88))</f>
        <v>73.666666666666671</v>
      </c>
      <c r="Z88" s="40">
        <f>IFERROR(VLOOKUP($B88,대상!$B:$AD,MATCH(Z$2,대상!$1:$1,0)-1,FALSE),0)</f>
        <v>2</v>
      </c>
      <c r="AA88" s="41">
        <f>IFERROR(IF(W88="면제","100"+Z88,Y88+Z88),"")</f>
        <v>75.666666666666671</v>
      </c>
      <c r="AB88" s="35" t="str">
        <f>IF(OR(W88="면제",N(Y88)=0),"",IF(AA88&lt;60,"과락",""))</f>
        <v/>
      </c>
      <c r="AC88" s="54">
        <f>IF(N(AA88)=0,"",RANK(AA88,AA$3:AA$202))</f>
        <v>85</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①-소비자의 니즈 및 기존시장의 유사제품에 대한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_x000D_②소비자의 편의성과 수요 제품의 부분적 시장에 대응하는 제품으로 기술적 난이도가 낮고 마켓팅 의존성이 높아 영업 연계가 용이하지 않을 것으로 판단됨. 유사 제품과의 경쟁력 확보에 대한 전략 수립이 필요함 _x000D_③대표자의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_x000D_④창업 동기와 문제 인식은 비교적 명확하게 제시가 되어 있으나, 실제 차별성이 기술 우위로 연결되는 설명은 다소 미흠 함. _x000D_⑤제시된 사업아이템은 객관성 있는 근거보다는 고객의 feedback을 중심으로 이루어져 있어 명확하지 않은 부분이 다소 있다. 펫의 위해성이나 안전성에 대해서 프리미엄급 품질을 언급하고 있으나 이에 대한 객관화 검증된 근거가 없다.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hidden="1" customHeight="1" x14ac:dyDescent="0.35">
      <c r="A89" s="4">
        <v>38</v>
      </c>
      <c r="B89" s="2">
        <v>20401779</v>
      </c>
      <c r="C89" s="38" t="str">
        <f>IFERROR(VLOOKUP($B89,대상!$B:$AC,MATCH(C$2,대상!$1:$1,0)-1,FALSE),"")</f>
        <v>지역기반</v>
      </c>
      <c r="D89" s="38" t="str">
        <f>IFERROR(VLOOKUP($B89,대상!$B:$AC,MATCH(D$2,대상!$1:$1,0)-1,FALSE),"")</f>
        <v>김병만</v>
      </c>
      <c r="E89" s="36" t="str">
        <f>IFERROR(VLOOKUP($B89,대상!$B:$AC,MATCH(E$2,대상!$1:$1,0)-1,FALSE),"")</f>
        <v>화공ㆍ섬유</v>
      </c>
      <c r="F89" s="38" t="str">
        <f>IFERROR(VLOOKUP($B89,대상!$B:$AC,MATCH(F$2,대상!$1:$1,0)-1,FALSE),"")</f>
        <v>안자극이 없는 수경 안티포그액</v>
      </c>
      <c r="G89" s="38" t="str">
        <f>IFERROR(VLOOKUP($B89,대상!$B:$AC,MATCH(G$2,대상!$1:$1,0)-1,FALSE),"")</f>
        <v/>
      </c>
      <c r="H89" s="33">
        <f>IFERROR(VLOOKUP($B89,[1]평가!$B:$Z,MATCH(LEFT(H$2,2),[1]평가!$7:$7,0)-1,FALSE),"")</f>
        <v>0</v>
      </c>
      <c r="I89" s="36">
        <f>IFERROR(VLOOKUP($B89,[1]평가!$B:$Z,MATCH(LEFT(I$2,2),[1]평가!$7:$7,0)-1,FALSE),"")</f>
        <v>83</v>
      </c>
      <c r="J89" s="36">
        <f>IFERROR(VLOOKUP($B89,[1]평가!$B:$Z,MATCH(LEFT(J$2,2),[1]평가!$7:$7,0)-1,FALSE),"")</f>
        <v>22</v>
      </c>
      <c r="K89" s="33">
        <f>IFERROR(VLOOKUP($B89,[2]평가!$B:$Z,MATCH(LEFT(K$2,2),[2]평가!$7:$7,0)-1,FALSE),"")</f>
        <v>0</v>
      </c>
      <c r="L89" s="36">
        <f>IFERROR(VLOOKUP($B89,[2]평가!$B:$Z,MATCH(LEFT(L$2,2),[2]평가!$7:$7,0)-1,FALSE),"")</f>
        <v>86</v>
      </c>
      <c r="M89" s="39">
        <f>IFERROR(VLOOKUP($B89,[2]평가!$B:$Z,MATCH(LEFT(M$2,2),[2]평가!$7:$7,0)-1,FALSE),"")</f>
        <v>13</v>
      </c>
      <c r="N89" s="33">
        <f>IFERROR(VLOOKUP($B89,[3]평가!$B:$Z,MATCH(LEFT(N$2,2),[3]평가!$7:$7,0)-1,FALSE),"")</f>
        <v>0</v>
      </c>
      <c r="O89" s="36">
        <f>IFERROR(VLOOKUP($B89,[3]평가!$B:$Z,MATCH(LEFT(O$2,2),[3]평가!$7:$7,0)-1,FALSE),"")</f>
        <v>70</v>
      </c>
      <c r="P89" s="39">
        <f>IFERROR(VLOOKUP($B89,[3]평가!$B:$Z,MATCH(LEFT(P$2,2),[3]평가!$7:$7,0)-1,FALSE),"")</f>
        <v>84</v>
      </c>
      <c r="Q89" s="33">
        <f>IFERROR(VLOOKUP($B89,[4]평가!$B:$Z,MATCH(LEFT(Q$2,2),[4]평가!$7:$7,0)-1,FALSE),"")</f>
        <v>0</v>
      </c>
      <c r="R89" s="36">
        <f>IFERROR(VLOOKUP($B89,[4]평가!$B:$Z,MATCH(LEFT(R$2,2),[4]평가!$7:$7,0)-1,FALSE),"")</f>
        <v>72</v>
      </c>
      <c r="S89" s="39">
        <f>IFERROR(VLOOKUP($B89,[4]평가!$B:$Z,MATCH(LEFT(S$2,2),[4]평가!$7:$7,0)-1,FALSE),"")</f>
        <v>95</v>
      </c>
      <c r="T89" s="33">
        <f>IFERROR(VLOOKUP($B89,[5]평가!$B:$Z,MATCH(LEFT(T$2,2),[5]평가!$7:$7,0)-1,FALSE),"")</f>
        <v>0</v>
      </c>
      <c r="U89" s="36">
        <f>IFERROR(VLOOKUP($B89,[5]평가!$B:$Z,MATCH(LEFT(U$2,2),[5]평가!$7:$7,0)-1,FALSE),"")</f>
        <v>66</v>
      </c>
      <c r="V89" s="39">
        <f>IFERROR(VLOOKUP($B89,[5]평가!$B:$Z,MATCH(LEFT(V$2,2),[5]평가!$7:$7,0)-1,FALSE),"")</f>
        <v>100</v>
      </c>
      <c r="W89" s="33">
        <f>IFERROR(VLOOKUP($B89,대상!$B:$AD,MATCH(W$2,대상!$1:$1,0)-1,FALSE),"")</f>
        <v>0</v>
      </c>
      <c r="X89" s="20">
        <f>IF(ISBLANK(B89),"",T$1-COUNTIF(H89:V89,"회피"))</f>
        <v>5</v>
      </c>
      <c r="Y89" s="21">
        <f>IF($T$1=X89,(SUM(I89,L89,O89,R89,U89)-MIN(I89,L89,O89,R89,U89)-MAX(I89,L89,O89,R89,U89))/($T$1-2),SUM(I89,L89,O89,R89,U89/X89))</f>
        <v>75</v>
      </c>
      <c r="Z89" s="40">
        <f>IFERROR(VLOOKUP($B89,대상!$B:$AD,MATCH(Z$2,대상!$1:$1,0)-1,FALSE),0)</f>
        <v>0</v>
      </c>
      <c r="AA89" s="41">
        <f>IFERROR(IF(W89="면제","100"+Z89,Y89+Z89),"")</f>
        <v>75</v>
      </c>
      <c r="AB89" s="35" t="str">
        <f>IF(OR(W89="면제",N(Y89)=0),"",IF(AA89&lt;60,"과락",""))</f>
        <v/>
      </c>
      <c r="AC89" s="54">
        <f>IF(N(AA89)=0,"",RANK(AA89,AA$3:AA$202))</f>
        <v>89</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①-사업의 지속성 확보를 위해 수익창출을 기반으로 한 마케팅전략에 대해서 보다 상세한 설명이 필요해 보입니다.
-창업지원 사업의 성격을 고려한 정량적 KPI설정 및 달성방안에 대한 설명이 필요해 보입니다.  _x000D_②소비층 및 시장 규모에 대응한 차별성 소재 개발로 저자극성에 대한 소비층 형성이 가능하고 소재 기술이 확보되어 향후 매출 가능성이 높을 것으로 판단됨 . 시장 진입 및 사업화 확장 전략 수립이 양호하게 제시되었슴 _x000D_③수익 구조가 단순 판매에 치중되어 있고 매출 산출 근거가 낙관적임. 이러한 차별성이 실질적인 기술적 우위로 이어지는 근거가 다소 부족합니다. 차별화의 방향성은 타당하나, 독보적인 경쟁력을 증명하기 위한 추가 확인이 필요합니다. _x000D_④창업동기와 문제인식은 비교적 명확하게 제시되었으나, 실제 현장에서의 적용성에 대한 검증이 다소 미흡한 것으로 판단 됨. _x000D_⑤안티포그를 위해서 기존 수경의 인체유해성과 차별되는 새로운 물질을 도입하고자 하는 보고서의 내용이 잘 정리되었다. 다만 신규물질에 대한 매출부분외에 설명이 부족하며 기존 제품들과의 차별성 및 인체무해성이 나타나 있지 않은 부분과 차별성을 마케팅하기 위한 전략적인 부분에 대해 보완이 필요하다.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hidden="1" customHeight="1" x14ac:dyDescent="0.35">
      <c r="A90" s="4">
        <v>116</v>
      </c>
      <c r="B90" s="2">
        <v>20427672</v>
      </c>
      <c r="C90" s="38" t="str">
        <f>IFERROR(VLOOKUP($B90,대상!$B:$AC,MATCH(C$2,대상!$1:$1,0)-1,FALSE),"")</f>
        <v>지역기반</v>
      </c>
      <c r="D90" s="38" t="str">
        <f>IFERROR(VLOOKUP($B90,대상!$B:$AC,MATCH(D$2,대상!$1:$1,0)-1,FALSE),"")</f>
        <v>박은미</v>
      </c>
      <c r="E90" s="36" t="str">
        <f>IFERROR(VLOOKUP($B90,대상!$B:$AC,MATCH(E$2,대상!$1:$1,0)-1,FALSE),"")</f>
        <v>화공ㆍ섬유</v>
      </c>
      <c r="F90" s="38" t="str">
        <f>IFERROR(VLOOKUP($B90,대상!$B:$AC,MATCH(F$2,대상!$1:$1,0)-1,FALSE),"")</f>
        <v>연화소재 기반 K-유자껍질 업사이클링 원료와 PLA 친환경 패키징을 활용하여 국내외로 지속가능 웰니스 경험을 선사하는 바디케어(바디로션) 제품 개발</v>
      </c>
      <c r="G90" s="38" t="str">
        <f>IFERROR(VLOOKUP($B90,대상!$B:$AC,MATCH(G$2,대상!$1:$1,0)-1,FALSE),"")</f>
        <v/>
      </c>
      <c r="H90" s="33">
        <f>IFERROR(VLOOKUP($B90,[1]평가!$B:$Z,MATCH(LEFT(H$2,2),[1]평가!$7:$7,0)-1,FALSE),"")</f>
        <v>0</v>
      </c>
      <c r="I90" s="36">
        <f>IFERROR(VLOOKUP($B90,[1]평가!$B:$Z,MATCH(LEFT(I$2,2),[1]평가!$7:$7,0)-1,FALSE),"")</f>
        <v>77</v>
      </c>
      <c r="J90" s="36">
        <f>IFERROR(VLOOKUP($B90,[1]평가!$B:$Z,MATCH(LEFT(J$2,2),[1]평가!$7:$7,0)-1,FALSE),"")</f>
        <v>70</v>
      </c>
      <c r="K90" s="33">
        <f>IFERROR(VLOOKUP($B90,[2]평가!$B:$Z,MATCH(LEFT(K$2,2),[2]평가!$7:$7,0)-1,FALSE),"")</f>
        <v>0</v>
      </c>
      <c r="L90" s="36">
        <f>IFERROR(VLOOKUP($B90,[2]평가!$B:$Z,MATCH(LEFT(L$2,2),[2]평가!$7:$7,0)-1,FALSE),"")</f>
        <v>69</v>
      </c>
      <c r="M90" s="39">
        <f>IFERROR(VLOOKUP($B90,[2]평가!$B:$Z,MATCH(LEFT(M$2,2),[2]평가!$7:$7,0)-1,FALSE),"")</f>
        <v>88</v>
      </c>
      <c r="N90" s="33">
        <f>IFERROR(VLOOKUP($B90,[3]평가!$B:$Z,MATCH(LEFT(N$2,2),[3]평가!$7:$7,0)-1,FALSE),"")</f>
        <v>0</v>
      </c>
      <c r="O90" s="36">
        <f>IFERROR(VLOOKUP($B90,[3]평가!$B:$Z,MATCH(LEFT(O$2,2),[3]평가!$7:$7,0)-1,FALSE),"")</f>
        <v>75</v>
      </c>
      <c r="P90" s="39">
        <f>IFERROR(VLOOKUP($B90,[3]평가!$B:$Z,MATCH(LEFT(P$2,2),[3]평가!$7:$7,0)-1,FALSE),"")</f>
        <v>59</v>
      </c>
      <c r="Q90" s="33">
        <f>IFERROR(VLOOKUP($B90,[4]평가!$B:$Z,MATCH(LEFT(Q$2,2),[4]평가!$7:$7,0)-1,FALSE),"")</f>
        <v>0</v>
      </c>
      <c r="R90" s="36">
        <f>IFERROR(VLOOKUP($B90,[4]평가!$B:$Z,MATCH(LEFT(R$2,2),[4]평가!$7:$7,0)-1,FALSE),"")</f>
        <v>82</v>
      </c>
      <c r="S90" s="39">
        <f>IFERROR(VLOOKUP($B90,[4]평가!$B:$Z,MATCH(LEFT(S$2,2),[4]평가!$7:$7,0)-1,FALSE),"")</f>
        <v>41</v>
      </c>
      <c r="T90" s="33">
        <f>IFERROR(VLOOKUP($B90,[5]평가!$B:$Z,MATCH(LEFT(T$2,2),[5]평가!$7:$7,0)-1,FALSE),"")</f>
        <v>0</v>
      </c>
      <c r="U90" s="36">
        <f>IFERROR(VLOOKUP($B90,[5]평가!$B:$Z,MATCH(LEFT(U$2,2),[5]평가!$7:$7,0)-1,FALSE),"")</f>
        <v>73</v>
      </c>
      <c r="V90" s="39">
        <f>IFERROR(VLOOKUP($B90,[5]평가!$B:$Z,MATCH(LEFT(V$2,2),[5]평가!$7:$7,0)-1,FALSE),"")</f>
        <v>71</v>
      </c>
      <c r="W90" s="33">
        <f>IFERROR(VLOOKUP($B90,대상!$B:$AD,MATCH(W$2,대상!$1:$1,0)-1,FALSE),"")</f>
        <v>0</v>
      </c>
      <c r="X90" s="20">
        <f>IF(ISBLANK(B90),"",T$1-COUNTIF(H90:V90,"회피"))</f>
        <v>5</v>
      </c>
      <c r="Y90" s="21">
        <f>IF($T$1=X90,(SUM(I90,L90,O90,R90,U90)-MIN(I90,L90,O90,R90,U90)-MAX(I90,L90,O90,R90,U90))/($T$1-2),SUM(I90,L90,O90,R90,U90/X90))</f>
        <v>75</v>
      </c>
      <c r="Z90" s="40">
        <f>IFERROR(VLOOKUP($B90,대상!$B:$AD,MATCH(Z$2,대상!$1:$1,0)-1,FALSE),0)</f>
        <v>0</v>
      </c>
      <c r="AA90" s="41">
        <f>IFERROR(IF(W90="면제","100"+Z90,Y90+Z90),"")</f>
        <v>75</v>
      </c>
      <c r="AB90" s="35" t="str">
        <f>IF(OR(W90="면제",N(Y90)=0),"",IF(AA90&lt;60,"과락",""))</f>
        <v/>
      </c>
      <c r="AC90" s="54">
        <f>IF(N(AA90)=0,"",RANK(AA90,AA$3:AA$202))</f>
        <v>89</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_x000D_②유자 껍질 부산물과 생분해성 포장지 등 패키지를 친환경 트렌드에 대응하는 제품 개발의 의미는 있으나 개발이 용이하고 기술적 차별성이 미흡함.  시장 경쟁력 강화 방안화 경쟁 제품과의 차별성 방안 제시가 미흡함  _x000D_③대표자의 유관 분야 경력과전문 역량은 신뢰할 만한 수준입니다. 
경쟁우위요소를 발굴하여 제시한점은 고무적이나 차별화 포인트가 실질적인 기술적 진입장벽이나 우위로 이어진다는 객관적 근거가 다소 미흡합니다.  _x000D_④창업아이템의 개발 배경과 목적이 비교적 명확하게 제시되었으며, 사업화 가능성을 검토한 수준도 비교적 양호하다고 판단 됨. _x000D_⑤친환경 바디케어 제품에 대한 창업아이템을 기반으로 하여 아이템에 대한 상세한 설명과 그 시장성에 대해서 잘 설명되어져 있다. 다만, 실질적인 인체위해성에 대한 검증이나 이를 위한 기술적 방안들에 대한 설명이 미흡한 부분은 아쉽다 하겠다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hidden="1" customHeight="1" x14ac:dyDescent="0.35">
      <c r="A91" s="4">
        <v>44</v>
      </c>
      <c r="B91" s="2">
        <v>20407919</v>
      </c>
      <c r="C91" s="38" t="str">
        <f>IFERROR(VLOOKUP($B91,대상!$B:$AC,MATCH(C$2,대상!$1:$1,0)-1,FALSE),"")</f>
        <v>지역기반</v>
      </c>
      <c r="D91" s="38" t="str">
        <f>IFERROR(VLOOKUP($B91,대상!$B:$AC,MATCH(D$2,대상!$1:$1,0)-1,FALSE),"")</f>
        <v>박은지</v>
      </c>
      <c r="E91" s="36" t="str">
        <f>IFERROR(VLOOKUP($B91,대상!$B:$AC,MATCH(E$2,대상!$1:$1,0)-1,FALSE),"")</f>
        <v>화공ㆍ섬유</v>
      </c>
      <c r="F91" s="38" t="str">
        <f>IFERROR(VLOOKUP($B91,대상!$B:$AC,MATCH(F$2,대상!$1:$1,0)-1,FALSE),"")</f>
        <v>세제를 함유하고 간편한 일회용 건식 수세미</v>
      </c>
      <c r="G91" s="38" t="str">
        <f>IFERROR(VLOOKUP($B91,대상!$B:$AC,MATCH(G$2,대상!$1:$1,0)-1,FALSE),"")</f>
        <v/>
      </c>
      <c r="H91" s="33">
        <f>IFERROR(VLOOKUP($B91,[1]평가!$B:$Z,MATCH(LEFT(H$2,2),[1]평가!$7:$7,0)-1,FALSE),"")</f>
        <v>0</v>
      </c>
      <c r="I91" s="36">
        <f>IFERROR(VLOOKUP($B91,[1]평가!$B:$Z,MATCH(LEFT(I$2,2),[1]평가!$7:$7,0)-1,FALSE),"")</f>
        <v>72</v>
      </c>
      <c r="J91" s="36">
        <f>IFERROR(VLOOKUP($B91,[1]평가!$B:$Z,MATCH(LEFT(J$2,2),[1]평가!$7:$7,0)-1,FALSE),"")</f>
        <v>104</v>
      </c>
      <c r="K91" s="33">
        <f>IFERROR(VLOOKUP($B91,[2]평가!$B:$Z,MATCH(LEFT(K$2,2),[2]평가!$7:$7,0)-1,FALSE),"")</f>
        <v>0</v>
      </c>
      <c r="L91" s="36">
        <f>IFERROR(VLOOKUP($B91,[2]평가!$B:$Z,MATCH(LEFT(L$2,2),[2]평가!$7:$7,0)-1,FALSE),"")</f>
        <v>65</v>
      </c>
      <c r="M91" s="39">
        <f>IFERROR(VLOOKUP($B91,[2]평가!$B:$Z,MATCH(LEFT(M$2,2),[2]평가!$7:$7,0)-1,FALSE),"")</f>
        <v>110</v>
      </c>
      <c r="N91" s="33">
        <f>IFERROR(VLOOKUP($B91,[3]평가!$B:$Z,MATCH(LEFT(N$2,2),[3]평가!$7:$7,0)-1,FALSE),"")</f>
        <v>0</v>
      </c>
      <c r="O91" s="36">
        <f>IFERROR(VLOOKUP($B91,[3]평가!$B:$Z,MATCH(LEFT(O$2,2),[3]평가!$7:$7,0)-1,FALSE),"")</f>
        <v>83</v>
      </c>
      <c r="P91" s="39">
        <f>IFERROR(VLOOKUP($B91,[3]평가!$B:$Z,MATCH(LEFT(P$2,2),[3]평가!$7:$7,0)-1,FALSE),"")</f>
        <v>35</v>
      </c>
      <c r="Q91" s="33">
        <f>IFERROR(VLOOKUP($B91,[4]평가!$B:$Z,MATCH(LEFT(Q$2,2),[4]평가!$7:$7,0)-1,FALSE),"")</f>
        <v>0</v>
      </c>
      <c r="R91" s="36">
        <f>IFERROR(VLOOKUP($B91,[4]평가!$B:$Z,MATCH(LEFT(R$2,2),[4]평가!$7:$7,0)-1,FALSE),"")</f>
        <v>74</v>
      </c>
      <c r="S91" s="39">
        <f>IFERROR(VLOOKUP($B91,[4]평가!$B:$Z,MATCH(LEFT(S$2,2),[4]평가!$7:$7,0)-1,FALSE),"")</f>
        <v>85</v>
      </c>
      <c r="T91" s="33">
        <f>IFERROR(VLOOKUP($B91,[5]평가!$B:$Z,MATCH(LEFT(T$2,2),[5]평가!$7:$7,0)-1,FALSE),"")</f>
        <v>0</v>
      </c>
      <c r="U91" s="36">
        <f>IFERROR(VLOOKUP($B91,[5]평가!$B:$Z,MATCH(LEFT(U$2,2),[5]평가!$7:$7,0)-1,FALSE),"")</f>
        <v>77</v>
      </c>
      <c r="V91" s="39">
        <f>IFERROR(VLOOKUP($B91,[5]평가!$B:$Z,MATCH(LEFT(V$2,2),[5]평가!$7:$7,0)-1,FALSE),"")</f>
        <v>50</v>
      </c>
      <c r="W91" s="33">
        <f>IFERROR(VLOOKUP($B91,대상!$B:$AD,MATCH(W$2,대상!$1:$1,0)-1,FALSE),"")</f>
        <v>0</v>
      </c>
      <c r="X91" s="20">
        <f>IF(ISBLANK(B91),"",T$1-COUNTIF(H91:V91,"회피"))</f>
        <v>5</v>
      </c>
      <c r="Y91" s="21">
        <f>IF($T$1=X91,(SUM(I91,L91,O91,R91,U91)-MIN(I91,L91,O91,R91,U91)-MAX(I91,L91,O91,R91,U91))/($T$1-2),SUM(I91,L91,O91,R91,U91/X91))</f>
        <v>74.333333333333329</v>
      </c>
      <c r="Z91" s="40">
        <f>IFERROR(VLOOKUP($B91,대상!$B:$AD,MATCH(Z$2,대상!$1:$1,0)-1,FALSE),0)</f>
        <v>0</v>
      </c>
      <c r="AA91" s="41">
        <f>IFERROR(IF(W91="면제","100"+Z91,Y91+Z91),"")</f>
        <v>74.333333333333329</v>
      </c>
      <c r="AB91" s="35" t="str">
        <f>IF(OR(W91="면제",N(Y91)=0),"",IF(AA91&lt;60,"과락",""))</f>
        <v/>
      </c>
      <c r="AC91" s="54">
        <f>IF(N(AA91)=0,"",RANK(AA91,AA$3:AA$202))</f>
        <v>91</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①-사업화 아이템의 성공가능성 향상을 위해 기존 시장 제품에 대한 경쟁력 강화를 위한 방안 검토가 필요해 보입니다.
-창업지원사업의 성격을 고려한 정량적성과목표의 달성방안에 대한 구체적인 설명이 필요해 보입니다. _x000D_②개발제품의 기존 제품과의 일부 차별성은 있으나 개발 효과에 의한 매출 기대는 다소 낮으며 유사 제품과의 경쟁력  확보가 어려울 것으로 판단되며 사업화를 위한 부가성 확보 방안이 필요할 것으로 사료됨 _x000D_③아이템의 핵심 기능과 구체적인 활용 방안이 잘 정리되어 있으며, 기술적 구현 방법과 사업화 전략이 논리적으로 연결. 
전달하고자 하는 가치는 충분히 매력적이니 마케팅과 판로개척에 대해서는 추가적 검토 요구됨
사업의 본질에 집중하도록 예산을 재배정한다면 훨씬 탄탄한 성장이 가능할 것임 _x000D_④창업동기와 문제 인식은 비교적 명확하게 제시되었으나, 실제 적용시 사업성에 대한 검토가 미흡한 것으로 판단 됨. _x000D_⑤일회용 제품이기는 하나 별도 세제사용이 어려운 환경에서나 다양한 세정성을 부여할 수 있다는 차별성 부분에서 잘 정리되어져 있다. 다만, 일회용 수세미가 충분히 유통되고 있는 시장의 특성상 마찬가지로 친환경적인 이미지를 가지기 어려우며, 적극적인 시장진출을 위해서는 개발제품이 기존 타 제품대비 세정성의 기능면이나 환경면에서 우수한 장점이 보완되어야 한다.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hidden="1" customHeight="1" x14ac:dyDescent="0.35">
      <c r="A92" s="4">
        <v>18</v>
      </c>
      <c r="B92" s="2">
        <v>20422874</v>
      </c>
      <c r="C92" s="38" t="str">
        <f>IFERROR(VLOOKUP($B92,대상!$B:$AC,MATCH(C$2,대상!$1:$1,0)-1,FALSE),"")</f>
        <v>지역기반</v>
      </c>
      <c r="D92" s="38" t="str">
        <f>IFERROR(VLOOKUP($B92,대상!$B:$AC,MATCH(D$2,대상!$1:$1,0)-1,FALSE),"")</f>
        <v>전승훈</v>
      </c>
      <c r="E92" s="36" t="str">
        <f>IFERROR(VLOOKUP($B92,대상!$B:$AC,MATCH(E$2,대상!$1:$1,0)-1,FALSE),"")</f>
        <v>화공ㆍ섬유</v>
      </c>
      <c r="F92" s="38" t="str">
        <f>IFERROR(VLOOKUP($B92,대상!$B:$AC,MATCH(F$2,대상!$1:$1,0)-1,FALSE),"")</f>
        <v>굴패각과 리싸이클 패트병을 활용한 친환경 원단 개발 및 지속가능한 의류 제작</v>
      </c>
      <c r="G92" s="38" t="str">
        <f>IFERROR(VLOOKUP($B92,대상!$B:$AC,MATCH(G$2,대상!$1:$1,0)-1,FALSE),"")</f>
        <v/>
      </c>
      <c r="H92" s="33">
        <f>IFERROR(VLOOKUP($B92,[1]평가!$B:$Z,MATCH(LEFT(H$2,2),[1]평가!$7:$7,0)-1,FALSE),"")</f>
        <v>0</v>
      </c>
      <c r="I92" s="36">
        <f>IFERROR(VLOOKUP($B92,[1]평가!$B:$Z,MATCH(LEFT(I$2,2),[1]평가!$7:$7,0)-1,FALSE),"")</f>
        <v>70</v>
      </c>
      <c r="J92" s="36">
        <f>IFERROR(VLOOKUP($B92,[1]평가!$B:$Z,MATCH(LEFT(J$2,2),[1]평가!$7:$7,0)-1,FALSE),"")</f>
        <v>108</v>
      </c>
      <c r="K92" s="33">
        <f>IFERROR(VLOOKUP($B92,[2]평가!$B:$Z,MATCH(LEFT(K$2,2),[2]평가!$7:$7,0)-1,FALSE),"")</f>
        <v>0</v>
      </c>
      <c r="L92" s="36">
        <f>IFERROR(VLOOKUP($B92,[2]평가!$B:$Z,MATCH(LEFT(L$2,2),[2]평가!$7:$7,0)-1,FALSE),"")</f>
        <v>73</v>
      </c>
      <c r="M92" s="39">
        <f>IFERROR(VLOOKUP($B92,[2]평가!$B:$Z,MATCH(LEFT(M$2,2),[2]평가!$7:$7,0)-1,FALSE),"")</f>
        <v>80</v>
      </c>
      <c r="N92" s="33">
        <f>IFERROR(VLOOKUP($B92,[3]평가!$B:$Z,MATCH(LEFT(N$2,2),[3]평가!$7:$7,0)-1,FALSE),"")</f>
        <v>0</v>
      </c>
      <c r="O92" s="36">
        <f>IFERROR(VLOOKUP($B92,[3]평가!$B:$Z,MATCH(LEFT(O$2,2),[3]평가!$7:$7,0)-1,FALSE),"")</f>
        <v>75</v>
      </c>
      <c r="P92" s="39">
        <f>IFERROR(VLOOKUP($B92,[3]평가!$B:$Z,MATCH(LEFT(P$2,2),[3]평가!$7:$7,0)-1,FALSE),"")</f>
        <v>59</v>
      </c>
      <c r="Q92" s="33">
        <f>IFERROR(VLOOKUP($B92,[4]평가!$B:$Z,MATCH(LEFT(Q$2,2),[4]평가!$7:$7,0)-1,FALSE),"")</f>
        <v>0</v>
      </c>
      <c r="R92" s="36">
        <f>IFERROR(VLOOKUP($B92,[4]평가!$B:$Z,MATCH(LEFT(R$2,2),[4]평가!$7:$7,0)-1,FALSE),"")</f>
        <v>74</v>
      </c>
      <c r="S92" s="39">
        <f>IFERROR(VLOOKUP($B92,[4]평가!$B:$Z,MATCH(LEFT(S$2,2),[4]평가!$7:$7,0)-1,FALSE),"")</f>
        <v>85</v>
      </c>
      <c r="T92" s="33">
        <f>IFERROR(VLOOKUP($B92,[5]평가!$B:$Z,MATCH(LEFT(T$2,2),[5]평가!$7:$7,0)-1,FALSE),"")</f>
        <v>0</v>
      </c>
      <c r="U92" s="36">
        <f>IFERROR(VLOOKUP($B92,[5]평가!$B:$Z,MATCH(LEFT(U$2,2),[5]평가!$7:$7,0)-1,FALSE),"")</f>
        <v>80</v>
      </c>
      <c r="V92" s="39">
        <f>IFERROR(VLOOKUP($B92,[5]평가!$B:$Z,MATCH(LEFT(V$2,2),[5]평가!$7:$7,0)-1,FALSE),"")</f>
        <v>42</v>
      </c>
      <c r="W92" s="33">
        <f>IFERROR(VLOOKUP($B92,대상!$B:$AD,MATCH(W$2,대상!$1:$1,0)-1,FALSE),"")</f>
        <v>0</v>
      </c>
      <c r="X92" s="20">
        <f>IF(ISBLANK(B92),"",T$1-COUNTIF(H92:V92,"회피"))</f>
        <v>5</v>
      </c>
      <c r="Y92" s="21">
        <f>IF($T$1=X92,(SUM(I92,L92,O92,R92,U92)-MIN(I92,L92,O92,R92,U92)-MAX(I92,L92,O92,R92,U92))/($T$1-2),SUM(I92,L92,O92,R92,U92/X92))</f>
        <v>74</v>
      </c>
      <c r="Z92" s="40">
        <f>IFERROR(VLOOKUP($B92,대상!$B:$AD,MATCH(Z$2,대상!$1:$1,0)-1,FALSE),0)</f>
        <v>0</v>
      </c>
      <c r="AA92" s="41">
        <f>IFERROR(IF(W92="면제","100"+Z92,Y92+Z92),"")</f>
        <v>74</v>
      </c>
      <c r="AB92" s="35" t="str">
        <f>IF(OR(W92="면제",N(Y92)=0),"",IF(AA92&lt;60,"과락",""))</f>
        <v/>
      </c>
      <c r="AC92" s="54">
        <f>IF(N(AA92)=0,"",RANK(AA92,AA$3:AA$202))</f>
        <v>92</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①-사업화 아이템의 성공가능성 향상을 위해 보다 다양한 측면에서 차별화 이슈의 도출 및 후발 경쟁자의 진입 억제를 위한 산업재산권 확보방안에 대한 고민이 필요해 보입니다.
-사업의 지속성 확보를 위해 보다 구체적인 수익 창출 방안에 대한 설명이 필요해 보입니다. _x000D_②자원재활용의 의미가 있고 의류 트렌드와 일치되는 제품개발로 상징성은 있으나 제품과 과정의 가치대비 가격경쟁력 확보와 시장 진입의 난이성으로 매출 효과 기대가 어려움 _x000D_③문제인식 및 근거 보완 (유의 사항)업사이클링 소재를 활용한 아이템의 핵심 기능과 구체적인 활용 방안이 잘 정리되어 있으며, 기술적 구현 방법과 사업화 전략이 논리적으로 연결됩니다
다만, 독보적인 경쟁력을 증명하기 위한 시장에 대한 객관적 지표와 추가 보완이 필요합니다. _x000D_④창업동기와 문제인식은 비교적 명확하게 제시되었으나, 시장규모와 고객 검증자료는 다소 미흡한 것으로 판단 됨. _x000D_⑤각종 부산물을 통해 친환경을 위한 원사나 원단을 개발하고자 하는 전략면에서 우수하다. 다만, 실제 이를 원사, 원단등의 제품화를 위한 기술력과 이러한 기술력을 바탕으로 한 시장 경쟁대비 경쟁력 확보면에서의 설명이 다소 아쉬운 부분이 있다.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hidden="1" customHeight="1" x14ac:dyDescent="0.35">
      <c r="A93" s="4">
        <v>67</v>
      </c>
      <c r="B93" s="2">
        <v>20420533</v>
      </c>
      <c r="C93" s="38" t="str">
        <f>IFERROR(VLOOKUP($B93,대상!$B:$AC,MATCH(C$2,대상!$1:$1,0)-1,FALSE),"")</f>
        <v>지역기반</v>
      </c>
      <c r="D93" s="38" t="str">
        <f>IFERROR(VLOOKUP($B93,대상!$B:$AC,MATCH(D$2,대상!$1:$1,0)-1,FALSE),"")</f>
        <v>유참얼</v>
      </c>
      <c r="E93" s="36" t="str">
        <f>IFERROR(VLOOKUP($B93,대상!$B:$AC,MATCH(E$2,대상!$1:$1,0)-1,FALSE),"")</f>
        <v>화공ㆍ섬유</v>
      </c>
      <c r="F93" s="38" t="str">
        <f>IFERROR(VLOOKUP($B93,대상!$B:$AC,MATCH(F$2,대상!$1:$1,0)-1,FALSE),"")</f>
        <v>소가죽 용접복의 문제점 해결 가능한 &amp;quot;재생가죽 용접복&amp;quot;</v>
      </c>
      <c r="G93" s="38" t="str">
        <f>IFERROR(VLOOKUP($B93,대상!$B:$AC,MATCH(G$2,대상!$1:$1,0)-1,FALSE),"")</f>
        <v/>
      </c>
      <c r="H93" s="33">
        <f>IFERROR(VLOOKUP($B93,[1]평가!$B:$Z,MATCH(LEFT(H$2,2),[1]평가!$7:$7,0)-1,FALSE),"")</f>
        <v>0</v>
      </c>
      <c r="I93" s="36">
        <f>IFERROR(VLOOKUP($B93,[1]평가!$B:$Z,MATCH(LEFT(I$2,2),[1]평가!$7:$7,0)-1,FALSE),"")</f>
        <v>76</v>
      </c>
      <c r="J93" s="36">
        <f>IFERROR(VLOOKUP($B93,[1]평가!$B:$Z,MATCH(LEFT(J$2,2),[1]평가!$7:$7,0)-1,FALSE),"")</f>
        <v>76</v>
      </c>
      <c r="K93" s="33">
        <f>IFERROR(VLOOKUP($B93,[2]평가!$B:$Z,MATCH(LEFT(K$2,2),[2]평가!$7:$7,0)-1,FALSE),"")</f>
        <v>0</v>
      </c>
      <c r="L93" s="36">
        <f>IFERROR(VLOOKUP($B93,[2]평가!$B:$Z,MATCH(LEFT(L$2,2),[2]평가!$7:$7,0)-1,FALSE),"")</f>
        <v>79</v>
      </c>
      <c r="M93" s="39">
        <f>IFERROR(VLOOKUP($B93,[2]평가!$B:$Z,MATCH(LEFT(M$2,2),[2]평가!$7:$7,0)-1,FALSE),"")</f>
        <v>48</v>
      </c>
      <c r="N93" s="33">
        <f>IFERROR(VLOOKUP($B93,[3]평가!$B:$Z,MATCH(LEFT(N$2,2),[3]평가!$7:$7,0)-1,FALSE),"")</f>
        <v>0</v>
      </c>
      <c r="O93" s="36">
        <f>IFERROR(VLOOKUP($B93,[3]평가!$B:$Z,MATCH(LEFT(O$2,2),[3]평가!$7:$7,0)-1,FALSE),"")</f>
        <v>65</v>
      </c>
      <c r="P93" s="39">
        <f>IFERROR(VLOOKUP($B93,[3]평가!$B:$Z,MATCH(LEFT(P$2,2),[3]평가!$7:$7,0)-1,FALSE),"")</f>
        <v>107</v>
      </c>
      <c r="Q93" s="33">
        <f>IFERROR(VLOOKUP($B93,[4]평가!$B:$Z,MATCH(LEFT(Q$2,2),[4]평가!$7:$7,0)-1,FALSE),"")</f>
        <v>0</v>
      </c>
      <c r="R93" s="36">
        <f>IFERROR(VLOOKUP($B93,[4]평가!$B:$Z,MATCH(LEFT(R$2,2),[4]평가!$7:$7,0)-1,FALSE),"")</f>
        <v>70</v>
      </c>
      <c r="S93" s="39">
        <f>IFERROR(VLOOKUP($B93,[4]평가!$B:$Z,MATCH(LEFT(S$2,2),[4]평가!$7:$7,0)-1,FALSE),"")</f>
        <v>100</v>
      </c>
      <c r="T93" s="33">
        <f>IFERROR(VLOOKUP($B93,[5]평가!$B:$Z,MATCH(LEFT(T$2,2),[5]평가!$7:$7,0)-1,FALSE),"")</f>
        <v>0</v>
      </c>
      <c r="U93" s="36">
        <f>IFERROR(VLOOKUP($B93,[5]평가!$B:$Z,MATCH(LEFT(U$2,2),[5]평가!$7:$7,0)-1,FALSE),"")</f>
        <v>76</v>
      </c>
      <c r="V93" s="39">
        <f>IFERROR(VLOOKUP($B93,[5]평가!$B:$Z,MATCH(LEFT(V$2,2),[5]평가!$7:$7,0)-1,FALSE),"")</f>
        <v>54</v>
      </c>
      <c r="W93" s="33">
        <f>IFERROR(VLOOKUP($B93,대상!$B:$AD,MATCH(W$2,대상!$1:$1,0)-1,FALSE),"")</f>
        <v>0</v>
      </c>
      <c r="X93" s="20">
        <f>IF(ISBLANK(B93),"",T$1-COUNTIF(H93:V93,"회피"))</f>
        <v>5</v>
      </c>
      <c r="Y93" s="21">
        <f>IF($T$1=X93,(SUM(I93,L93,O93,R93,U93)-MIN(I93,L93,O93,R93,U93)-MAX(I93,L93,O93,R93,U93))/($T$1-2),SUM(I93,L93,O93,R93,U93/X93))</f>
        <v>74</v>
      </c>
      <c r="Z93" s="40">
        <f>IFERROR(VLOOKUP($B93,대상!$B:$AD,MATCH(Z$2,대상!$1:$1,0)-1,FALSE),0)</f>
        <v>0</v>
      </c>
      <c r="AA93" s="41">
        <f>IFERROR(IF(W93="면제","100"+Z93,Y93+Z93),"")</f>
        <v>74</v>
      </c>
      <c r="AB93" s="35" t="str">
        <f>IF(OR(W93="면제",N(Y93)=0),"",IF(AA93&lt;60,"과락",""))</f>
        <v/>
      </c>
      <c r="AC93" s="54">
        <f>IF(N(AA93)=0,"",RANK(AA93,AA$3:AA$202))</f>
        <v>92</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①-사업화 아이템의 특성을 고려하여 기존의 유사제품에 대한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_x000D_②폐자재 활용과 경량성 확보가 가능한 제품 개발로써 재활용에 의한 경쟁력 확보가 가능한 반면 난연성 조재 용접봉 등 대체 제품과의 비교 분석 자료가 부족하고 최종 수요처와의 사전 연계성이 부족하여 매출에  대한 확보자료가 미흡함. _x000D_③사업의 배경 및 문제 해결의 필요성은 비교적 명확하게 작성되었습니다. 
다만, 객관적인 시장 규모 데이터와 실질적인 고객 피드백 증빙이 다소 제한적으로 제시되었습니다. 기술 확보 의지는 뚜렷하나, 실제 시장 안착 가능성에 대해서는 면밀한 보완이 요구됩니 _x000D_④창업 동기와 문제 인식은 비교적 명확하게 제시가 되어 있으나, 전반적으로 사업화 가능성 및 사업화 논리는 일부 미흡한 것으로 보임. _x000D_⑤기존의 소가죽으로 된 용접복의 한계와 대체가 필요한 부분에 대해 잘 설명되어져 있다. 다만, 재생가죽 원단으로 구성된 작업복의 성능이나 효용성이 기존제품대비 어떠한지, 개발아이템의 주 원료인 재생가죽의 확보방안은 무엇인지 등에 대해 구체적으로 설명되어져 있지 않아 이에 대해 보완이 필요하다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hidden="1" customHeight="1" x14ac:dyDescent="0.35">
      <c r="A94" s="4">
        <v>68</v>
      </c>
      <c r="B94" s="2">
        <v>20420970</v>
      </c>
      <c r="C94" s="38" t="str">
        <f>IFERROR(VLOOKUP($B94,대상!$B:$AC,MATCH(C$2,대상!$1:$1,0)-1,FALSE),"")</f>
        <v>지역기반</v>
      </c>
      <c r="D94" s="38" t="str">
        <f>IFERROR(VLOOKUP($B94,대상!$B:$AC,MATCH(D$2,대상!$1:$1,0)-1,FALSE),"")</f>
        <v>김연지</v>
      </c>
      <c r="E94" s="36" t="str">
        <f>IFERROR(VLOOKUP($B94,대상!$B:$AC,MATCH(E$2,대상!$1:$1,0)-1,FALSE),"")</f>
        <v>화공ㆍ섬유</v>
      </c>
      <c r="F94" s="38" t="str">
        <f>IFERROR(VLOOKUP($B94,대상!$B:$AC,MATCH(F$2,대상!$1:$1,0)-1,FALSE),"")</f>
        <v>Zero-Sticky 왁싱 리페어 에센스</v>
      </c>
      <c r="G94" s="38" t="str">
        <f>IFERROR(VLOOKUP($B94,대상!$B:$AC,MATCH(G$2,대상!$1:$1,0)-1,FALSE),"")</f>
        <v/>
      </c>
      <c r="H94" s="33">
        <f>IFERROR(VLOOKUP($B94,[1]평가!$B:$Z,MATCH(LEFT(H$2,2),[1]평가!$7:$7,0)-1,FALSE),"")</f>
        <v>0</v>
      </c>
      <c r="I94" s="36">
        <f>IFERROR(VLOOKUP($B94,[1]평가!$B:$Z,MATCH(LEFT(I$2,2),[1]평가!$7:$7,0)-1,FALSE),"")</f>
        <v>77</v>
      </c>
      <c r="J94" s="36">
        <f>IFERROR(VLOOKUP($B94,[1]평가!$B:$Z,MATCH(LEFT(J$2,2),[1]평가!$7:$7,0)-1,FALSE),"")</f>
        <v>47</v>
      </c>
      <c r="K94" s="33">
        <f>IFERROR(VLOOKUP($B94,[2]평가!$B:$Z,MATCH(LEFT(K$2,2),[2]평가!$7:$7,0)-1,FALSE),"")</f>
        <v>0</v>
      </c>
      <c r="L94" s="36">
        <f>IFERROR(VLOOKUP($B94,[2]평가!$B:$Z,MATCH(LEFT(L$2,2),[2]평가!$7:$7,0)-1,FALSE),"")</f>
        <v>83</v>
      </c>
      <c r="M94" s="39">
        <f>IFERROR(VLOOKUP($B94,[2]평가!$B:$Z,MATCH(LEFT(M$2,2),[2]평가!$7:$7,0)-1,FALSE),"")</f>
        <v>17</v>
      </c>
      <c r="N94" s="33">
        <f>IFERROR(VLOOKUP($B94,[3]평가!$B:$Z,MATCH(LEFT(N$2,2),[3]평가!$7:$7,0)-1,FALSE),"")</f>
        <v>0</v>
      </c>
      <c r="O94" s="36">
        <f>IFERROR(VLOOKUP($B94,[3]평가!$B:$Z,MATCH(LEFT(O$2,2),[3]평가!$7:$7,0)-1,FALSE),"")</f>
        <v>68</v>
      </c>
      <c r="P94" s="39">
        <f>IFERROR(VLOOKUP($B94,[3]평가!$B:$Z,MATCH(LEFT(P$2,2),[3]평가!$7:$7,0)-1,FALSE),"")</f>
        <v>84</v>
      </c>
      <c r="Q94" s="33">
        <f>IFERROR(VLOOKUP($B94,[4]평가!$B:$Z,MATCH(LEFT(Q$2,2),[4]평가!$7:$7,0)-1,FALSE),"")</f>
        <v>0</v>
      </c>
      <c r="R94" s="36">
        <f>IFERROR(VLOOKUP($B94,[4]평가!$B:$Z,MATCH(LEFT(R$2,2),[4]평가!$7:$7,0)-1,FALSE),"")</f>
        <v>71</v>
      </c>
      <c r="S94" s="39">
        <f>IFERROR(VLOOKUP($B94,[4]평가!$B:$Z,MATCH(LEFT(S$2,2),[4]평가!$7:$7,0)-1,FALSE),"")</f>
        <v>90</v>
      </c>
      <c r="T94" s="33">
        <f>IFERROR(VLOOKUP($B94,[5]평가!$B:$Z,MATCH(LEFT(T$2,2),[5]평가!$7:$7,0)-1,FALSE),"")</f>
        <v>0</v>
      </c>
      <c r="U94" s="36">
        <f>IFERROR(VLOOKUP($B94,[5]평가!$B:$Z,MATCH(LEFT(U$2,2),[5]평가!$7:$7,0)-1,FALSE),"")</f>
        <v>66</v>
      </c>
      <c r="V94" s="39">
        <f>IFERROR(VLOOKUP($B94,[5]평가!$B:$Z,MATCH(LEFT(V$2,2),[5]평가!$7:$7,0)-1,FALSE),"")</f>
        <v>86</v>
      </c>
      <c r="W94" s="33">
        <f>IFERROR(VLOOKUP($B94,대상!$B:$AD,MATCH(W$2,대상!$1:$1,0)-1,FALSE),"")</f>
        <v>0</v>
      </c>
      <c r="X94" s="20">
        <f>IF(ISBLANK(B94),"",T$1-COUNTIF(H94:V94,"회피"))</f>
        <v>5</v>
      </c>
      <c r="Y94" s="21">
        <f>IF($T$1=X94,(SUM(I94,L94,O94,R94,U94)-MIN(I94,L94,O94,R94,U94)-MAX(I94,L94,O94,R94,U94))/($T$1-2),SUM(I94,L94,O94,R94,U94/X94))</f>
        <v>72</v>
      </c>
      <c r="Z94" s="40">
        <f>IFERROR(VLOOKUP($B94,대상!$B:$AD,MATCH(Z$2,대상!$1:$1,0)-1,FALSE),0)</f>
        <v>2</v>
      </c>
      <c r="AA94" s="41">
        <f>IFERROR(IF(W94="면제","100"+Z94,Y94+Z94),"")</f>
        <v>74</v>
      </c>
      <c r="AB94" s="35" t="str">
        <f>IF(OR(W94="면제",N(Y94)=0),"",IF(AA94&lt;60,"과락",""))</f>
        <v/>
      </c>
      <c r="AC94" s="54">
        <f>IF(N(AA94)=0,"",RANK(AA94,AA$3:AA$202))</f>
        <v>92</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_x000D_②부작용 대응 제품 개발로 시장성은 있으며 사전 임상 시험을 통한 검증이 진행되었고 대표의 역량으로 충분한 영업 진행이 가능한 것으로 판단됨.  부작용 대응 유사 제품의 분석과 시장에서의 대응 전략 수립이 다소 부족함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_x000D_④아이템의 기술수요와 개발 방향은 이해하기 쉽게 작성되었으나, 전반적으로 추진 계획의 완성도는 미흡한 것으로 판단 됨. _x000D_⑤기존 제모시장에서 발생할 수 있는 피부 문제와 트러블을 해결하기 위한 왁싱 에센스의 개발을 창업아이템으로 하여 그 시장성과 필요성 등에 대해 잘 설명되어져 있다. 다만, 기존에 사용중인 다양한 제품들에 대한 비교군의 설정 및 품질의 비교, 실제 왁싱시장에서 발생하는 문제점에 대한 data수집 등 보완할 필요가 있다.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hidden="1" customHeight="1" x14ac:dyDescent="0.35">
      <c r="A95" s="4">
        <v>74</v>
      </c>
      <c r="B95" s="2">
        <v>20424847</v>
      </c>
      <c r="C95" s="38" t="str">
        <f>IFERROR(VLOOKUP($B95,대상!$B:$AC,MATCH(C$2,대상!$1:$1,0)-1,FALSE),"")</f>
        <v>지역기반</v>
      </c>
      <c r="D95" s="38" t="str">
        <f>IFERROR(VLOOKUP($B95,대상!$B:$AC,MATCH(D$2,대상!$1:$1,0)-1,FALSE),"")</f>
        <v>최민교</v>
      </c>
      <c r="E95" s="36" t="str">
        <f>IFERROR(VLOOKUP($B95,대상!$B:$AC,MATCH(E$2,대상!$1:$1,0)-1,FALSE),"")</f>
        <v>화공ㆍ섬유</v>
      </c>
      <c r="F95" s="38" t="str">
        <f>IFERROR(VLOOKUP($B95,대상!$B:$AC,MATCH(F$2,대상!$1:$1,0)-1,FALSE),"")</f>
        <v>Ag⁺/Zn²⁺ 항균 기술이 적용된IAD 억제 기능의4층 무봉제 요실금팬티</v>
      </c>
      <c r="G95" s="38" t="str">
        <f>IFERROR(VLOOKUP($B95,대상!$B:$AC,MATCH(G$2,대상!$1:$1,0)-1,FALSE),"")</f>
        <v/>
      </c>
      <c r="H95" s="33">
        <f>IFERROR(VLOOKUP($B95,[1]평가!$B:$Z,MATCH(LEFT(H$2,2),[1]평가!$7:$7,0)-1,FALSE),"")</f>
        <v>0</v>
      </c>
      <c r="I95" s="36">
        <f>IFERROR(VLOOKUP($B95,[1]평가!$B:$Z,MATCH(LEFT(I$2,2),[1]평가!$7:$7,0)-1,FALSE),"")</f>
        <v>75</v>
      </c>
      <c r="J95" s="36">
        <f>IFERROR(VLOOKUP($B95,[1]평가!$B:$Z,MATCH(LEFT(J$2,2),[1]평가!$7:$7,0)-1,FALSE),"")</f>
        <v>84</v>
      </c>
      <c r="K95" s="33">
        <f>IFERROR(VLOOKUP($B95,[2]평가!$B:$Z,MATCH(LEFT(K$2,2),[2]평가!$7:$7,0)-1,FALSE),"")</f>
        <v>0</v>
      </c>
      <c r="L95" s="36">
        <f>IFERROR(VLOOKUP($B95,[2]평가!$B:$Z,MATCH(LEFT(L$2,2),[2]평가!$7:$7,0)-1,FALSE),"")</f>
        <v>79</v>
      </c>
      <c r="M95" s="39">
        <f>IFERROR(VLOOKUP($B95,[2]평가!$B:$Z,MATCH(LEFT(M$2,2),[2]평가!$7:$7,0)-1,FALSE),"")</f>
        <v>48</v>
      </c>
      <c r="N95" s="33">
        <f>IFERROR(VLOOKUP($B95,[3]평가!$B:$Z,MATCH(LEFT(N$2,2),[3]평가!$7:$7,0)-1,FALSE),"")</f>
        <v>0</v>
      </c>
      <c r="O95" s="36">
        <f>IFERROR(VLOOKUP($B95,[3]평가!$B:$Z,MATCH(LEFT(O$2,2),[3]평가!$7:$7,0)-1,FALSE),"")</f>
        <v>67</v>
      </c>
      <c r="P95" s="39">
        <f>IFERROR(VLOOKUP($B95,[3]평가!$B:$Z,MATCH(LEFT(P$2,2),[3]평가!$7:$7,0)-1,FALSE),"")</f>
        <v>97</v>
      </c>
      <c r="Q95" s="33">
        <f>IFERROR(VLOOKUP($B95,[4]평가!$B:$Z,MATCH(LEFT(Q$2,2),[4]평가!$7:$7,0)-1,FALSE),"")</f>
        <v>0</v>
      </c>
      <c r="R95" s="36">
        <f>IFERROR(VLOOKUP($B95,[4]평가!$B:$Z,MATCH(LEFT(R$2,2),[4]평가!$7:$7,0)-1,FALSE),"")</f>
        <v>87</v>
      </c>
      <c r="S95" s="39">
        <f>IFERROR(VLOOKUP($B95,[4]평가!$B:$Z,MATCH(LEFT(S$2,2),[4]평가!$7:$7,0)-1,FALSE),"")</f>
        <v>17</v>
      </c>
      <c r="T95" s="33">
        <f>IFERROR(VLOOKUP($B95,[5]평가!$B:$Z,MATCH(LEFT(T$2,2),[5]평가!$7:$7,0)-1,FALSE),"")</f>
        <v>0</v>
      </c>
      <c r="U95" s="36">
        <f>IFERROR(VLOOKUP($B95,[5]평가!$B:$Z,MATCH(LEFT(U$2,2),[5]평가!$7:$7,0)-1,FALSE),"")</f>
        <v>68</v>
      </c>
      <c r="V95" s="39">
        <f>IFERROR(VLOOKUP($B95,[5]평가!$B:$Z,MATCH(LEFT(V$2,2),[5]평가!$7:$7,0)-1,FALSE),"")</f>
        <v>86</v>
      </c>
      <c r="W95" s="33">
        <f>IFERROR(VLOOKUP($B95,대상!$B:$AD,MATCH(W$2,대상!$1:$1,0)-1,FALSE),"")</f>
        <v>0</v>
      </c>
      <c r="X95" s="20">
        <f>IF(ISBLANK(B95),"",T$1-COUNTIF(H95:V95,"회피"))</f>
        <v>5</v>
      </c>
      <c r="Y95" s="21">
        <f>IF($T$1=X95,(SUM(I95,L95,O95,R95,U95)-MIN(I95,L95,O95,R95,U95)-MAX(I95,L95,O95,R95,U95))/($T$1-2),SUM(I95,L95,O95,R95,U95/X95))</f>
        <v>74</v>
      </c>
      <c r="Z95" s="40">
        <f>IFERROR(VLOOKUP($B95,대상!$B:$AD,MATCH(Z$2,대상!$1:$1,0)-1,FALSE),0)</f>
        <v>0</v>
      </c>
      <c r="AA95" s="41">
        <f>IFERROR(IF(W95="면제","100"+Z95,Y95+Z95),"")</f>
        <v>74</v>
      </c>
      <c r="AB95" s="35" t="str">
        <f>IF(OR(W95="면제",N(Y95)=0),"",IF(AA95&lt;60,"과락",""))</f>
        <v/>
      </c>
      <c r="AC95" s="54">
        <f>IF(N(AA95)=0,"",RANK(AA95,AA$3:AA$202))</f>
        <v>92</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①-사업화 아이템의 특성을 고려하여 기존시장의 유사제품과 비교하여 차별화 요소를 바탕으로 보다 다각적인 경쟁분석이 필요해 보입니다.
-사업의 지속성 확보를 위해 보다 구체적인 수익창출을 기반으로 하는 마케팅 전략에 대해 구체적인 설명이 필요해 보입니다.
-창업지원사업의 특성을 고려한 정량적 성과지표 및 달성방안에 대한 설명이 필요해 보입니다.   _x000D_②요실금 시장에 대응한 필요성과 제품의 개발 필요성이 있고 시장성이 충분한 제품으로 개발 목표와 방향설정은 양호하나 실질적 요실금 관련 제품 개발에 필요한 분석 내용 (요실금 양, 횟수 , 재사용 가능성 등)에 대한 분석이 미흡하여 제품 구조에 대한 타당성이 다소 미흡한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_x000D_④아이템의 기술수요와 개발 방향이 이해하기 쉽게 작성되었으며,  사업화 가능성을 검토한 수준도 양호하다고 판단 됨. _x000D_⑤초고령사회에 맞는 향균, 기능성 언더웨어를 창업아이템으로 하여 창업하고자 하는 아이템과 현재 시장의 배경등에 대해 잘 설명되어져 있다. 다만, IAD 억제 기능을 가진 기술에 대해 근거자료 등이 제시되어 있지 않아 확인이 어려우며, 실제 기존 요실금 언더웨어 들이 어떻게 구성되어져 있는지에 대해서도 보다 세밀한 분석이 요구되어 보완이 필요하다.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hidden="1" customHeight="1" x14ac:dyDescent="0.35">
      <c r="A96" s="4">
        <v>86</v>
      </c>
      <c r="B96" s="2">
        <v>20427695</v>
      </c>
      <c r="C96" s="38" t="str">
        <f>IFERROR(VLOOKUP($B96,대상!$B:$AC,MATCH(C$2,대상!$1:$1,0)-1,FALSE),"")</f>
        <v>지역기반</v>
      </c>
      <c r="D96" s="38" t="str">
        <f>IFERROR(VLOOKUP($B96,대상!$B:$AC,MATCH(D$2,대상!$1:$1,0)-1,FALSE),"")</f>
        <v>이매화</v>
      </c>
      <c r="E96" s="36" t="str">
        <f>IFERROR(VLOOKUP($B96,대상!$B:$AC,MATCH(E$2,대상!$1:$1,0)-1,FALSE),"")</f>
        <v>화공ㆍ섬유</v>
      </c>
      <c r="F96" s="38" t="str">
        <f>IFERROR(VLOOKUP($B96,대상!$B:$AC,MATCH(F$2,대상!$1:$1,0)-1,FALSE),"")</f>
        <v>국내외 중소 브랜드를 위한 MOQ 100 기반 K-Denim End-to-End OEM 플랫폼</v>
      </c>
      <c r="G96" s="38" t="str">
        <f>IFERROR(VLOOKUP($B96,대상!$B:$AC,MATCH(G$2,대상!$1:$1,0)-1,FALSE),"")</f>
        <v/>
      </c>
      <c r="H96" s="33">
        <f>IFERROR(VLOOKUP($B96,[1]평가!$B:$Z,MATCH(LEFT(H$2,2),[1]평가!$7:$7,0)-1,FALSE),"")</f>
        <v>0</v>
      </c>
      <c r="I96" s="36">
        <f>IFERROR(VLOOKUP($B96,[1]평가!$B:$Z,MATCH(LEFT(I$2,2),[1]평가!$7:$7,0)-1,FALSE),"")</f>
        <v>74</v>
      </c>
      <c r="J96" s="36">
        <f>IFERROR(VLOOKUP($B96,[1]평가!$B:$Z,MATCH(LEFT(J$2,2),[1]평가!$7:$7,0)-1,FALSE),"")</f>
        <v>89</v>
      </c>
      <c r="K96" s="33">
        <f>IFERROR(VLOOKUP($B96,[2]평가!$B:$Z,MATCH(LEFT(K$2,2),[2]평가!$7:$7,0)-1,FALSE),"")</f>
        <v>0</v>
      </c>
      <c r="L96" s="36">
        <f>IFERROR(VLOOKUP($B96,[2]평가!$B:$Z,MATCH(LEFT(L$2,2),[2]평가!$7:$7,0)-1,FALSE),"")</f>
        <v>69</v>
      </c>
      <c r="M96" s="39">
        <f>IFERROR(VLOOKUP($B96,[2]평가!$B:$Z,MATCH(LEFT(M$2,2),[2]평가!$7:$7,0)-1,FALSE),"")</f>
        <v>88</v>
      </c>
      <c r="N96" s="33">
        <f>IFERROR(VLOOKUP($B96,[3]평가!$B:$Z,MATCH(LEFT(N$2,2),[3]평가!$7:$7,0)-1,FALSE),"")</f>
        <v>0</v>
      </c>
      <c r="O96" s="36">
        <f>IFERROR(VLOOKUP($B96,[3]평가!$B:$Z,MATCH(LEFT(O$2,2),[3]평가!$7:$7,0)-1,FALSE),"")</f>
        <v>72</v>
      </c>
      <c r="P96" s="39">
        <f>IFERROR(VLOOKUP($B96,[3]평가!$B:$Z,MATCH(LEFT(P$2,2),[3]평가!$7:$7,0)-1,FALSE),"")</f>
        <v>76</v>
      </c>
      <c r="Q96" s="33">
        <f>IFERROR(VLOOKUP($B96,[4]평가!$B:$Z,MATCH(LEFT(Q$2,2),[4]평가!$7:$7,0)-1,FALSE),"")</f>
        <v>0</v>
      </c>
      <c r="R96" s="36">
        <f>IFERROR(VLOOKUP($B96,[4]평가!$B:$Z,MATCH(LEFT(R$2,2),[4]평가!$7:$7,0)-1,FALSE),"")</f>
        <v>80</v>
      </c>
      <c r="S96" s="39">
        <f>IFERROR(VLOOKUP($B96,[4]평가!$B:$Z,MATCH(LEFT(S$2,2),[4]평가!$7:$7,0)-1,FALSE),"")</f>
        <v>50</v>
      </c>
      <c r="T96" s="33">
        <f>IFERROR(VLOOKUP($B96,[5]평가!$B:$Z,MATCH(LEFT(T$2,2),[5]평가!$7:$7,0)-1,FALSE),"")</f>
        <v>0</v>
      </c>
      <c r="U96" s="36">
        <f>IFERROR(VLOOKUP($B96,[5]평가!$B:$Z,MATCH(LEFT(U$2,2),[5]평가!$7:$7,0)-1,FALSE),"")</f>
        <v>76</v>
      </c>
      <c r="V96" s="39">
        <f>IFERROR(VLOOKUP($B96,[5]평가!$B:$Z,MATCH(LEFT(V$2,2),[5]평가!$7:$7,0)-1,FALSE),"")</f>
        <v>54</v>
      </c>
      <c r="W96" s="33">
        <f>IFERROR(VLOOKUP($B96,대상!$B:$AD,MATCH(W$2,대상!$1:$1,0)-1,FALSE),"")</f>
        <v>0</v>
      </c>
      <c r="X96" s="20">
        <f>IF(ISBLANK(B96),"",T$1-COUNTIF(H96:V96,"회피"))</f>
        <v>5</v>
      </c>
      <c r="Y96" s="21">
        <f>IF($T$1=X96,(SUM(I96,L96,O96,R96,U96)-MIN(I96,L96,O96,R96,U96)-MAX(I96,L96,O96,R96,U96))/($T$1-2),SUM(I96,L96,O96,R96,U96/X96))</f>
        <v>74</v>
      </c>
      <c r="Z96" s="40">
        <f>IFERROR(VLOOKUP($B96,대상!$B:$AD,MATCH(Z$2,대상!$1:$1,0)-1,FALSE),0)</f>
        <v>0</v>
      </c>
      <c r="AA96" s="41">
        <f>IFERROR(IF(W96="면제","100"+Z96,Y96+Z96),"")</f>
        <v>74</v>
      </c>
      <c r="AB96" s="35" t="str">
        <f>IF(OR(W96="면제",N(Y96)=0),"",IF(AA96&lt;60,"과락",""))</f>
        <v/>
      </c>
      <c r="AC96" s="54">
        <f>IF(N(AA96)=0,"",RANK(AA96,AA$3:AA$202))</f>
        <v>92</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①-기존시장의 유사제품과 비교하여 소비자의 니즈 및 우리 제품의 차별화 요소를 바탕으로 보다 다각적인 경쟁분석이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_x000D_②의류에 대한 맞춤형 생산 시스템 플랫폼은 다양하게 존재하고 본 과제의 소량 관리 플랫폼의 경우 다량 오더에 의한 문제점을 예방하는 효과는 있으나 기존 플랫폼과의 차별성이 부족하여 경쟁력 확보가 어려울 것으로 판단됨. _x000D_③경쟁 우위 요소를 발굴하여 제시한 점은 고무적입니다. 다만 이러한 차별화 포인트가 실질적인 기술적 진입장벽이나 우위로 이어진다는 객관적 근거가 다소 미흡합니다. 전략적 방향성은 타당하나, 독보적인 기술적 해자를 판단하기에는 보완 설명이 필요합니다. _x000D_④창업 동기와 문제 인식은 비교적 명확하게 제시가 되어 있으나, 실제 차별성이 기술 우위로 연결되는 설명이 다소 미흠 함. _x000D_⑤의류산업에서의 기획부터 주문, 생산, 수출을 위한 End-to-End 사업 플랫폼을 창업아이템으로 하여 기존 의류시장의 불균형 구조와 필요성에 대해 충분히 잘 설명되어져 있다. 다만, OEM방식이 만연한 의류시장에서 성공적인 사업을 위한 타 기술력들과의 차별적인 부분에 대해 보완이 필요하다.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hidden="1" customHeight="1" x14ac:dyDescent="0.35">
      <c r="A97" s="4">
        <v>93</v>
      </c>
      <c r="B97" s="2">
        <v>20430628</v>
      </c>
      <c r="C97" s="38" t="str">
        <f>IFERROR(VLOOKUP($B97,대상!$B:$AC,MATCH(C$2,대상!$1:$1,0)-1,FALSE),"")</f>
        <v>지역기반</v>
      </c>
      <c r="D97" s="38" t="str">
        <f>IFERROR(VLOOKUP($B97,대상!$B:$AC,MATCH(D$2,대상!$1:$1,0)-1,FALSE),"")</f>
        <v>박태환</v>
      </c>
      <c r="E97" s="36" t="str">
        <f>IFERROR(VLOOKUP($B97,대상!$B:$AC,MATCH(E$2,대상!$1:$1,0)-1,FALSE),"")</f>
        <v>화공ㆍ섬유</v>
      </c>
      <c r="F97" s="38" t="str">
        <f>IFERROR(VLOOKUP($B97,대상!$B:$AC,MATCH(F$2,대상!$1:$1,0)-1,FALSE),"")</f>
        <v>째피 저속노화 바디 루틴</v>
      </c>
      <c r="G97" s="38" t="str">
        <f>IFERROR(VLOOKUP($B97,대상!$B:$AC,MATCH(G$2,대상!$1:$1,0)-1,FALSE),"")</f>
        <v/>
      </c>
      <c r="H97" s="33">
        <f>IFERROR(VLOOKUP($B97,[1]평가!$B:$Z,MATCH(LEFT(H$2,2),[1]평가!$7:$7,0)-1,FALSE),"")</f>
        <v>0</v>
      </c>
      <c r="I97" s="36">
        <f>IFERROR(VLOOKUP($B97,[1]평가!$B:$Z,MATCH(LEFT(I$2,2),[1]평가!$7:$7,0)-1,FALSE),"")</f>
        <v>75</v>
      </c>
      <c r="J97" s="36">
        <f>IFERROR(VLOOKUP($B97,[1]평가!$B:$Z,MATCH(LEFT(J$2,2),[1]평가!$7:$7,0)-1,FALSE),"")</f>
        <v>84</v>
      </c>
      <c r="K97" s="33">
        <f>IFERROR(VLOOKUP($B97,[2]평가!$B:$Z,MATCH(LEFT(K$2,2),[2]평가!$7:$7,0)-1,FALSE),"")</f>
        <v>0</v>
      </c>
      <c r="L97" s="36">
        <f>IFERROR(VLOOKUP($B97,[2]평가!$B:$Z,MATCH(LEFT(L$2,2),[2]평가!$7:$7,0)-1,FALSE),"")</f>
        <v>76</v>
      </c>
      <c r="M97" s="39">
        <f>IFERROR(VLOOKUP($B97,[2]평가!$B:$Z,MATCH(LEFT(M$2,2),[2]평가!$7:$7,0)-1,FALSE),"")</f>
        <v>67</v>
      </c>
      <c r="N97" s="33">
        <f>IFERROR(VLOOKUP($B97,[3]평가!$B:$Z,MATCH(LEFT(N$2,2),[3]평가!$7:$7,0)-1,FALSE),"")</f>
        <v>0</v>
      </c>
      <c r="O97" s="36">
        <f>IFERROR(VLOOKUP($B97,[3]평가!$B:$Z,MATCH(LEFT(O$2,2),[3]평가!$7:$7,0)-1,FALSE),"")</f>
        <v>64</v>
      </c>
      <c r="P97" s="39">
        <f>IFERROR(VLOOKUP($B97,[3]평가!$B:$Z,MATCH(LEFT(P$2,2),[3]평가!$7:$7,0)-1,FALSE),"")</f>
        <v>113</v>
      </c>
      <c r="Q97" s="33">
        <f>IFERROR(VLOOKUP($B97,[4]평가!$B:$Z,MATCH(LEFT(Q$2,2),[4]평가!$7:$7,0)-1,FALSE),"")</f>
        <v>0</v>
      </c>
      <c r="R97" s="36">
        <f>IFERROR(VLOOKUP($B97,[4]평가!$B:$Z,MATCH(LEFT(R$2,2),[4]평가!$7:$7,0)-1,FALSE),"")</f>
        <v>78</v>
      </c>
      <c r="S97" s="39">
        <f>IFERROR(VLOOKUP($B97,[4]평가!$B:$Z,MATCH(LEFT(S$2,2),[4]평가!$7:$7,0)-1,FALSE),"")</f>
        <v>66</v>
      </c>
      <c r="T97" s="33">
        <f>IFERROR(VLOOKUP($B97,[5]평가!$B:$Z,MATCH(LEFT(T$2,2),[5]평가!$7:$7,0)-1,FALSE),"")</f>
        <v>0</v>
      </c>
      <c r="U97" s="36">
        <f>IFERROR(VLOOKUP($B97,[5]평가!$B:$Z,MATCH(LEFT(U$2,2),[5]평가!$7:$7,0)-1,FALSE),"")</f>
        <v>71</v>
      </c>
      <c r="V97" s="39">
        <f>IFERROR(VLOOKUP($B97,[5]평가!$B:$Z,MATCH(LEFT(V$2,2),[5]평가!$7:$7,0)-1,FALSE),"")</f>
        <v>80</v>
      </c>
      <c r="W97" s="33">
        <f>IFERROR(VLOOKUP($B97,대상!$B:$AD,MATCH(W$2,대상!$1:$1,0)-1,FALSE),"")</f>
        <v>0</v>
      </c>
      <c r="X97" s="20">
        <f>IF(ISBLANK(B97),"",T$1-COUNTIF(H97:V97,"회피"))</f>
        <v>5</v>
      </c>
      <c r="Y97" s="21">
        <f>IF($T$1=X97,(SUM(I97,L97,O97,R97,U97)-MIN(I97,L97,O97,R97,U97)-MAX(I97,L97,O97,R97,U97))/($T$1-2),SUM(I97,L97,O97,R97,U97/X97))</f>
        <v>74</v>
      </c>
      <c r="Z97" s="40">
        <f>IFERROR(VLOOKUP($B97,대상!$B:$AD,MATCH(Z$2,대상!$1:$1,0)-1,FALSE),0)</f>
        <v>0</v>
      </c>
      <c r="AA97" s="41">
        <f>IFERROR(IF(W97="면제","100"+Z97,Y97+Z97),"")</f>
        <v>74</v>
      </c>
      <c r="AB97" s="35" t="str">
        <f>IF(OR(W97="면제",N(Y97)=0),"",IF(AA97&lt;60,"과락",""))</f>
        <v/>
      </c>
      <c r="AC97" s="54">
        <f>IF(N(AA97)=0,"",RANK(AA97,AA$3:AA$202))</f>
        <v>92</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-창업지원사업의 특성을 고려한 정량적 성과지표 및 달성방안에 대한 설명이 필요해 보입니다.   _x000D_②제품 특성에 대한 시장의 확장성과 차별성은 있으나 개발 난이도는 낮은 것으로 보이며 시장 진입시 경쟁사에 대한 대응전략을 기술하였으나 유사 제품과의 경쟁력 확보가 어려울 것으로 판단됨.  _x000D_③현재의 기술 성숙도와 최종 목표치 사이의 경계가 모호한 측면이 있습니다. 
세부적인 매출 파이프라인과 실질적인 시장 침투전략은 구체화가 필요해 보입니다.  _x000D_④아이템의 기술수요와 개발 방향은 이해하기 쉽게 작성되었으나,  사업화 가능성을 검토한 수준은 다소 미흡 한 것으로 판단 됨. _x000D_⑤전반적인 사업의 필요성과 시장분석등이 잘 이루어져 있다. 다만, 창업아이템의 품질 효용성 및 시장기술력 우위등을 위한 객관적인 근거마련이 필요하다.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hidden="1" customHeight="1" x14ac:dyDescent="0.35">
      <c r="A98" s="4">
        <v>49</v>
      </c>
      <c r="B98" s="2">
        <v>20411886</v>
      </c>
      <c r="C98" s="38" t="str">
        <f>IFERROR(VLOOKUP($B98,대상!$B:$AC,MATCH(C$2,대상!$1:$1,0)-1,FALSE),"")</f>
        <v>지역기반</v>
      </c>
      <c r="D98" s="38" t="str">
        <f>IFERROR(VLOOKUP($B98,대상!$B:$AC,MATCH(D$2,대상!$1:$1,0)-1,FALSE),"")</f>
        <v>신동진</v>
      </c>
      <c r="E98" s="36" t="str">
        <f>IFERROR(VLOOKUP($B98,대상!$B:$AC,MATCH(E$2,대상!$1:$1,0)-1,FALSE),"")</f>
        <v>화공ㆍ섬유</v>
      </c>
      <c r="F98" s="38" t="str">
        <f>IFERROR(VLOOKUP($B98,대상!$B:$AC,MATCH(F$2,대상!$1:$1,0)-1,FALSE),"")</f>
        <v>마이크로에센셜 포물러 기술이 적용된 패밀리 더마 웰니스 바디케어 키트 개발</v>
      </c>
      <c r="G98" s="38" t="str">
        <f>IFERROR(VLOOKUP($B98,대상!$B:$AC,MATCH(G$2,대상!$1:$1,0)-1,FALSE),"")</f>
        <v/>
      </c>
      <c r="H98" s="33">
        <f>IFERROR(VLOOKUP($B98,[1]평가!$B:$Z,MATCH(LEFT(H$2,2),[1]평가!$7:$7,0)-1,FALSE),"")</f>
        <v>0</v>
      </c>
      <c r="I98" s="36">
        <f>IFERROR(VLOOKUP($B98,[1]평가!$B:$Z,MATCH(LEFT(I$2,2),[1]평가!$7:$7,0)-1,FALSE),"")</f>
        <v>75</v>
      </c>
      <c r="J98" s="36">
        <f>IFERROR(VLOOKUP($B98,[1]평가!$B:$Z,MATCH(LEFT(J$2,2),[1]평가!$7:$7,0)-1,FALSE),"")</f>
        <v>84</v>
      </c>
      <c r="K98" s="33">
        <f>IFERROR(VLOOKUP($B98,[2]평가!$B:$Z,MATCH(LEFT(K$2,2),[2]평가!$7:$7,0)-1,FALSE),"")</f>
        <v>0</v>
      </c>
      <c r="L98" s="36">
        <f>IFERROR(VLOOKUP($B98,[2]평가!$B:$Z,MATCH(LEFT(L$2,2),[2]평가!$7:$7,0)-1,FALSE),"")</f>
        <v>65</v>
      </c>
      <c r="M98" s="39">
        <f>IFERROR(VLOOKUP($B98,[2]평가!$B:$Z,MATCH(LEFT(M$2,2),[2]평가!$7:$7,0)-1,FALSE),"")</f>
        <v>110</v>
      </c>
      <c r="N98" s="33">
        <f>IFERROR(VLOOKUP($B98,[3]평가!$B:$Z,MATCH(LEFT(N$2,2),[3]평가!$7:$7,0)-1,FALSE),"")</f>
        <v>0</v>
      </c>
      <c r="O98" s="36">
        <f>IFERROR(VLOOKUP($B98,[3]평가!$B:$Z,MATCH(LEFT(O$2,2),[3]평가!$7:$7,0)-1,FALSE),"")</f>
        <v>74</v>
      </c>
      <c r="P98" s="39">
        <f>IFERROR(VLOOKUP($B98,[3]평가!$B:$Z,MATCH(LEFT(P$2,2),[3]평가!$7:$7,0)-1,FALSE),"")</f>
        <v>64</v>
      </c>
      <c r="Q98" s="33">
        <f>IFERROR(VLOOKUP($B98,[4]평가!$B:$Z,MATCH(LEFT(Q$2,2),[4]평가!$7:$7,0)-1,FALSE),"")</f>
        <v>0</v>
      </c>
      <c r="R98" s="36">
        <f>IFERROR(VLOOKUP($B98,[4]평가!$B:$Z,MATCH(LEFT(R$2,2),[4]평가!$7:$7,0)-1,FALSE),"")</f>
        <v>72</v>
      </c>
      <c r="S98" s="39">
        <f>IFERROR(VLOOKUP($B98,[4]평가!$B:$Z,MATCH(LEFT(S$2,2),[4]평가!$7:$7,0)-1,FALSE),"")</f>
        <v>95</v>
      </c>
      <c r="T98" s="33">
        <f>IFERROR(VLOOKUP($B98,[5]평가!$B:$Z,MATCH(LEFT(T$2,2),[5]평가!$7:$7,0)-1,FALSE),"")</f>
        <v>0</v>
      </c>
      <c r="U98" s="36">
        <f>IFERROR(VLOOKUP($B98,[5]평가!$B:$Z,MATCH(LEFT(U$2,2),[5]평가!$7:$7,0)-1,FALSE),"")</f>
        <v>78</v>
      </c>
      <c r="V98" s="39">
        <f>IFERROR(VLOOKUP($B98,[5]평가!$B:$Z,MATCH(LEFT(V$2,2),[5]평가!$7:$7,0)-1,FALSE),"")</f>
        <v>45</v>
      </c>
      <c r="W98" s="33">
        <f>IFERROR(VLOOKUP($B98,대상!$B:$AD,MATCH(W$2,대상!$1:$1,0)-1,FALSE),"")</f>
        <v>0</v>
      </c>
      <c r="X98" s="20">
        <f>IF(ISBLANK(B98),"",T$1-COUNTIF(H98:V98,"회피"))</f>
        <v>5</v>
      </c>
      <c r="Y98" s="21">
        <f>IF($T$1=X98,(SUM(I98,L98,O98,R98,U98)-MIN(I98,L98,O98,R98,U98)-MAX(I98,L98,O98,R98,U98))/($T$1-2),SUM(I98,L98,O98,R98,U98/X98))</f>
        <v>73.666666666666671</v>
      </c>
      <c r="Z98" s="40">
        <f>IFERROR(VLOOKUP($B98,대상!$B:$AD,MATCH(Z$2,대상!$1:$1,0)-1,FALSE),0)</f>
        <v>0</v>
      </c>
      <c r="AA98" s="41">
        <f>IFERROR(IF(W98="면제","100"+Z98,Y98+Z98),"")</f>
        <v>73.666666666666671</v>
      </c>
      <c r="AB98" s="35" t="str">
        <f>IF(OR(W98="면제",N(Y98)=0),"",IF(AA98&lt;60,"과락",""))</f>
        <v/>
      </c>
      <c r="AC98" s="54">
        <f>IF(N(AA98)=0,"",RANK(AA98,AA$3:AA$202))</f>
        <v>98</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①-기존제품 대비 특화된 경쟁요소 도출 및 그것의 활용에 대한 설명이 필요해 보입니다.
-후발 경쟁자의 시장진입 억제를 위한 방안에 대한 고민이 필요해 보입니다.
-보다 구체적인 수익창출 방안 설명 및 창업지원사업의 특성을 고려한 성과지표제시 및 달성방안에 대한 설명이 필요해 보입니다.  _x000D_②제품 수요군의 타겟팅이 명확하고 제품 개발관련 협업 체계 구축은 되어 있으나 개발 제품의 구체적 개발 방향이 부족하고 개발단계 및 영업 전략은 기술되었으나 시장 분석이 미흡함  _x000D_③피부장벽케어 영유아 화장품에 대한 문제인식과 핵심기능을 제시하였으나, 이를 연구 개발하고 데이터 수치화할 근거가 다소 부족해보임.
시장규모와 고객검증을 뒷받침하는 객관적 지표와 기술 추진에 대한 보완이 필요 _x000D_④아이템의 기술수요와 개발방향은 이해하기 쉽게 작성되었으나, 아이템(제품)애 대한 구체적인 설명과 차별성에 대한 내용 제시가 미흡한 것으로 판단 됨 _x000D_⑤영유아등을 위한 민감성 피부의 전반적인 솔루션 제품을 개발하고자 하는 부분과 이에 대한 기초능력은 충분히 잘 설명되어져 있다. 다만, 이러한 제품들에 대한 성능과 기존제품들과의 차별성 그리고 기존 경쟁자들 대비 우위를 점하기 위한 시장경쟁력 부분에 대한 보완이 필요하다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hidden="1" customHeight="1" x14ac:dyDescent="0.35">
      <c r="A99" s="4">
        <v>114</v>
      </c>
      <c r="B99" s="2">
        <v>20426450</v>
      </c>
      <c r="C99" s="38" t="str">
        <f>IFERROR(VLOOKUP($B99,대상!$B:$AC,MATCH(C$2,대상!$1:$1,0)-1,FALSE),"")</f>
        <v>지역기반</v>
      </c>
      <c r="D99" s="38" t="str">
        <f>IFERROR(VLOOKUP($B99,대상!$B:$AC,MATCH(D$2,대상!$1:$1,0)-1,FALSE),"")</f>
        <v>최정훈</v>
      </c>
      <c r="E99" s="36" t="str">
        <f>IFERROR(VLOOKUP($B99,대상!$B:$AC,MATCH(E$2,대상!$1:$1,0)-1,FALSE),"")</f>
        <v>화공ㆍ섬유</v>
      </c>
      <c r="F99" s="38" t="str">
        <f>IFERROR(VLOOKUP($B99,대상!$B:$AC,MATCH(F$2,대상!$1:$1,0)-1,FALSE),"")</f>
        <v>아우라 오브 조선 (Aura of Joseon)</v>
      </c>
      <c r="G99" s="38" t="str">
        <f>IFERROR(VLOOKUP($B99,대상!$B:$AC,MATCH(G$2,대상!$1:$1,0)-1,FALSE),"")</f>
        <v/>
      </c>
      <c r="H99" s="33">
        <f>IFERROR(VLOOKUP($B99,[1]평가!$B:$Z,MATCH(LEFT(H$2,2),[1]평가!$7:$7,0)-1,FALSE),"")</f>
        <v>0</v>
      </c>
      <c r="I99" s="36">
        <f>IFERROR(VLOOKUP($B99,[1]평가!$B:$Z,MATCH(LEFT(I$2,2),[1]평가!$7:$7,0)-1,FALSE),"")</f>
        <v>89</v>
      </c>
      <c r="J99" s="36">
        <f>IFERROR(VLOOKUP($B99,[1]평가!$B:$Z,MATCH(LEFT(J$2,2),[1]평가!$7:$7,0)-1,FALSE),"")</f>
        <v>9</v>
      </c>
      <c r="K99" s="33">
        <f>IFERROR(VLOOKUP($B99,[2]평가!$B:$Z,MATCH(LEFT(K$2,2),[2]평가!$7:$7,0)-1,FALSE),"")</f>
        <v>0</v>
      </c>
      <c r="L99" s="36">
        <f>IFERROR(VLOOKUP($B99,[2]평가!$B:$Z,MATCH(LEFT(L$2,2),[2]평가!$7:$7,0)-1,FALSE),"")</f>
        <v>72</v>
      </c>
      <c r="M99" s="39">
        <f>IFERROR(VLOOKUP($B99,[2]평가!$B:$Z,MATCH(LEFT(M$2,2),[2]평가!$7:$7,0)-1,FALSE),"")</f>
        <v>85</v>
      </c>
      <c r="N99" s="33">
        <f>IFERROR(VLOOKUP($B99,[3]평가!$B:$Z,MATCH(LEFT(N$2,2),[3]평가!$7:$7,0)-1,FALSE),"")</f>
        <v>0</v>
      </c>
      <c r="O99" s="36">
        <f>IFERROR(VLOOKUP($B99,[3]평가!$B:$Z,MATCH(LEFT(O$2,2),[3]평가!$7:$7,0)-1,FALSE),"")</f>
        <v>69</v>
      </c>
      <c r="P99" s="39">
        <f>IFERROR(VLOOKUP($B99,[3]평가!$B:$Z,MATCH(LEFT(P$2,2),[3]평가!$7:$7,0)-1,FALSE),"")</f>
        <v>88</v>
      </c>
      <c r="Q99" s="33">
        <f>IFERROR(VLOOKUP($B99,[4]평가!$B:$Z,MATCH(LEFT(Q$2,2),[4]평가!$7:$7,0)-1,FALSE),"")</f>
        <v>0</v>
      </c>
      <c r="R99" s="36">
        <f>IFERROR(VLOOKUP($B99,[4]평가!$B:$Z,MATCH(LEFT(R$2,2),[4]평가!$7:$7,0)-1,FALSE),"")</f>
        <v>79</v>
      </c>
      <c r="S99" s="39">
        <f>IFERROR(VLOOKUP($B99,[4]평가!$B:$Z,MATCH(LEFT(S$2,2),[4]평가!$7:$7,0)-1,FALSE),"")</f>
        <v>58</v>
      </c>
      <c r="T99" s="33">
        <f>IFERROR(VLOOKUP($B99,[5]평가!$B:$Z,MATCH(LEFT(T$2,2),[5]평가!$7:$7,0)-1,FALSE),"")</f>
        <v>0</v>
      </c>
      <c r="U99" s="36">
        <f>IFERROR(VLOOKUP($B99,[5]평가!$B:$Z,MATCH(LEFT(U$2,2),[5]평가!$7:$7,0)-1,FALSE),"")</f>
        <v>70</v>
      </c>
      <c r="V99" s="39">
        <f>IFERROR(VLOOKUP($B99,[5]평가!$B:$Z,MATCH(LEFT(V$2,2),[5]평가!$7:$7,0)-1,FALSE),"")</f>
        <v>83</v>
      </c>
      <c r="W99" s="33">
        <f>IFERROR(VLOOKUP($B99,대상!$B:$AD,MATCH(W$2,대상!$1:$1,0)-1,FALSE),"")</f>
        <v>0</v>
      </c>
      <c r="X99" s="20">
        <f>IF(ISBLANK(B99),"",T$1-COUNTIF(H99:V99,"회피"))</f>
        <v>5</v>
      </c>
      <c r="Y99" s="21">
        <f>IF($T$1=X99,(SUM(I99,L99,O99,R99,U99)-MIN(I99,L99,O99,R99,U99)-MAX(I99,L99,O99,R99,U99))/($T$1-2),SUM(I99,L99,O99,R99,U99/X99))</f>
        <v>73.666666666666671</v>
      </c>
      <c r="Z99" s="40">
        <f>IFERROR(VLOOKUP($B99,대상!$B:$AD,MATCH(Z$2,대상!$1:$1,0)-1,FALSE),0)</f>
        <v>0</v>
      </c>
      <c r="AA99" s="41">
        <f>IFERROR(IF(W99="면제","100"+Z99,Y99+Z99),"")</f>
        <v>73.666666666666671</v>
      </c>
      <c r="AB99" s="35" t="str">
        <f>IF(OR(W99="면제",N(Y99)=0),"",IF(AA99&lt;60,"과락",""))</f>
        <v/>
      </c>
      <c r="AC99" s="54">
        <f>IF(N(AA99)=0,"",RANK(AA99,AA$3:AA$202))</f>
        <v>98</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①-기존시장의 유사제품에 대한 우리 제품의 차별화 요소를 바탕으로 다각적인 경쟁분석을 통한 사업화 아이템의 성공가능성 향상에 대한 고민이 필요해 보입니다.
- 사업의 지속성 확보 차원에서 서비스 모델에 대한 산업재산권 확보에 대한 검토가 필요해 보입니다.
-창업지원사업의 특성을 고려한 정량적 성과지표 및 달성방안에 대한 설명이 필요해 보입니다. _x000D_②향수 조향 기술과 마켓팅 역량은 높으나 개발 제품의 사업화를 위해 단순히 자사몰과 플랫폼 활용 등으로 사업화 전개 전략은 다소 미흡한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실제 차별성이 기술 우위로 연결되는 설명은 다소 미흠 함. _x000D_⑤니치향수 시향 보장형 플랫폼 개발에 대한 창업아이템에 대해 소비자 니즈를 반영한 필요성과 시장진입을 위한 전략이 잘 서술되어져 있다. 다만 시제품이 향수 본품과 샘플키트가 결합된 패키지로 시장진출을 위한 기술부분이 반영되어 있다고 보기에는 어려우며, 보다 다른방향으로 구체화 하여 보완할 필요가 있다.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hidden="1" customHeight="1" x14ac:dyDescent="0.35">
      <c r="A100" s="4">
        <v>45</v>
      </c>
      <c r="B100" s="2">
        <v>20408878</v>
      </c>
      <c r="C100" s="38" t="str">
        <f>IFERROR(VLOOKUP($B100,대상!$B:$AC,MATCH(C$2,대상!$1:$1,0)-1,FALSE),"")</f>
        <v>지역기반</v>
      </c>
      <c r="D100" s="38" t="str">
        <f>IFERROR(VLOOKUP($B100,대상!$B:$AC,MATCH(D$2,대상!$1:$1,0)-1,FALSE),"")</f>
        <v>PARK SUNNY</v>
      </c>
      <c r="E100" s="36" t="str">
        <f>IFERROR(VLOOKUP($B100,대상!$B:$AC,MATCH(E$2,대상!$1:$1,0)-1,FALSE),"")</f>
        <v>화공ㆍ섬유</v>
      </c>
      <c r="F100" s="38" t="str">
        <f>IFERROR(VLOOKUP($B100,대상!$B:$AC,MATCH(F$2,대상!$1:$1,0)-1,FALSE),"")</f>
        <v>HERMEN – Preserve Line [스킨 케어 브랜드 (화장품)]</v>
      </c>
      <c r="G100" s="38" t="str">
        <f>IFERROR(VLOOKUP($B100,대상!$B:$AC,MATCH(G$2,대상!$1:$1,0)-1,FALSE),"")</f>
        <v/>
      </c>
      <c r="H100" s="33">
        <f>IFERROR(VLOOKUP($B100,[1]평가!$B:$Z,MATCH(LEFT(H$2,2),[1]평가!$7:$7,0)-1,FALSE),"")</f>
        <v>0</v>
      </c>
      <c r="I100" s="36">
        <f>IFERROR(VLOOKUP($B100,[1]평가!$B:$Z,MATCH(LEFT(I$2,2),[1]평가!$7:$7,0)-1,FALSE),"")</f>
        <v>81</v>
      </c>
      <c r="J100" s="36">
        <f>IFERROR(VLOOKUP($B100,[1]평가!$B:$Z,MATCH(LEFT(J$2,2),[1]평가!$7:$7,0)-1,FALSE),"")</f>
        <v>37</v>
      </c>
      <c r="K100" s="33">
        <f>IFERROR(VLOOKUP($B100,[2]평가!$B:$Z,MATCH(LEFT(K$2,2),[2]평가!$7:$7,0)-1,FALSE),"")</f>
        <v>0</v>
      </c>
      <c r="L100" s="36">
        <f>IFERROR(VLOOKUP($B100,[2]평가!$B:$Z,MATCH(LEFT(L$2,2),[2]평가!$7:$7,0)-1,FALSE),"")</f>
        <v>73</v>
      </c>
      <c r="M100" s="39">
        <f>IFERROR(VLOOKUP($B100,[2]평가!$B:$Z,MATCH(LEFT(M$2,2),[2]평가!$7:$7,0)-1,FALSE),"")</f>
        <v>80</v>
      </c>
      <c r="N100" s="33">
        <f>IFERROR(VLOOKUP($B100,[3]평가!$B:$Z,MATCH(LEFT(N$2,2),[3]평가!$7:$7,0)-1,FALSE),"")</f>
        <v>0</v>
      </c>
      <c r="O100" s="36">
        <f>IFERROR(VLOOKUP($B100,[3]평가!$B:$Z,MATCH(LEFT(O$2,2),[3]평가!$7:$7,0)-1,FALSE),"")</f>
        <v>77</v>
      </c>
      <c r="P100" s="39">
        <f>IFERROR(VLOOKUP($B100,[3]평가!$B:$Z,MATCH(LEFT(P$2,2),[3]평가!$7:$7,0)-1,FALSE),"")</f>
        <v>51</v>
      </c>
      <c r="Q100" s="33">
        <f>IFERROR(VLOOKUP($B100,[4]평가!$B:$Z,MATCH(LEFT(Q$2,2),[4]평가!$7:$7,0)-1,FALSE),"")</f>
        <v>0</v>
      </c>
      <c r="R100" s="36">
        <f>IFERROR(VLOOKUP($B100,[4]평가!$B:$Z,MATCH(LEFT(R$2,2),[4]평가!$7:$7,0)-1,FALSE),"")</f>
        <v>70</v>
      </c>
      <c r="S100" s="39">
        <f>IFERROR(VLOOKUP($B100,[4]평가!$B:$Z,MATCH(LEFT(S$2,2),[4]평가!$7:$7,0)-1,FALSE),"")</f>
        <v>100</v>
      </c>
      <c r="T100" s="33">
        <f>IFERROR(VLOOKUP($B100,[5]평가!$B:$Z,MATCH(LEFT(T$2,2),[5]평가!$7:$7,0)-1,FALSE),"")</f>
        <v>0</v>
      </c>
      <c r="U100" s="36">
        <f>IFERROR(VLOOKUP($B100,[5]평가!$B:$Z,MATCH(LEFT(U$2,2),[5]평가!$7:$7,0)-1,FALSE),"")</f>
        <v>68</v>
      </c>
      <c r="V100" s="39">
        <f>IFERROR(VLOOKUP($B100,[5]평가!$B:$Z,MATCH(LEFT(V$2,2),[5]평가!$7:$7,0)-1,FALSE),"")</f>
        <v>86</v>
      </c>
      <c r="W100" s="33">
        <f>IFERROR(VLOOKUP($B100,대상!$B:$AD,MATCH(W$2,대상!$1:$1,0)-1,FALSE),"")</f>
        <v>0</v>
      </c>
      <c r="X100" s="20">
        <f>IF(ISBLANK(B100),"",T$1-COUNTIF(H100:V100,"회피"))</f>
        <v>5</v>
      </c>
      <c r="Y100" s="21">
        <f>IF($T$1=X100,(SUM(I100,L100,O100,R100,U100)-MIN(I100,L100,O100,R100,U100)-MAX(I100,L100,O100,R100,U100))/($T$1-2),SUM(I100,L100,O100,R100,U100/X100))</f>
        <v>73.333333333333329</v>
      </c>
      <c r="Z100" s="40">
        <f>IFERROR(VLOOKUP($B100,대상!$B:$AD,MATCH(Z$2,대상!$1:$1,0)-1,FALSE),0)</f>
        <v>0</v>
      </c>
      <c r="AA100" s="41">
        <f>IFERROR(IF(W100="면제","100"+Z100,Y100+Z100),"")</f>
        <v>73.333333333333329</v>
      </c>
      <c r="AB100" s="35" t="str">
        <f>IF(OR(W100="면제",N(Y100)=0),"",IF(AA100&lt;60,"과락",""))</f>
        <v/>
      </c>
      <c r="AC100" s="54">
        <f>IF(N(AA100)=0,"",RANK(AA100,AA$3:AA$202))</f>
        <v>101</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①-기존시장의 유사제품에 대한 경쟁요소 발굴을 통해 경쟁력있는 마케팅 이슈 도출에 대한 고민이 필요해 보입니다.
-창업지원사업의 성격에 적합한 성과 지표 제시 및 달성방안에 대한 고민이 필요해 보입니다. _x000D_②스킨케어 시장 규모에 대응한 제품개발이 가능하고 개발자 및 담당자의 역량이 높아 매출 연계성은 클 것으로 판단됨.  제품의 경쟁력보다 마켓팅 의존성에 의한 영업 효과로 인해 영업 지속성 및 경쟁력 확보의 어려움이 예상됨.  _x000D_③전반적으로 사업화 가능성을 검토한 수준이 우수하다고 판단됩니다.기술 추진 의지는 확고해 보이나, 창업중심대학 지원사업 성격에 따른 실질적인 구현 가능성에 대해서는 추가적인 검토가 요구됩니다. _x000D_④창업아이템의 개발 배경과 목적은 비교적 명확히 제시가 되었으나, 아이템(제품)애 대한 구체적인 설명과 차별성에 대한 내용 제시가 미흡한 것으로 판단 됨. _x000D_⑤기능성 뷰티제품에 대한 시장의 필요성과 그 공략방향의 차별성 및 아마존 등의 대형 유통망을 활용한 시장진출 계획 등은 잘 설명되어져 있다. 다만, 경쟁이 매우 치열한 K-뷰터 시장에서 해외시장 공략을 위한 실제 제품의 성능과 인체의 유해성 부분에 대해 충분히 검증되어지고 있는지 확인이 어려우며 어떤방식으로 성능을 확보할 지에 대한 기술적인 부분에 대해 보완이 필요하다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hidden="1" customHeight="1" x14ac:dyDescent="0.35">
      <c r="A101" s="4">
        <v>40</v>
      </c>
      <c r="B101" s="2">
        <v>20403598</v>
      </c>
      <c r="C101" s="38" t="str">
        <f>IFERROR(VLOOKUP($B101,대상!$B:$AC,MATCH(C$2,대상!$1:$1,0)-1,FALSE),"")</f>
        <v>지역기반</v>
      </c>
      <c r="D101" s="38" t="str">
        <f>IFERROR(VLOOKUP($B101,대상!$B:$AC,MATCH(D$2,대상!$1:$1,0)-1,FALSE),"")</f>
        <v>이혜진</v>
      </c>
      <c r="E101" s="36" t="str">
        <f>IFERROR(VLOOKUP($B101,대상!$B:$AC,MATCH(E$2,대상!$1:$1,0)-1,FALSE),"")</f>
        <v>화공ㆍ섬유</v>
      </c>
      <c r="F101" s="38" t="str">
        <f>IFERROR(VLOOKUP($B101,대상!$B:$AC,MATCH(F$2,대상!$1:$1,0)-1,FALSE),"")</f>
        <v>리텐션 고도화형 B2B 글로벌 수출 K-뷰티 속눈썹·글루 제품</v>
      </c>
      <c r="G101" s="38" t="str">
        <f>IFERROR(VLOOKUP($B101,대상!$B:$AC,MATCH(G$2,대상!$1:$1,0)-1,FALSE),"")</f>
        <v/>
      </c>
      <c r="H101" s="33">
        <f>IFERROR(VLOOKUP($B101,[1]평가!$B:$Z,MATCH(LEFT(H$2,2),[1]평가!$7:$7,0)-1,FALSE),"")</f>
        <v>0</v>
      </c>
      <c r="I101" s="36">
        <f>IFERROR(VLOOKUP($B101,[1]평가!$B:$Z,MATCH(LEFT(I$2,2),[1]평가!$7:$7,0)-1,FALSE),"")</f>
        <v>74</v>
      </c>
      <c r="J101" s="36">
        <f>IFERROR(VLOOKUP($B101,[1]평가!$B:$Z,MATCH(LEFT(J$2,2),[1]평가!$7:$7,0)-1,FALSE),"")</f>
        <v>89</v>
      </c>
      <c r="K101" s="33">
        <f>IFERROR(VLOOKUP($B101,[2]평가!$B:$Z,MATCH(LEFT(K$2,2),[2]평가!$7:$7,0)-1,FALSE),"")</f>
        <v>0</v>
      </c>
      <c r="L101" s="36">
        <f>IFERROR(VLOOKUP($B101,[2]평가!$B:$Z,MATCH(LEFT(L$2,2),[2]평가!$7:$7,0)-1,FALSE),"")</f>
        <v>68</v>
      </c>
      <c r="M101" s="39">
        <f>IFERROR(VLOOKUP($B101,[2]평가!$B:$Z,MATCH(LEFT(M$2,2),[2]평가!$7:$7,0)-1,FALSE),"")</f>
        <v>98</v>
      </c>
      <c r="N101" s="33">
        <f>IFERROR(VLOOKUP($B101,[3]평가!$B:$Z,MATCH(LEFT(N$2,2),[3]평가!$7:$7,0)-1,FALSE),"")</f>
        <v>0</v>
      </c>
      <c r="O101" s="36">
        <f>IFERROR(VLOOKUP($B101,[3]평가!$B:$Z,MATCH(LEFT(O$2,2),[3]평가!$7:$7,0)-1,FALSE),"")</f>
        <v>67</v>
      </c>
      <c r="P101" s="39">
        <f>IFERROR(VLOOKUP($B101,[3]평가!$B:$Z,MATCH(LEFT(P$2,2),[3]평가!$7:$7,0)-1,FALSE),"")</f>
        <v>97</v>
      </c>
      <c r="Q101" s="33">
        <f>IFERROR(VLOOKUP($B101,[4]평가!$B:$Z,MATCH(LEFT(Q$2,2),[4]평가!$7:$7,0)-1,FALSE),"")</f>
        <v>0</v>
      </c>
      <c r="R101" s="36">
        <f>IFERROR(VLOOKUP($B101,[4]평가!$B:$Z,MATCH(LEFT(R$2,2),[4]평가!$7:$7,0)-1,FALSE),"")</f>
        <v>80</v>
      </c>
      <c r="S101" s="39">
        <f>IFERROR(VLOOKUP($B101,[4]평가!$B:$Z,MATCH(LEFT(S$2,2),[4]평가!$7:$7,0)-1,FALSE),"")</f>
        <v>50</v>
      </c>
      <c r="T101" s="33">
        <f>IFERROR(VLOOKUP($B101,[5]평가!$B:$Z,MATCH(LEFT(T$2,2),[5]평가!$7:$7,0)-1,FALSE),"")</f>
        <v>0</v>
      </c>
      <c r="U101" s="36">
        <f>IFERROR(VLOOKUP($B101,[5]평가!$B:$Z,MATCH(LEFT(U$2,2),[5]평가!$7:$7,0)-1,FALSE),"")</f>
        <v>77</v>
      </c>
      <c r="V101" s="39">
        <f>IFERROR(VLOOKUP($B101,[5]평가!$B:$Z,MATCH(LEFT(V$2,2),[5]평가!$7:$7,0)-1,FALSE),"")</f>
        <v>50</v>
      </c>
      <c r="W101" s="33">
        <f>IFERROR(VLOOKUP($B101,대상!$B:$AD,MATCH(W$2,대상!$1:$1,0)-1,FALSE),"")</f>
        <v>0</v>
      </c>
      <c r="X101" s="20">
        <f>IF(ISBLANK(B101),"",T$1-COUNTIF(H101:V101,"회피"))</f>
        <v>5</v>
      </c>
      <c r="Y101" s="21">
        <f>IF($T$1=X101,(SUM(I101,L101,O101,R101,U101)-MIN(I101,L101,O101,R101,U101)-MAX(I101,L101,O101,R101,U101))/($T$1-2),SUM(I101,L101,O101,R101,U101/X101))</f>
        <v>73</v>
      </c>
      <c r="Z101" s="40">
        <f>IFERROR(VLOOKUP($B101,대상!$B:$AD,MATCH(Z$2,대상!$1:$1,0)-1,FALSE),0)</f>
        <v>0</v>
      </c>
      <c r="AA101" s="41">
        <f>IFERROR(IF(W101="면제","100"+Z101,Y101+Z101),"")</f>
        <v>73</v>
      </c>
      <c r="AB101" s="35" t="str">
        <f>IF(OR(W101="면제",N(Y101)=0),"",IF(AA101&lt;60,"과락",""))</f>
        <v/>
      </c>
      <c r="AC101" s="54">
        <f>IF(N(AA101)=0,"",RANK(AA101,AA$3:AA$202))</f>
        <v>102</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①-기존의 유사제품에 대한 차별화 요소 분석에 대한 관점이 조금더 다양했으면 하는 생각입니다.
-사업의 연속성 확보 및 후발업체에 대한 경쟁력 확보를 위해 보다 다양한 산업재산권 확보 위한 고민이 필요해 보입니다.   _x000D_②개발자의 의욕이 높고 사업화 의지는 높으나 제품 자체의 구체적 개발 방향과 키트외 제품 자체에 대한 구체적 활용 방안이 애매하고 사업화 전략과 매출 방안에 대한 구체성이 미흡함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_x000D_④창업동기와 문제인식은 비교적 명확하게 제시되었으나, 고객 검증자료는 다소 미흡한 것으로 판단 됨. _x000D_⑤기존 제품들에 대한 충분한 data확보와 이를 통한 신규제품의 발굴면에서는 우수하게 잘 설명되어져 있다. 다만, 신규제품에서 개발하고자 하는 성능목표는 부여되어 있으나, 성능구현을 위한 기술적인 구체적 차별성 등에 대한 보완이 필요할 것으로 보인다.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100</v>
      </c>
      <c r="B102" s="2">
        <v>20416668</v>
      </c>
      <c r="C102" s="38" t="str">
        <f>IFERROR(VLOOKUP($B102,대상!$B:$AC,MATCH(C$2,대상!$1:$1,0)-1,FALSE),"")</f>
        <v>대학발</v>
      </c>
      <c r="D102" s="38" t="str">
        <f>IFERROR(VLOOKUP($B102,대상!$B:$AC,MATCH(D$2,대상!$1:$1,0)-1,FALSE),"")</f>
        <v>박규근</v>
      </c>
      <c r="E102" s="36" t="str">
        <f>IFERROR(VLOOKUP($B102,대상!$B:$AC,MATCH(E$2,대상!$1:$1,0)-1,FALSE),"")</f>
        <v>화공ㆍ섬유</v>
      </c>
      <c r="F102" s="38" t="str">
        <f>IFERROR(VLOOKUP($B102,대상!$B:$AC,MATCH(F$2,대상!$1:$1,0)-1,FALSE),"")</f>
        <v>여름철 민감·트러블 진정용 스킨케어 샤워기용 타블렛 개발</v>
      </c>
      <c r="G102" s="38" t="str">
        <f>IFERROR(VLOOKUP($B102,대상!$B:$AC,MATCH(G$2,대상!$1:$1,0)-1,FALSE),"")</f>
        <v/>
      </c>
      <c r="H102" s="33">
        <f>IFERROR(VLOOKUP($B102,[1]평가!$B:$Z,MATCH(LEFT(H$2,2),[1]평가!$7:$7,0)-1,FALSE),"")</f>
        <v>0</v>
      </c>
      <c r="I102" s="36">
        <f>IFERROR(VLOOKUP($B102,[1]평가!$B:$Z,MATCH(LEFT(I$2,2),[1]평가!$7:$7,0)-1,FALSE),"")</f>
        <v>91</v>
      </c>
      <c r="J102" s="36">
        <f>IFERROR(VLOOKUP($B102,[1]평가!$B:$Z,MATCH(LEFT(J$2,2),[1]평가!$7:$7,0)-1,FALSE),"")</f>
        <v>5</v>
      </c>
      <c r="K102" s="33">
        <f>IFERROR(VLOOKUP($B102,[2]평가!$B:$Z,MATCH(LEFT(K$2,2),[2]평가!$7:$7,0)-1,FALSE),"")</f>
        <v>0</v>
      </c>
      <c r="L102" s="36">
        <f>IFERROR(VLOOKUP($B102,[2]평가!$B:$Z,MATCH(LEFT(L$2,2),[2]평가!$7:$7,0)-1,FALSE),"")</f>
        <v>91</v>
      </c>
      <c r="M102" s="39">
        <f>IFERROR(VLOOKUP($B102,[2]평가!$B:$Z,MATCH(LEFT(M$2,2),[2]평가!$7:$7,0)-1,FALSE),"")</f>
        <v>6</v>
      </c>
      <c r="N102" s="33">
        <f>IFERROR(VLOOKUP($B102,[3]평가!$B:$Z,MATCH(LEFT(N$2,2),[3]평가!$7:$7,0)-1,FALSE),"")</f>
        <v>0</v>
      </c>
      <c r="O102" s="36">
        <f>IFERROR(VLOOKUP($B102,[3]평가!$B:$Z,MATCH(LEFT(O$2,2),[3]평가!$7:$7,0)-1,FALSE),"")</f>
        <v>92</v>
      </c>
      <c r="P102" s="39">
        <f>IFERROR(VLOOKUP($B102,[3]평가!$B:$Z,MATCH(LEFT(P$2,2),[3]평가!$7:$7,0)-1,FALSE),"")</f>
        <v>7</v>
      </c>
      <c r="Q102" s="33">
        <f>IFERROR(VLOOKUP($B102,[4]평가!$B:$Z,MATCH(LEFT(Q$2,2),[4]평가!$7:$7,0)-1,FALSE),"")</f>
        <v>0</v>
      </c>
      <c r="R102" s="36">
        <f>IFERROR(VLOOKUP($B102,[4]평가!$B:$Z,MATCH(LEFT(R$2,2),[4]평가!$7:$7,0)-1,FALSE),"")</f>
        <v>90</v>
      </c>
      <c r="S102" s="39">
        <f>IFERROR(VLOOKUP($B102,[4]평가!$B:$Z,MATCH(LEFT(S$2,2),[4]평가!$7:$7,0)-1,FALSE),"")</f>
        <v>6</v>
      </c>
      <c r="T102" s="33">
        <f>IFERROR(VLOOKUP($B102,[5]평가!$B:$Z,MATCH(LEFT(T$2,2),[5]평가!$7:$7,0)-1,FALSE),"")</f>
        <v>0</v>
      </c>
      <c r="U102" s="36">
        <f>IFERROR(VLOOKUP($B102,[5]평가!$B:$Z,MATCH(LEFT(U$2,2),[5]평가!$7:$7,0)-1,FALSE),"")</f>
        <v>68</v>
      </c>
      <c r="V102" s="39">
        <f>IFERROR(VLOOKUP($B102,[5]평가!$B:$Z,MATCH(LEFT(V$2,2),[5]평가!$7:$7,0)-1,FALSE),"")</f>
        <v>86</v>
      </c>
      <c r="W102" s="33">
        <f>IFERROR(VLOOKUP($B102,대상!$B:$AD,MATCH(W$2,대상!$1:$1,0)-1,FALSE),"")</f>
        <v>0</v>
      </c>
      <c r="X102" s="20">
        <f>IF(ISBLANK(B102),"",T$1-COUNTIF(H102:V102,"회피"))</f>
        <v>5</v>
      </c>
      <c r="Y102" s="21">
        <f>IF($T$1=X102,(SUM(I102,L102,O102,R102,U102)-MIN(I102,L102,O102,R102,U102)-MAX(I102,L102,O102,R102,U102))/($T$1-2),SUM(I102,L102,O102,R102,U102/X102))</f>
        <v>90.666666666666671</v>
      </c>
      <c r="Z102" s="40">
        <f>IFERROR(VLOOKUP($B102,대상!$B:$AD,MATCH(Z$2,대상!$1:$1,0)-1,FALSE),0)</f>
        <v>0</v>
      </c>
      <c r="AA102" s="41">
        <f>IFERROR(IF(W102="면제","100"+Z102,Y102+Z102),"")</f>
        <v>90.666666666666671</v>
      </c>
      <c r="AB102" s="35" t="str">
        <f>IF(OR(W102="면제",N(Y102)=0),"",IF(AA102&lt;60,"과락",""))</f>
        <v/>
      </c>
      <c r="AC102" s="54">
        <f>IF(N(AA102)=0,"",RANK(AA102,AA$3:AA$202))</f>
        <v>13</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①-소비자의 니즈 및 기존 제품과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_x000D_②세정 용품의 차별성과 쿨링효과 등의 기능성 보유 기술로 개발 난이도가 있고 소비자 요구에 대응 가능한 제품으로 평가되나 실질적 사용과 반응에 대한 분석 보완이 필요하며 수요층 포지셔닝에 맞는 영업전략 수립이 요구됨  _x000D_③기술적 구현 로드맵과 비즈니스 모델 간의 정합성이 우수하며, 전체적인 사업 실행 계획의 기획 완성도가 높은 수준으로 평가됩니다.
그러나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_x000D_⑤열감완화를 위한 샤워기용 기능성 타블렛을 창업아이템으로 하여 사업전반에 대한 설명이나 목표시장에 대한 사업화에 잘 설명되어져 있으나, 실제 개발하고자 하는 제품에 대한 성능평가가 타 기능성 샤워기용 제품들과의 차별성에 대한 구체적, 객관적 근거가 부족하며 이에 대해 보완이 필요할 것으로 판단된다.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 xml:space="preserve">①일치 _x000D_②일치 _x000D_③일치 _x000D_④일치 _x000D_⑤일치 </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 xml:space="preserve">①사업화 아이템에 대하여 주력산업 분야에 해당하는지 여부에 대한 확인이 필요함.  _x000D_②주력산업 분야에 정확한 포함여부 확인 필요 _x000D_③지역주력산업 일치가 모호하므로 검증이 필요함 _x000D_④단순화학반응 제품으로 주력산업 분야에 대한 연관 검토가 필요 함. _x000D_⑤사업화 부분의 주력산업내용 포함여부에 대해 추가 검토가 필요함 </v>
      </c>
    </row>
    <row r="103" spans="1:32" ht="30" customHeight="1" x14ac:dyDescent="0.35">
      <c r="A103" s="4">
        <v>101</v>
      </c>
      <c r="B103" s="2">
        <v>20423311</v>
      </c>
      <c r="C103" s="38" t="str">
        <f>IFERROR(VLOOKUP($B103,대상!$B:$AC,MATCH(C$2,대상!$1:$1,0)-1,FALSE),"")</f>
        <v>대학발</v>
      </c>
      <c r="D103" s="38" t="str">
        <f>IFERROR(VLOOKUP($B103,대상!$B:$AC,MATCH(D$2,대상!$1:$1,0)-1,FALSE),"")</f>
        <v>신지은</v>
      </c>
      <c r="E103" s="36" t="str">
        <f>IFERROR(VLOOKUP($B103,대상!$B:$AC,MATCH(E$2,대상!$1:$1,0)-1,FALSE),"")</f>
        <v>화공ㆍ섬유</v>
      </c>
      <c r="F103" s="38" t="str">
        <f>IFERROR(VLOOKUP($B103,대상!$B:$AC,MATCH(F$2,대상!$1:$1,0)-1,FALSE),"")</f>
        <v>리사이클 팩토리 AI</v>
      </c>
      <c r="G103" s="38" t="str">
        <f>IFERROR(VLOOKUP($B103,대상!$B:$AC,MATCH(G$2,대상!$1:$1,0)-1,FALSE),"")</f>
        <v/>
      </c>
      <c r="H103" s="33">
        <f>IFERROR(VLOOKUP($B103,[1]평가!$B:$Z,MATCH(LEFT(H$2,2),[1]평가!$7:$7,0)-1,FALSE),"")</f>
        <v>0</v>
      </c>
      <c r="I103" s="36">
        <f>IFERROR(VLOOKUP($B103,[1]평가!$B:$Z,MATCH(LEFT(I$2,2),[1]평가!$7:$7,0)-1,FALSE),"")</f>
        <v>73</v>
      </c>
      <c r="J103" s="36">
        <f>IFERROR(VLOOKUP($B103,[1]평가!$B:$Z,MATCH(LEFT(J$2,2),[1]평가!$7:$7,0)-1,FALSE),"")</f>
        <v>97</v>
      </c>
      <c r="K103" s="33">
        <f>IFERROR(VLOOKUP($B103,[2]평가!$B:$Z,MATCH(LEFT(K$2,2),[2]평가!$7:$7,0)-1,FALSE),"")</f>
        <v>0</v>
      </c>
      <c r="L103" s="36">
        <f>IFERROR(VLOOKUP($B103,[2]평가!$B:$Z,MATCH(LEFT(L$2,2),[2]평가!$7:$7,0)-1,FALSE),"")</f>
        <v>86</v>
      </c>
      <c r="M103" s="39">
        <f>IFERROR(VLOOKUP($B103,[2]평가!$B:$Z,MATCH(LEFT(M$2,2),[2]평가!$7:$7,0)-1,FALSE),"")</f>
        <v>13</v>
      </c>
      <c r="N103" s="33">
        <f>IFERROR(VLOOKUP($B103,[3]평가!$B:$Z,MATCH(LEFT(N$2,2),[3]평가!$7:$7,0)-1,FALSE),"")</f>
        <v>0</v>
      </c>
      <c r="O103" s="36">
        <f>IFERROR(VLOOKUP($B103,[3]평가!$B:$Z,MATCH(LEFT(O$2,2),[3]평가!$7:$7,0)-1,FALSE),"")</f>
        <v>77</v>
      </c>
      <c r="P103" s="39">
        <f>IFERROR(VLOOKUP($B103,[3]평가!$B:$Z,MATCH(LEFT(P$2,2),[3]평가!$7:$7,0)-1,FALSE),"")</f>
        <v>51</v>
      </c>
      <c r="Q103" s="33">
        <f>IFERROR(VLOOKUP($B103,[4]평가!$B:$Z,MATCH(LEFT(Q$2,2),[4]평가!$7:$7,0)-1,FALSE),"")</f>
        <v>0</v>
      </c>
      <c r="R103" s="36">
        <f>IFERROR(VLOOKUP($B103,[4]평가!$B:$Z,MATCH(LEFT(R$2,2),[4]평가!$7:$7,0)-1,FALSE),"")</f>
        <v>70</v>
      </c>
      <c r="S103" s="39">
        <f>IFERROR(VLOOKUP($B103,[4]평가!$B:$Z,MATCH(LEFT(S$2,2),[4]평가!$7:$7,0)-1,FALSE),"")</f>
        <v>100</v>
      </c>
      <c r="T103" s="33">
        <f>IFERROR(VLOOKUP($B103,[5]평가!$B:$Z,MATCH(LEFT(T$2,2),[5]평가!$7:$7,0)-1,FALSE),"")</f>
        <v>0</v>
      </c>
      <c r="U103" s="36">
        <f>IFERROR(VLOOKUP($B103,[5]평가!$B:$Z,MATCH(LEFT(U$2,2),[5]평가!$7:$7,0)-1,FALSE),"")</f>
        <v>89</v>
      </c>
      <c r="V103" s="39">
        <f>IFERROR(VLOOKUP($B103,[5]평가!$B:$Z,MATCH(LEFT(V$2,2),[5]평가!$7:$7,0)-1,FALSE),"")</f>
        <v>7</v>
      </c>
      <c r="W103" s="33">
        <f>IFERROR(VLOOKUP($B103,대상!$B:$AD,MATCH(W$2,대상!$1:$1,0)-1,FALSE),"")</f>
        <v>0</v>
      </c>
      <c r="X103" s="20">
        <f>IF(ISBLANK(B103),"",T$1-COUNTIF(H103:V103,"회피"))</f>
        <v>5</v>
      </c>
      <c r="Y103" s="21">
        <f>IF($T$1=X103,(SUM(I103,L103,O103,R103,U103)-MIN(I103,L103,O103,R103,U103)-MAX(I103,L103,O103,R103,U103))/($T$1-2),SUM(I103,L103,O103,R103,U103/X103))</f>
        <v>78.666666666666671</v>
      </c>
      <c r="Z103" s="40">
        <f>IFERROR(VLOOKUP($B103,대상!$B:$AD,MATCH(Z$2,대상!$1:$1,0)-1,FALSE),0)</f>
        <v>0</v>
      </c>
      <c r="AA103" s="41">
        <f>IFERROR(IF(W103="면제","100"+Z103,Y103+Z103),"")</f>
        <v>78.666666666666671</v>
      </c>
      <c r="AB103" s="35" t="str">
        <f>IF(OR(W103="면제",N(Y103)=0),"",IF(AA103&lt;60,"과락",""))</f>
        <v/>
      </c>
      <c r="AC103" s="54">
        <f>IF(N(AA103)=0,"",RANK(AA103,AA$3:AA$202))</f>
        <v>52</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_x000D_②패션의류 유통산업의 변동성에 대응한 생산기획 자동화 시스템 과제로 재고와 유통 수량의 괴리를 개선하는 목적이나 유사 AI기반 재고 물류 플랫폼 형태의 시스템이 존재하므로 이에 대한 대응 전략이 필요할 것으로 판단됨. _x000D_③시장 타겟팅과 수익 구조의 틀은 잘 잡혀 있습니다. 그러나 세부적인 매출 파이프라인과 실질적인 시장 침투 전략은 구체화가 더 필요해 보입니다. 
BM의 지향점은 타당하나, 이를 뒷받침하는 사업적 논거를 보강할 필요가 있습니다. _x000D_④창업 동기와 문제 인식은 비교적 명확하게 제시가 되어 있으나, 실제 차별성이 기술 우위로 연결되는 설명은 다소 미흠 함. _x000D_⑤의류시장에서의 재고 기반 생산아이템에 대한 기획을 자체적으로 판단할 수 있는 의류팩토리 AI사업을 창업아이템으로 하여 기존시장에서의 재고관리 문제나 이를 활용하기 위한 다양한 문제점들을 잘 분석하였고, 사업방향에 대해 비교적 명확하게 제시되어 있다. 다만 기술의 구현에 대한 부분은 추가적으로 검증이 필요할 것으로 보인다.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 xml:space="preserve">①일치 _x000D_②일치 _x000D_③일치 _x000D_④일치 _x000D_⑤일치 </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 xml:space="preserve">①과제의 제목 및 사업화 아이템의 기능구성 중에 AI요소가 포함되어 일치로 판별함. _x000D_②AI 주력산업에 해당함 _x000D_③기능구성에 ai분야가 포함되어 일치됨. _x000D_④과제의 제목 및 사업화 아이템의 기능구성 중에 AI요소가 포함되어 일치로 판정 _x000D_⑤과제 구성에 AI요소가 포함되어 있어 일치로 판단됨 </v>
      </c>
    </row>
    <row r="104" spans="1:32" ht="30" customHeight="1" x14ac:dyDescent="0.35">
      <c r="A104" s="4">
        <v>102</v>
      </c>
      <c r="B104" s="2">
        <v>20425251</v>
      </c>
      <c r="C104" s="38" t="str">
        <f>IFERROR(VLOOKUP($B104,대상!$B:$AC,MATCH(C$2,대상!$1:$1,0)-1,FALSE),"")</f>
        <v>대학발</v>
      </c>
      <c r="D104" s="38" t="str">
        <f>IFERROR(VLOOKUP($B104,대상!$B:$AC,MATCH(D$2,대상!$1:$1,0)-1,FALSE),"")</f>
        <v>안정빈</v>
      </c>
      <c r="E104" s="36" t="str">
        <f>IFERROR(VLOOKUP($B104,대상!$B:$AC,MATCH(E$2,대상!$1:$1,0)-1,FALSE),"")</f>
        <v>화공ㆍ섬유</v>
      </c>
      <c r="F104" s="38" t="str">
        <f>IFERROR(VLOOKUP($B104,대상!$B:$AC,MATCH(F$2,대상!$1:$1,0)-1,FALSE),"")</f>
        <v>AI 안면 분석 기반 개인 맞춤형 눈썹 스타일링 키트</v>
      </c>
      <c r="G104" s="38" t="str">
        <f>IFERROR(VLOOKUP($B104,대상!$B:$AC,MATCH(G$2,대상!$1:$1,0)-1,FALSE),"")</f>
        <v/>
      </c>
      <c r="H104" s="33">
        <f>IFERROR(VLOOKUP($B104,[1]평가!$B:$Z,MATCH(LEFT(H$2,2),[1]평가!$7:$7,0)-1,FALSE),"")</f>
        <v>0</v>
      </c>
      <c r="I104" s="36">
        <f>IFERROR(VLOOKUP($B104,[1]평가!$B:$Z,MATCH(LEFT(I$2,2),[1]평가!$7:$7,0)-1,FALSE),"")</f>
        <v>79</v>
      </c>
      <c r="J104" s="36">
        <f>IFERROR(VLOOKUP($B104,[1]평가!$B:$Z,MATCH(LEFT(J$2,2),[1]평가!$7:$7,0)-1,FALSE),"")</f>
        <v>47</v>
      </c>
      <c r="K104" s="33">
        <f>IFERROR(VLOOKUP($B104,[2]평가!$B:$Z,MATCH(LEFT(K$2,2),[2]평가!$7:$7,0)-1,FALSE),"")</f>
        <v>0</v>
      </c>
      <c r="L104" s="36">
        <f>IFERROR(VLOOKUP($B104,[2]평가!$B:$Z,MATCH(LEFT(L$2,2),[2]평가!$7:$7,0)-1,FALSE),"")</f>
        <v>68</v>
      </c>
      <c r="M104" s="39">
        <f>IFERROR(VLOOKUP($B104,[2]평가!$B:$Z,MATCH(LEFT(M$2,2),[2]평가!$7:$7,0)-1,FALSE),"")</f>
        <v>98</v>
      </c>
      <c r="N104" s="33">
        <f>IFERROR(VLOOKUP($B104,[3]평가!$B:$Z,MATCH(LEFT(N$2,2),[3]평가!$7:$7,0)-1,FALSE),"")</f>
        <v>0</v>
      </c>
      <c r="O104" s="36">
        <f>IFERROR(VLOOKUP($B104,[3]평가!$B:$Z,MATCH(LEFT(O$2,2),[3]평가!$7:$7,0)-1,FALSE),"")</f>
        <v>73</v>
      </c>
      <c r="P104" s="39">
        <f>IFERROR(VLOOKUP($B104,[3]평가!$B:$Z,MATCH(LEFT(P$2,2),[3]평가!$7:$7,0)-1,FALSE),"")</f>
        <v>72</v>
      </c>
      <c r="Q104" s="33">
        <f>IFERROR(VLOOKUP($B104,[4]평가!$B:$Z,MATCH(LEFT(Q$2,2),[4]평가!$7:$7,0)-1,FALSE),"")</f>
        <v>0</v>
      </c>
      <c r="R104" s="36">
        <f>IFERROR(VLOOKUP($B104,[4]평가!$B:$Z,MATCH(LEFT(R$2,2),[4]평가!$7:$7,0)-1,FALSE),"")</f>
        <v>76</v>
      </c>
      <c r="S104" s="39">
        <f>IFERROR(VLOOKUP($B104,[4]평가!$B:$Z,MATCH(LEFT(S$2,2),[4]평가!$7:$7,0)-1,FALSE),"")</f>
        <v>74</v>
      </c>
      <c r="T104" s="33">
        <f>IFERROR(VLOOKUP($B104,[5]평가!$B:$Z,MATCH(LEFT(T$2,2),[5]평가!$7:$7,0)-1,FALSE),"")</f>
        <v>0</v>
      </c>
      <c r="U104" s="36">
        <f>IFERROR(VLOOKUP($B104,[5]평가!$B:$Z,MATCH(LEFT(U$2,2),[5]평가!$7:$7,0)-1,FALSE),"")</f>
        <v>65</v>
      </c>
      <c r="V104" s="39">
        <f>IFERROR(VLOOKUP($B104,[5]평가!$B:$Z,MATCH(LEFT(V$2,2),[5]평가!$7:$7,0)-1,FALSE),"")</f>
        <v>108</v>
      </c>
      <c r="W104" s="33">
        <f>IFERROR(VLOOKUP($B104,대상!$B:$AD,MATCH(W$2,대상!$1:$1,0)-1,FALSE),"")</f>
        <v>0</v>
      </c>
      <c r="X104" s="20">
        <f>IF(ISBLANK(B104),"",T$1-COUNTIF(H104:V104,"회피"))</f>
        <v>5</v>
      </c>
      <c r="Y104" s="21">
        <f>IF($T$1=X104,(SUM(I104,L104,O104,R104,U104)-MIN(I104,L104,O104,R104,U104)-MAX(I104,L104,O104,R104,U104))/($T$1-2),SUM(I104,L104,O104,R104,U104/X104))</f>
        <v>72.333333333333329</v>
      </c>
      <c r="Z104" s="40">
        <f>IFERROR(VLOOKUP($B104,대상!$B:$AD,MATCH(Z$2,대상!$1:$1,0)-1,FALSE),0)</f>
        <v>0</v>
      </c>
      <c r="AA104" s="41">
        <f>IFERROR(IF(W104="면제","100"+Z104,Y104+Z104),"")</f>
        <v>72.333333333333329</v>
      </c>
      <c r="AB104" s="35" t="str">
        <f>IF(OR(W104="면제",N(Y104)=0),"",IF(AA104&lt;60,"과락",""))</f>
        <v/>
      </c>
      <c r="AC104" s="54">
        <f>IF(N(AA104)=0,"",RANK(AA104,AA$3:AA$202))</f>
        <v>105</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_x000D_②화장 시장의 수요가 있고 이에 대응한 제품개발이나 유사 제품과 앱 개발이 다양하게 존재하고 있으므로 기술적 난이도와 시장 경쟁력이 낮을 것으로 판단됨 _x000D_③경쟁 우위 요소를 발굴하여 제시한 점은 고무적입니다. 다만 이러한 차별화 포인트가 실질적인 기술적 진입장벽이나 우위로 이어진다는 객관적 근거가 다소 미흡합니다.  _x000D_④창업아이템의 개발 배경과 목적이 비교적 명확하게 제시되었으나, 목표시장과 고객에 대한 이해 수준이 다소 부족 함. _x000D_⑤개인맞춤형 얼굴인식 앱을 통한 눈썹 키트의 customized 디바이스를 창업아이템으로 하는 사업에 대해 전반적인 설명과 기존 시장제품들과의 차별성에 대해 잘 설명이 이루어져 있다. 다만, 창업아이템에 대한 핵심적인 기술들이 모두 특허 출원 계획단계에 머물러 있어 실질적인 사업화에 대한 실현가능성이 다소 부족해 보인다.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 xml:space="preserve">①일치 _x000D_②일치 _x000D_③일치 _x000D_④일치 _x000D_⑤일치 </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 xml:space="preserve">①과제의 제목 및 사업화 아이템의 기능구성 중에 AI요소가 포함되어 일치로 판별함. _x000D_②AI 주력산업에 해당함 _x000D_③기능구성에 ai분야가 포함되어 일치됨. _x000D_④과제의 제목 및 사업화 아이템의 기능구성 중에 AI요소가 포함되어 일치로 판정 _x000D_⑤과제 구성에 AI요소가 포함되어 있어 일치로 판단됨 </v>
      </c>
    </row>
    <row r="105" spans="1:32" ht="30" customHeight="1" x14ac:dyDescent="0.35">
      <c r="A105" s="4">
        <v>103</v>
      </c>
      <c r="B105" s="2">
        <v>20429258</v>
      </c>
      <c r="C105" s="38" t="str">
        <f>IFERROR(VLOOKUP($B105,대상!$B:$AC,MATCH(C$2,대상!$1:$1,0)-1,FALSE),"")</f>
        <v>대학발</v>
      </c>
      <c r="D105" s="38" t="str">
        <f>IFERROR(VLOOKUP($B105,대상!$B:$AC,MATCH(D$2,대상!$1:$1,0)-1,FALSE),"")</f>
        <v>최다인</v>
      </c>
      <c r="E105" s="36" t="str">
        <f>IFERROR(VLOOKUP($B105,대상!$B:$AC,MATCH(E$2,대상!$1:$1,0)-1,FALSE),"")</f>
        <v>화공ㆍ섬유</v>
      </c>
      <c r="F105" s="38" t="str">
        <f>IFERROR(VLOOKUP($B105,대상!$B:$AC,MATCH(F$2,대상!$1:$1,0)-1,FALSE),"")</f>
        <v>피부를 숨기지 않아도 되는 안심 베이스</v>
      </c>
      <c r="G105" s="38" t="str">
        <f>IFERROR(VLOOKUP($B105,대상!$B:$AC,MATCH(G$2,대상!$1:$1,0)-1,FALSE),"")</f>
        <v/>
      </c>
      <c r="H105" s="33" t="str">
        <f>IFERROR(VLOOKUP($B105,[1]평가!$B:$Z,MATCH(LEFT(H$2,2),[1]평가!$7:$7,0)-1,FALSE),"")</f>
        <v>요건탈락</v>
      </c>
      <c r="I105" s="36" t="str">
        <f>IFERROR(VLOOKUP($B105,[1]평가!$B:$Z,MATCH(LEFT(I$2,2),[1]평가!$7:$7,0)-1,FALSE),"")</f>
        <v/>
      </c>
      <c r="J105" s="36" t="str">
        <f>IFERROR(VLOOKUP($B105,[1]평가!$B:$Z,MATCH(LEFT(J$2,2),[1]평가!$7:$7,0)-1,FALSE),"")</f>
        <v/>
      </c>
      <c r="K105" s="33" t="str">
        <f>IFERROR(VLOOKUP($B105,[2]평가!$B:$Z,MATCH(LEFT(K$2,2),[2]평가!$7:$7,0)-1,FALSE),"")</f>
        <v>요건탈락</v>
      </c>
      <c r="L105" s="36" t="str">
        <f>IFERROR(VLOOKUP($B105,[2]평가!$B:$Z,MATCH(LEFT(L$2,2),[2]평가!$7:$7,0)-1,FALSE),"")</f>
        <v/>
      </c>
      <c r="M105" s="39" t="str">
        <f>IFERROR(VLOOKUP($B105,[2]평가!$B:$Z,MATCH(LEFT(M$2,2),[2]평가!$7:$7,0)-1,FALSE),"")</f>
        <v/>
      </c>
      <c r="N105" s="33" t="str">
        <f>IFERROR(VLOOKUP($B105,[3]평가!$B:$Z,MATCH(LEFT(N$2,2),[3]평가!$7:$7,0)-1,FALSE),"")</f>
        <v>요건탈락</v>
      </c>
      <c r="O105" s="36" t="str">
        <f>IFERROR(VLOOKUP($B105,[3]평가!$B:$Z,MATCH(LEFT(O$2,2),[3]평가!$7:$7,0)-1,FALSE),"")</f>
        <v/>
      </c>
      <c r="P105" s="39" t="str">
        <f>IFERROR(VLOOKUP($B105,[3]평가!$B:$Z,MATCH(LEFT(P$2,2),[3]평가!$7:$7,0)-1,FALSE),"")</f>
        <v/>
      </c>
      <c r="Q105" s="33" t="str">
        <f>IFERROR(VLOOKUP($B105,[4]평가!$B:$Z,MATCH(LEFT(Q$2,2),[4]평가!$7:$7,0)-1,FALSE),"")</f>
        <v>요건탈락</v>
      </c>
      <c r="R105" s="36" t="str">
        <f>IFERROR(VLOOKUP($B105,[4]평가!$B:$Z,MATCH(LEFT(R$2,2),[4]평가!$7:$7,0)-1,FALSE),"")</f>
        <v/>
      </c>
      <c r="S105" s="39" t="str">
        <f>IFERROR(VLOOKUP($B105,[4]평가!$B:$Z,MATCH(LEFT(S$2,2),[4]평가!$7:$7,0)-1,FALSE),"")</f>
        <v/>
      </c>
      <c r="T105" s="33" t="str">
        <f>IFERROR(VLOOKUP($B105,[5]평가!$B:$Z,MATCH(LEFT(T$2,2),[5]평가!$7:$7,0)-1,FALSE),"")</f>
        <v>요건탈락</v>
      </c>
      <c r="U105" s="36" t="str">
        <f>IFERROR(VLOOKUP($B105,[5]평가!$B:$Z,MATCH(LEFT(U$2,2),[5]평가!$7:$7,0)-1,FALSE),"")</f>
        <v/>
      </c>
      <c r="V105" s="39" t="str">
        <f>IFERROR(VLOOKUP($B105,[5]평가!$B:$Z,MATCH(LEFT(V$2,2),[5]평가!$7:$7,0)-1,FALSE),"")</f>
        <v/>
      </c>
      <c r="W105" s="33" t="str">
        <f>IFERROR(VLOOKUP($B105,대상!$B:$AD,MATCH(W$2,대상!$1:$1,0)-1,FALSE),"")</f>
        <v>요건탈락</v>
      </c>
      <c r="X105" s="20">
        <f>IF(ISBLANK(B105),"",T$1-COUNTIF(H105:V105,"회피"))</f>
        <v>5</v>
      </c>
      <c r="Y105" s="21">
        <f>IF($T$1=X105,(SUM(I105,L105,O105,R105,U105)-MIN(I105,L105,O105,R105,U105)-MAX(I105,L105,O105,R105,U105))/($T$1-2),SUM(I105,L105,O105,R105,U105/X105))</f>
        <v>0</v>
      </c>
      <c r="Z105" s="40">
        <f>IFERROR(VLOOKUP($B105,대상!$B:$AD,MATCH(Z$2,대상!$1:$1,0)-1,FALSE),0)</f>
        <v>0</v>
      </c>
      <c r="AA105" s="41">
        <f>IFERROR(IF(W105="면제","100"+Z105,Y105+Z105),"")</f>
        <v>0</v>
      </c>
      <c r="AB105" s="35" t="str">
        <f>IF(OR(W105="면제",N(Y105)=0),"",IF(AA105&lt;60,"과락",""))</f>
        <v/>
      </c>
      <c r="AC105" s="54" t="str">
        <f>IF(N(AA105)=0,"",RANK(AA105,AA$3:AA$202))</f>
        <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0_x000D_0_x000D_0_x000D_0_x000D_0</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104</v>
      </c>
      <c r="B106" s="2">
        <v>20421742</v>
      </c>
      <c r="C106" s="38" t="str">
        <f>IFERROR(VLOOKUP($B106,대상!$B:$AC,MATCH(C$2,대상!$1:$1,0)-1,FALSE),"")</f>
        <v>실험실</v>
      </c>
      <c r="D106" s="38" t="str">
        <f>IFERROR(VLOOKUP($B106,대상!$B:$AC,MATCH(D$2,대상!$1:$1,0)-1,FALSE),"")</f>
        <v>이원철</v>
      </c>
      <c r="E106" s="36" t="str">
        <f>IFERROR(VLOOKUP($B106,대상!$B:$AC,MATCH(E$2,대상!$1:$1,0)-1,FALSE),"")</f>
        <v>화공ㆍ섬유</v>
      </c>
      <c r="F106" s="38" t="str">
        <f>IFERROR(VLOOKUP($B106,대상!$B:$AC,MATCH(F$2,대상!$1:$1,0)-1,FALSE),"")</f>
        <v>고난도 첨단 연구용 유기화합물 맞춤형 합성·공급 플랫폼</v>
      </c>
      <c r="G106" s="38" t="str">
        <f>IFERROR(VLOOKUP($B106,대상!$B:$AC,MATCH(G$2,대상!$1:$1,0)-1,FALSE),"")</f>
        <v/>
      </c>
      <c r="H106" s="33" t="str">
        <f>IFERROR(VLOOKUP($B106,[1]평가!$B:$Z,MATCH(LEFT(H$2,2),[1]평가!$7:$7,0)-1,FALSE),"")</f>
        <v/>
      </c>
      <c r="I106" s="36">
        <f>IFERROR(VLOOKUP($B106,[1]평가!$B:$Z,MATCH(LEFT(I$2,2),[1]평가!$7:$7,0)-1,FALSE),"")</f>
        <v>90</v>
      </c>
      <c r="J106" s="36">
        <f>IFERROR(VLOOKUP($B106,[1]평가!$B:$Z,MATCH(LEFT(J$2,2),[1]평가!$7:$7,0)-1,FALSE),"")</f>
        <v>8</v>
      </c>
      <c r="K106" s="33" t="str">
        <f>IFERROR(VLOOKUP($B106,[2]평가!$B:$Z,MATCH(LEFT(K$2,2),[2]평가!$7:$7,0)-1,FALSE),"")</f>
        <v/>
      </c>
      <c r="L106" s="36">
        <f>IFERROR(VLOOKUP($B106,[2]평가!$B:$Z,MATCH(LEFT(L$2,2),[2]평가!$7:$7,0)-1,FALSE),"")</f>
        <v>94</v>
      </c>
      <c r="M106" s="39">
        <f>IFERROR(VLOOKUP($B106,[2]평가!$B:$Z,MATCH(LEFT(M$2,2),[2]평가!$7:$7,0)-1,FALSE),"")</f>
        <v>3</v>
      </c>
      <c r="N106" s="33" t="str">
        <f>IFERROR(VLOOKUP($B106,[3]평가!$B:$Z,MATCH(LEFT(N$2,2),[3]평가!$7:$7,0)-1,FALSE),"")</f>
        <v/>
      </c>
      <c r="O106" s="36">
        <f>IFERROR(VLOOKUP($B106,[3]평가!$B:$Z,MATCH(LEFT(O$2,2),[3]평가!$7:$7,0)-1,FALSE),"")</f>
        <v>93</v>
      </c>
      <c r="P106" s="39">
        <f>IFERROR(VLOOKUP($B106,[3]평가!$B:$Z,MATCH(LEFT(P$2,2),[3]평가!$7:$7,0)-1,FALSE),"")</f>
        <v>5</v>
      </c>
      <c r="Q106" s="33" t="str">
        <f>IFERROR(VLOOKUP($B106,[4]평가!$B:$Z,MATCH(LEFT(Q$2,2),[4]평가!$7:$7,0)-1,FALSE),"")</f>
        <v/>
      </c>
      <c r="R106" s="36">
        <f>IFERROR(VLOOKUP($B106,[4]평가!$B:$Z,MATCH(LEFT(R$2,2),[4]평가!$7:$7,0)-1,FALSE),"")</f>
        <v>90</v>
      </c>
      <c r="S106" s="39">
        <f>IFERROR(VLOOKUP($B106,[4]평가!$B:$Z,MATCH(LEFT(S$2,2),[4]평가!$7:$7,0)-1,FALSE),"")</f>
        <v>6</v>
      </c>
      <c r="T106" s="33" t="str">
        <f>IFERROR(VLOOKUP($B106,[5]평가!$B:$Z,MATCH(LEFT(T$2,2),[5]평가!$7:$7,0)-1,FALSE),"")</f>
        <v/>
      </c>
      <c r="U106" s="36">
        <f>IFERROR(VLOOKUP($B106,[5]평가!$B:$Z,MATCH(LEFT(U$2,2),[5]평가!$7:$7,0)-1,FALSE),"")</f>
        <v>89</v>
      </c>
      <c r="V106" s="39">
        <f>IFERROR(VLOOKUP($B106,[5]평가!$B:$Z,MATCH(LEFT(V$2,2),[5]평가!$7:$7,0)-1,FALSE),"")</f>
        <v>7</v>
      </c>
      <c r="W106" s="33" t="str">
        <f>IFERROR(VLOOKUP($B106,대상!$B:$AD,MATCH(W$2,대상!$1:$1,0)-1,FALSE),"")</f>
        <v/>
      </c>
      <c r="X106" s="20">
        <f>IF(ISBLANK(B106),"",T$1-COUNTIF(H106:V106,"회피"))</f>
        <v>5</v>
      </c>
      <c r="Y106" s="21">
        <f>IF($T$1=X106,(SUM(I106,L106,O106,R106,U106)-MIN(I106,L106,O106,R106,U106)-MAX(I106,L106,O106,R106,U106))/($T$1-2),SUM(I106,L106,O106,R106,U106/X106))</f>
        <v>91</v>
      </c>
      <c r="Z106" s="40">
        <f>IFERROR(VLOOKUP($B106,대상!$B:$AD,MATCH(Z$2,대상!$1:$1,0)-1,FALSE),0)</f>
        <v>0</v>
      </c>
      <c r="AA106" s="41">
        <f>IFERROR(IF(W106="면제","100"+Z106,Y106+Z106),"")</f>
        <v>91</v>
      </c>
      <c r="AB106" s="35" t="str">
        <f>IF(OR(W106="면제",N(Y106)=0),"",IF(AA106&lt;60,"과락",""))</f>
        <v/>
      </c>
      <c r="AC106" s="54">
        <f>IF(N(AA106)=0,"",RANK(AA106,AA$3:AA$202))</f>
        <v>12</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_x000D_②특수 유기 합성 기술과 위탁 기술의 필요성과 향후 고부가성 합성기술을 위한 필요한 과제로 개발 기업의 대응 기술에 대한 역량이 높고 협업화 시스템이 확보된 것으로 판단됨 _x000D_③시장 타겟팅과 수익 구조의 틀은 잘 잡혀 있습니다. 세부적인 매출 파이프라인과 실질적인 시장 침투 전략은 구체화가 더 필요해 보입니다.  _x000D_④창업 동기와 문제 인식이 비교적 명확하게 제시가 되어 있으며, 사업화 가능성을 검토한 수준도 양호하다고 판단 됨. _x000D_⑤다양한 분야에서 활용될 수 있는 고부가가ㅊ치 특수 유기화합물을 고객요구에 맞추어 설계, 합성, 공급할 수있는 플랫폼을 마련하는 창업아이템을 기반으로 전반적인 내용이 명확하게 제시되어 있다. 기술에 대한 설명과 사업계획의 방향성도 잘 매칭되어 완성도가 적절한 것으로 보인다.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hidden="1" customHeight="1" x14ac:dyDescent="0.35">
      <c r="A107" s="4">
        <v>28</v>
      </c>
      <c r="B107" s="2">
        <v>20430698</v>
      </c>
      <c r="C107" s="38" t="str">
        <f>IFERROR(VLOOKUP($B107,대상!$B:$AC,MATCH(C$2,대상!$1:$1,0)-1,FALSE),"")</f>
        <v>지역기반</v>
      </c>
      <c r="D107" s="38" t="str">
        <f>IFERROR(VLOOKUP($B107,대상!$B:$AC,MATCH(D$2,대상!$1:$1,0)-1,FALSE),"")</f>
        <v>박아영</v>
      </c>
      <c r="E107" s="36" t="str">
        <f>IFERROR(VLOOKUP($B107,대상!$B:$AC,MATCH(E$2,대상!$1:$1,0)-1,FALSE),"")</f>
        <v>화공ㆍ섬유</v>
      </c>
      <c r="F107" s="38" t="str">
        <f>IFERROR(VLOOKUP($B107,대상!$B:$AC,MATCH(F$2,대상!$1:$1,0)-1,FALSE),"")</f>
        <v>그래핀 복합 원사 기술이 적용된 항균·소취 기능의 쾌적한 수면 환경을 제공하는 기능성 침구 제품</v>
      </c>
      <c r="G107" s="38" t="str">
        <f>IFERROR(VLOOKUP($B107,대상!$B:$AC,MATCH(G$2,대상!$1:$1,0)-1,FALSE),"")</f>
        <v/>
      </c>
      <c r="H107" s="33">
        <f>IFERROR(VLOOKUP($B107,[1]평가!$B:$Z,MATCH(LEFT(H$2,2),[1]평가!$7:$7,0)-1,FALSE),"")</f>
        <v>0</v>
      </c>
      <c r="I107" s="36">
        <f>IFERROR(VLOOKUP($B107,[1]평가!$B:$Z,MATCH(LEFT(I$2,2),[1]평가!$7:$7,0)-1,FALSE),"")</f>
        <v>81</v>
      </c>
      <c r="J107" s="36">
        <f>IFERROR(VLOOKUP($B107,[1]평가!$B:$Z,MATCH(LEFT(J$2,2),[1]평가!$7:$7,0)-1,FALSE),"")</f>
        <v>37</v>
      </c>
      <c r="K107" s="33">
        <f>IFERROR(VLOOKUP($B107,[2]평가!$B:$Z,MATCH(LEFT(K$2,2),[2]평가!$7:$7,0)-1,FALSE),"")</f>
        <v>0</v>
      </c>
      <c r="L107" s="36">
        <f>IFERROR(VLOOKUP($B107,[2]평가!$B:$Z,MATCH(LEFT(L$2,2),[2]평가!$7:$7,0)-1,FALSE),"")</f>
        <v>78</v>
      </c>
      <c r="M107" s="39">
        <f>IFERROR(VLOOKUP($B107,[2]평가!$B:$Z,MATCH(LEFT(M$2,2),[2]평가!$7:$7,0)-1,FALSE),"")</f>
        <v>55</v>
      </c>
      <c r="N107" s="33">
        <f>IFERROR(VLOOKUP($B107,[3]평가!$B:$Z,MATCH(LEFT(N$2,2),[3]평가!$7:$7,0)-1,FALSE),"")</f>
        <v>0</v>
      </c>
      <c r="O107" s="36">
        <f>IFERROR(VLOOKUP($B107,[3]평가!$B:$Z,MATCH(LEFT(O$2,2),[3]평가!$7:$7,0)-1,FALSE),"")</f>
        <v>66</v>
      </c>
      <c r="P107" s="39">
        <f>IFERROR(VLOOKUP($B107,[3]평가!$B:$Z,MATCH(LEFT(P$2,2),[3]평가!$7:$7,0)-1,FALSE),"")</f>
        <v>104</v>
      </c>
      <c r="Q107" s="33">
        <f>IFERROR(VLOOKUP($B107,[4]평가!$B:$Z,MATCH(LEFT(Q$2,2),[4]평가!$7:$7,0)-1,FALSE),"")</f>
        <v>0</v>
      </c>
      <c r="R107" s="36">
        <f>IFERROR(VLOOKUP($B107,[4]평가!$B:$Z,MATCH(LEFT(R$2,2),[4]평가!$7:$7,0)-1,FALSE),"")</f>
        <v>73</v>
      </c>
      <c r="S107" s="39">
        <f>IFERROR(VLOOKUP($B107,[4]평가!$B:$Z,MATCH(LEFT(S$2,2),[4]평가!$7:$7,0)-1,FALSE),"")</f>
        <v>90</v>
      </c>
      <c r="T107" s="33">
        <f>IFERROR(VLOOKUP($B107,[5]평가!$B:$Z,MATCH(LEFT(T$2,2),[5]평가!$7:$7,0)-1,FALSE),"")</f>
        <v>0</v>
      </c>
      <c r="U107" s="36">
        <f>IFERROR(VLOOKUP($B107,[5]평가!$B:$Z,MATCH(LEFT(U$2,2),[5]평가!$7:$7,0)-1,FALSE),"")</f>
        <v>67</v>
      </c>
      <c r="V107" s="39">
        <f>IFERROR(VLOOKUP($B107,[5]평가!$B:$Z,MATCH(LEFT(V$2,2),[5]평가!$7:$7,0)-1,FALSE),"")</f>
        <v>95</v>
      </c>
      <c r="W107" s="33">
        <f>IFERROR(VLOOKUP($B107,대상!$B:$AD,MATCH(W$2,대상!$1:$1,0)-1,FALSE),"")</f>
        <v>0</v>
      </c>
      <c r="X107" s="20">
        <f>IF(ISBLANK(B107),"",T$1-COUNTIF(H107:V107,"회피"))</f>
        <v>5</v>
      </c>
      <c r="Y107" s="21">
        <f>IF($T$1=X107,(SUM(I107,L107,O107,R107,U107)-MIN(I107,L107,O107,R107,U107)-MAX(I107,L107,O107,R107,U107))/($T$1-2),SUM(I107,L107,O107,R107,U107/X107))</f>
        <v>72.666666666666671</v>
      </c>
      <c r="Z107" s="40">
        <f>IFERROR(VLOOKUP($B107,대상!$B:$AD,MATCH(Z$2,대상!$1:$1,0)-1,FALSE),0)</f>
        <v>0</v>
      </c>
      <c r="AA107" s="41">
        <f>IFERROR(IF(W107="면제","100"+Z107,Y107+Z107),"")</f>
        <v>72.666666666666671</v>
      </c>
      <c r="AB107" s="35" t="str">
        <f>IF(OR(W107="면제",N(Y107)=0),"",IF(AA107&lt;60,"과락",""))</f>
        <v/>
      </c>
      <c r="AC107" s="54">
        <f>IF(N(AA107)=0,"",RANK(AA107,AA$3:AA$202))</f>
        <v>103</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①-사업화 아이템이 기존의 시장의 유사제품에 대하여 경쟁력 확보를 위한 차별화 요소 발굴에 대한 고민이 필요해 보입니다.
-장업지원사업의 특성을 고려한 성과목표 제시 및 달성방안에 대한 고민이 필요해 보입니다.  _x000D_②기존 소재와 다른 소재 적용으로 기능성 (항균,소취)에 대한 사전 시험 및 분석, 메커니즘에 대한 설명이 미흡하고 단순 원사 교체로 인한 제품으로의 차별성이 미흡함.  또한 제품 경쟁력 분석도 미흡한 것으로 판단됨 _x000D_③개발하고자하는 제품의 핵심기능을 제시하였으나 그래핀 복합원사 기반 기능성 침구에 대한 설계와 제작 방법에 대한 자세한 보완이 필요함. 
제조에 참여한 대표의 역량이 뛰어나나 제품개발 관련한 기능과 차별성 검증이 다소 부족하여 보완이 필요함.  _x000D_④전반적으로 차별화 방향은 확인되나 독창성 판단에는 추가 검토가 필요 함 _x000D_⑤그래핀소재를 활용하여 프리미엄 침구시장을 위한 제품에 대해 그 문제인식과 필요성 및 사업성 전반에 대해 잘 설명하고 있다. 다만, 개발제품에 대한 성능 확인이나 분석 그리고 기존시장의 제품을 대체하기 위한 가격 확보, 마케팅 방안등이 사업화를 위해 보완되어야 하기에 아쉬운 부분이 있다.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hidden="1" customHeight="1" x14ac:dyDescent="0.35">
      <c r="A108" s="4">
        <v>97</v>
      </c>
      <c r="B108" s="2">
        <v>20432575</v>
      </c>
      <c r="C108" s="38" t="str">
        <f>IFERROR(VLOOKUP($B108,대상!$B:$AC,MATCH(C$2,대상!$1:$1,0)-1,FALSE),"")</f>
        <v>지역기반</v>
      </c>
      <c r="D108" s="38" t="str">
        <f>IFERROR(VLOOKUP($B108,대상!$B:$AC,MATCH(D$2,대상!$1:$1,0)-1,FALSE),"")</f>
        <v>김정훈</v>
      </c>
      <c r="E108" s="36" t="str">
        <f>IFERROR(VLOOKUP($B108,대상!$B:$AC,MATCH(E$2,대상!$1:$1,0)-1,FALSE),"")</f>
        <v>화공ㆍ섬유</v>
      </c>
      <c r="F108" s="38" t="str">
        <f>IFERROR(VLOOKUP($B108,대상!$B:$AC,MATCH(F$2,대상!$1:$1,0)-1,FALSE),"")</f>
        <v>비건·할랄 기준을 적용한 피부장벽·탄력 개선 기능의 글로벌 스킨케어 제품</v>
      </c>
      <c r="G108" s="38" t="str">
        <f>IFERROR(VLOOKUP($B108,대상!$B:$AC,MATCH(G$2,대상!$1:$1,0)-1,FALSE),"")</f>
        <v/>
      </c>
      <c r="H108" s="33">
        <f>IFERROR(VLOOKUP($B108,[1]평가!$B:$Z,MATCH(LEFT(H$2,2),[1]평가!$7:$7,0)-1,FALSE),"")</f>
        <v>0</v>
      </c>
      <c r="I108" s="36">
        <f>IFERROR(VLOOKUP($B108,[1]평가!$B:$Z,MATCH(LEFT(I$2,2),[1]평가!$7:$7,0)-1,FALSE),"")</f>
        <v>73</v>
      </c>
      <c r="J108" s="36">
        <f>IFERROR(VLOOKUP($B108,[1]평가!$B:$Z,MATCH(LEFT(J$2,2),[1]평가!$7:$7,0)-1,FALSE),"")</f>
        <v>97</v>
      </c>
      <c r="K108" s="33">
        <f>IFERROR(VLOOKUP($B108,[2]평가!$B:$Z,MATCH(LEFT(K$2,2),[2]평가!$7:$7,0)-1,FALSE),"")</f>
        <v>0</v>
      </c>
      <c r="L108" s="36">
        <f>IFERROR(VLOOKUP($B108,[2]평가!$B:$Z,MATCH(LEFT(L$2,2),[2]평가!$7:$7,0)-1,FALSE),"")</f>
        <v>69</v>
      </c>
      <c r="M108" s="39">
        <f>IFERROR(VLOOKUP($B108,[2]평가!$B:$Z,MATCH(LEFT(M$2,2),[2]평가!$7:$7,0)-1,FALSE),"")</f>
        <v>88</v>
      </c>
      <c r="N108" s="33">
        <f>IFERROR(VLOOKUP($B108,[3]평가!$B:$Z,MATCH(LEFT(N$2,2),[3]평가!$7:$7,0)-1,FALSE),"")</f>
        <v>0</v>
      </c>
      <c r="O108" s="36">
        <f>IFERROR(VLOOKUP($B108,[3]평가!$B:$Z,MATCH(LEFT(O$2,2),[3]평가!$7:$7,0)-1,FALSE),"")</f>
        <v>70</v>
      </c>
      <c r="P108" s="39">
        <f>IFERROR(VLOOKUP($B108,[3]평가!$B:$Z,MATCH(LEFT(P$2,2),[3]평가!$7:$7,0)-1,FALSE),"")</f>
        <v>84</v>
      </c>
      <c r="Q108" s="33">
        <f>IFERROR(VLOOKUP($B108,[4]평가!$B:$Z,MATCH(LEFT(Q$2,2),[4]평가!$7:$7,0)-1,FALSE),"")</f>
        <v>0</v>
      </c>
      <c r="R108" s="36">
        <f>IFERROR(VLOOKUP($B108,[4]평가!$B:$Z,MATCH(LEFT(R$2,2),[4]평가!$7:$7,0)-1,FALSE),"")</f>
        <v>78</v>
      </c>
      <c r="S108" s="39">
        <f>IFERROR(VLOOKUP($B108,[4]평가!$B:$Z,MATCH(LEFT(S$2,2),[4]평가!$7:$7,0)-1,FALSE),"")</f>
        <v>66</v>
      </c>
      <c r="T108" s="33">
        <f>IFERROR(VLOOKUP($B108,[5]평가!$B:$Z,MATCH(LEFT(T$2,2),[5]평가!$7:$7,0)-1,FALSE),"")</f>
        <v>0</v>
      </c>
      <c r="U108" s="36">
        <f>IFERROR(VLOOKUP($B108,[5]평가!$B:$Z,MATCH(LEFT(U$2,2),[5]평가!$7:$7,0)-1,FALSE),"")</f>
        <v>75</v>
      </c>
      <c r="V108" s="39">
        <f>IFERROR(VLOOKUP($B108,[5]평가!$B:$Z,MATCH(LEFT(V$2,2),[5]평가!$7:$7,0)-1,FALSE),"")</f>
        <v>63</v>
      </c>
      <c r="W108" s="33">
        <f>IFERROR(VLOOKUP($B108,대상!$B:$AD,MATCH(W$2,대상!$1:$1,0)-1,FALSE),"")</f>
        <v>0</v>
      </c>
      <c r="X108" s="20">
        <f>IF(ISBLANK(B108),"",T$1-COUNTIF(H108:V108,"회피"))</f>
        <v>5</v>
      </c>
      <c r="Y108" s="21">
        <f>IF($T$1=X108,(SUM(I108,L108,O108,R108,U108)-MIN(I108,L108,O108,R108,U108)-MAX(I108,L108,O108,R108,U108))/($T$1-2),SUM(I108,L108,O108,R108,U108/X108))</f>
        <v>72.666666666666671</v>
      </c>
      <c r="Z108" s="40">
        <f>IFERROR(VLOOKUP($B108,대상!$B:$AD,MATCH(Z$2,대상!$1:$1,0)-1,FALSE),0)</f>
        <v>0</v>
      </c>
      <c r="AA108" s="41">
        <f>IFERROR(IF(W108="면제","100"+Z108,Y108+Z108),"")</f>
        <v>72.666666666666671</v>
      </c>
      <c r="AB108" s="35" t="str">
        <f>IF(OR(W108="면제",N(Y108)=0),"",IF(AA108&lt;60,"과락",""))</f>
        <v/>
      </c>
      <c r="AC108" s="54">
        <f>IF(N(AA108)=0,"",RANK(AA108,AA$3:AA$202))</f>
        <v>103</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①-기존시장의 유사제품과 비교하여 소비자의 니즈 및 우리 제품의 차별화 요소를 바탕으로 보다 다각적인 경쟁분석을 통한 사업화 아이템의 성공가능성 향상에 대한 고민이 필요해 보입니다.
-창업지원사업의 특성을 고려한 정량적 성과지표 및 달성방안에 대한 설명이 필요해 보입니다. _x000D_②비건과 할랄 화장품 요구 시장에 대응하는 제품개발로 타겟 시장에 대한 영업 목표는 구체화되어 있으나 시장성이 협소하고 개발 과정에서의 인증 및 콘텐츠 등 프로세스가 기존 제품과 유사하고 제품에 대한 차별성이 부족하여 향후 시장 진입시 경쟁력 확보가 어려울 것으로 판단됨 _x000D_③대표자의 유관 분야 경력과 전문 역량은 신뢰할 만한 수준입니다.
기술 리더십은 확인되나, 목표 달성을 위한 구체적인 실현 가능성은 추가 검토가 필요합니다.  _x000D_④창업 동기와 문제 인식이 비교적 명확하게 제시가 되어 있으나 사업화 가능성을 검토한 수준은 다소 미흡한 것으로 판단 됨. _x000D_⑤비건 할랄을 중심으로 한 기능성 화장품을 창업아이템으로 하여 시장에서의 요구성과 고객을 통한 필요성 등에 대해 잘 설명되어져 있다. 다만 기존 시장의 기능성 제품들과의 객관성 있는 비교나 효용성에 대한 분석자료가 보완이 필요할 것으로 보인다.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hidden="1" customHeight="1" x14ac:dyDescent="0.35">
      <c r="A109" s="4">
        <v>62</v>
      </c>
      <c r="B109" s="2">
        <v>20417853</v>
      </c>
      <c r="C109" s="38" t="str">
        <f>IFERROR(VLOOKUP($B109,대상!$B:$AC,MATCH(C$2,대상!$1:$1,0)-1,FALSE),"")</f>
        <v>지역기반</v>
      </c>
      <c r="D109" s="38" t="str">
        <f>IFERROR(VLOOKUP($B109,대상!$B:$AC,MATCH(D$2,대상!$1:$1,0)-1,FALSE),"")</f>
        <v>남효정</v>
      </c>
      <c r="E109" s="36" t="str">
        <f>IFERROR(VLOOKUP($B109,대상!$B:$AC,MATCH(E$2,대상!$1:$1,0)-1,FALSE),"")</f>
        <v>화공ㆍ섬유</v>
      </c>
      <c r="F109" s="38" t="str">
        <f>IFERROR(VLOOKUP($B109,대상!$B:$AC,MATCH(F$2,대상!$1:$1,0)-1,FALSE),"")</f>
        <v>AI 가상피팅 기반의 데이터 검증 및 고객 반응형 생산 D2C 패션 브랜드</v>
      </c>
      <c r="G109" s="38" t="str">
        <f>IFERROR(VLOOKUP($B109,대상!$B:$AC,MATCH(G$2,대상!$1:$1,0)-1,FALSE),"")</f>
        <v/>
      </c>
      <c r="H109" s="33">
        <f>IFERROR(VLOOKUP($B109,[1]평가!$B:$Z,MATCH(LEFT(H$2,2),[1]평가!$7:$7,0)-1,FALSE),"")</f>
        <v>0</v>
      </c>
      <c r="I109" s="36">
        <f>IFERROR(VLOOKUP($B109,[1]평가!$B:$Z,MATCH(LEFT(I$2,2),[1]평가!$7:$7,0)-1,FALSE),"")</f>
        <v>79</v>
      </c>
      <c r="J109" s="36">
        <f>IFERROR(VLOOKUP($B109,[1]평가!$B:$Z,MATCH(LEFT(J$2,2),[1]평가!$7:$7,0)-1,FALSE),"")</f>
        <v>47</v>
      </c>
      <c r="K109" s="33">
        <f>IFERROR(VLOOKUP($B109,[2]평가!$B:$Z,MATCH(LEFT(K$2,2),[2]평가!$7:$7,0)-1,FALSE),"")</f>
        <v>0</v>
      </c>
      <c r="L109" s="36">
        <f>IFERROR(VLOOKUP($B109,[2]평가!$B:$Z,MATCH(LEFT(L$2,2),[2]평가!$7:$7,0)-1,FALSE),"")</f>
        <v>69</v>
      </c>
      <c r="M109" s="39">
        <f>IFERROR(VLOOKUP($B109,[2]평가!$B:$Z,MATCH(LEFT(M$2,2),[2]평가!$7:$7,0)-1,FALSE),"")</f>
        <v>88</v>
      </c>
      <c r="N109" s="33">
        <f>IFERROR(VLOOKUP($B109,[3]평가!$B:$Z,MATCH(LEFT(N$2,2),[3]평가!$7:$7,0)-1,FALSE),"")</f>
        <v>0</v>
      </c>
      <c r="O109" s="36">
        <f>IFERROR(VLOOKUP($B109,[3]평가!$B:$Z,MATCH(LEFT(O$2,2),[3]평가!$7:$7,0)-1,FALSE),"")</f>
        <v>76</v>
      </c>
      <c r="P109" s="39">
        <f>IFERROR(VLOOKUP($B109,[3]평가!$B:$Z,MATCH(LEFT(P$2,2),[3]평가!$7:$7,0)-1,FALSE),"")</f>
        <v>55</v>
      </c>
      <c r="Q109" s="33">
        <f>IFERROR(VLOOKUP($B109,[4]평가!$B:$Z,MATCH(LEFT(Q$2,2),[4]평가!$7:$7,0)-1,FALSE),"")</f>
        <v>0</v>
      </c>
      <c r="R109" s="36">
        <f>IFERROR(VLOOKUP($B109,[4]평가!$B:$Z,MATCH(LEFT(R$2,2),[4]평가!$7:$7,0)-1,FALSE),"")</f>
        <v>71</v>
      </c>
      <c r="S109" s="39">
        <f>IFERROR(VLOOKUP($B109,[4]평가!$B:$Z,MATCH(LEFT(S$2,2),[4]평가!$7:$7,0)-1,FALSE),"")</f>
        <v>98</v>
      </c>
      <c r="T109" s="33">
        <f>IFERROR(VLOOKUP($B109,[5]평가!$B:$Z,MATCH(LEFT(T$2,2),[5]평가!$7:$7,0)-1,FALSE),"")</f>
        <v>0</v>
      </c>
      <c r="U109" s="36">
        <f>IFERROR(VLOOKUP($B109,[5]평가!$B:$Z,MATCH(LEFT(U$2,2),[5]평가!$7:$7,0)-1,FALSE),"")</f>
        <v>66</v>
      </c>
      <c r="V109" s="39">
        <f>IFERROR(VLOOKUP($B109,[5]평가!$B:$Z,MATCH(LEFT(V$2,2),[5]평가!$7:$7,0)-1,FALSE),"")</f>
        <v>100</v>
      </c>
      <c r="W109" s="33">
        <f>IFERROR(VLOOKUP($B109,대상!$B:$AD,MATCH(W$2,대상!$1:$1,0)-1,FALSE),"")</f>
        <v>0</v>
      </c>
      <c r="X109" s="20">
        <f>IF(ISBLANK(B109),"",T$1-COUNTIF(H109:V109,"회피"))</f>
        <v>5</v>
      </c>
      <c r="Y109" s="21">
        <f>IF($T$1=X109,(SUM(I109,L109,O109,R109,U109)-MIN(I109,L109,O109,R109,U109)-MAX(I109,L109,O109,R109,U109))/($T$1-2),SUM(I109,L109,O109,R109,U109/X109))</f>
        <v>72</v>
      </c>
      <c r="Z109" s="40">
        <f>IFERROR(VLOOKUP($B109,대상!$B:$AD,MATCH(Z$2,대상!$1:$1,0)-1,FALSE),0)</f>
        <v>0</v>
      </c>
      <c r="AA109" s="41">
        <f>IFERROR(IF(W109="면제","100"+Z109,Y109+Z109),"")</f>
        <v>72</v>
      </c>
      <c r="AB109" s="35" t="str">
        <f>IF(OR(W109="면제",N(Y109)=0),"",IF(AA109&lt;60,"과락",""))</f>
        <v/>
      </c>
      <c r="AC109" s="54">
        <f>IF(N(AA109)=0,"",RANK(AA109,AA$3:AA$202))</f>
        <v>106</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①-사업화 아이템의 특성을 고려하여 기존의 유사솔루션에 대한 차별화 요소를 바탕으로 세부적인 경쟁분석이 필요해 보입니다.
-사업의 지속성 확보를 위해 보다 구체적인 수익창출 방안 및 고객 주문에 대한 생산시스템 연동체계에 대한 고민이 필요해 보입니다.
-창업지원사업의 특성을 고려한 정량적 성과지표 및 달성방안에 대한 설명이 필요해 보입니다.   _x000D_②AI 기반의 피팅 및 최적화 적용 플랫폼 개발은 유사한 플랫폼이 존재하고 있으므로 과제 개발의 차별성이 부족하고 자사몰 활용의 매출은 기대되나 확장성은 부족할 것으로 판단됨. _x000D_③기존 시장 제품들과 비교하여 차별성이 보여지며, 자사몰 운영을 통해 진입 장벽을 견고히 구축함.
아이디어에 구체적인 기술적 구현방법, 마케팅과 판로개척에 대해 추가적인 검토 요구 _x000D_④기술 추진 의지는 확인되나 실질적인 실현 가능성 및 차별성에 대한 설명이 다소 미흠 함. _x000D_⑤AI를 활용한 가상피팅 콘텐츠를 이용하여 친환경 의류사업을 위한 창업아이템에 대해 개발을 위한 배경과 현재 시장의 문제점 등에 대해 잘 설명되어져 있다. 다만, AI 가상피팅이나 3D 모델링 등에 대한 기술들은 이미 광고, 모델시장 등에 충분히 공급되어져 가고 있으며, 본 보고서에서는 이들과의 차이점이나 시장을 극복하기 위한 기술적인 부분에 대해 설명되어져 있지 않아 보완이 필요하다.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hidden="1" customHeight="1" x14ac:dyDescent="0.35">
      <c r="A110" s="4">
        <v>10</v>
      </c>
      <c r="B110" s="2">
        <v>20415838</v>
      </c>
      <c r="C110" s="38" t="str">
        <f>IFERROR(VLOOKUP($B110,대상!$B:$AC,MATCH(C$2,대상!$1:$1,0)-1,FALSE),"")</f>
        <v>지역기반</v>
      </c>
      <c r="D110" s="38" t="str">
        <f>IFERROR(VLOOKUP($B110,대상!$B:$AC,MATCH(D$2,대상!$1:$1,0)-1,FALSE),"")</f>
        <v>유진형</v>
      </c>
      <c r="E110" s="36" t="str">
        <f>IFERROR(VLOOKUP($B110,대상!$B:$AC,MATCH(E$2,대상!$1:$1,0)-1,FALSE),"")</f>
        <v>화공ㆍ섬유</v>
      </c>
      <c r="F110" s="38" t="str">
        <f>IFERROR(VLOOKUP($B110,대상!$B:$AC,MATCH(F$2,대상!$1:$1,0)-1,FALSE),"")</f>
        <v>사춘기 호르몬성 과지피 해결을 위한 징크PCA 기반 미스트 및 블록체인 이력관리 시스템</v>
      </c>
      <c r="G110" s="38" t="str">
        <f>IFERROR(VLOOKUP($B110,대상!$B:$AC,MATCH(G$2,대상!$1:$1,0)-1,FALSE),"")</f>
        <v/>
      </c>
      <c r="H110" s="33">
        <f>IFERROR(VLOOKUP($B110,[1]평가!$B:$Z,MATCH(LEFT(H$2,2),[1]평가!$7:$7,0)-1,FALSE),"")</f>
        <v>0</v>
      </c>
      <c r="I110" s="36">
        <f>IFERROR(VLOOKUP($B110,[1]평가!$B:$Z,MATCH(LEFT(I$2,2),[1]평가!$7:$7,0)-1,FALSE),"")</f>
        <v>79</v>
      </c>
      <c r="J110" s="36">
        <f>IFERROR(VLOOKUP($B110,[1]평가!$B:$Z,MATCH(LEFT(J$2,2),[1]평가!$7:$7,0)-1,FALSE),"")</f>
        <v>47</v>
      </c>
      <c r="K110" s="33">
        <f>IFERROR(VLOOKUP($B110,[2]평가!$B:$Z,MATCH(LEFT(K$2,2),[2]평가!$7:$7,0)-1,FALSE),"")</f>
        <v>0</v>
      </c>
      <c r="L110" s="36">
        <f>IFERROR(VLOOKUP($B110,[2]평가!$B:$Z,MATCH(LEFT(L$2,2),[2]평가!$7:$7,0)-1,FALSE),"")</f>
        <v>75</v>
      </c>
      <c r="M110" s="39">
        <f>IFERROR(VLOOKUP($B110,[2]평가!$B:$Z,MATCH(LEFT(M$2,2),[2]평가!$7:$7,0)-1,FALSE),"")</f>
        <v>74</v>
      </c>
      <c r="N110" s="33">
        <f>IFERROR(VLOOKUP($B110,[3]평가!$B:$Z,MATCH(LEFT(N$2,2),[3]평가!$7:$7,0)-1,FALSE),"")</f>
        <v>0</v>
      </c>
      <c r="O110" s="36">
        <f>IFERROR(VLOOKUP($B110,[3]평가!$B:$Z,MATCH(LEFT(O$2,2),[3]평가!$7:$7,0)-1,FALSE),"")</f>
        <v>75</v>
      </c>
      <c r="P110" s="39">
        <f>IFERROR(VLOOKUP($B110,[3]평가!$B:$Z,MATCH(LEFT(P$2,2),[3]평가!$7:$7,0)-1,FALSE),"")</f>
        <v>59</v>
      </c>
      <c r="Q110" s="33">
        <f>IFERROR(VLOOKUP($B110,[4]평가!$B:$Z,MATCH(LEFT(Q$2,2),[4]평가!$7:$7,0)-1,FALSE),"")</f>
        <v>0</v>
      </c>
      <c r="R110" s="36">
        <f>IFERROR(VLOOKUP($B110,[4]평가!$B:$Z,MATCH(LEFT(R$2,2),[4]평가!$7:$7,0)-1,FALSE),"")</f>
        <v>62</v>
      </c>
      <c r="S110" s="39">
        <f>IFERROR(VLOOKUP($B110,[4]평가!$B:$Z,MATCH(LEFT(S$2,2),[4]평가!$7:$7,0)-1,FALSE),"")</f>
        <v>115</v>
      </c>
      <c r="T110" s="33">
        <f>IFERROR(VLOOKUP($B110,[5]평가!$B:$Z,MATCH(LEFT(T$2,2),[5]평가!$7:$7,0)-1,FALSE),"")</f>
        <v>0</v>
      </c>
      <c r="U110" s="36">
        <f>IFERROR(VLOOKUP($B110,[5]평가!$B:$Z,MATCH(LEFT(U$2,2),[5]평가!$7:$7,0)-1,FALSE),"")</f>
        <v>65</v>
      </c>
      <c r="V110" s="39">
        <f>IFERROR(VLOOKUP($B110,[5]평가!$B:$Z,MATCH(LEFT(V$2,2),[5]평가!$7:$7,0)-1,FALSE),"")</f>
        <v>108</v>
      </c>
      <c r="W110" s="33">
        <f>IFERROR(VLOOKUP($B110,대상!$B:$AD,MATCH(W$2,대상!$1:$1,0)-1,FALSE),"")</f>
        <v>0</v>
      </c>
      <c r="X110" s="20">
        <f>IF(ISBLANK(B110),"",T$1-COUNTIF(H110:V110,"회피"))</f>
        <v>5</v>
      </c>
      <c r="Y110" s="21">
        <f>IF($T$1=X110,(SUM(I110,L110,O110,R110,U110)-MIN(I110,L110,O110,R110,U110)-MAX(I110,L110,O110,R110,U110))/($T$1-2),SUM(I110,L110,O110,R110,U110/X110))</f>
        <v>71.666666666666671</v>
      </c>
      <c r="Z110" s="40">
        <f>IFERROR(VLOOKUP($B110,대상!$B:$AD,MATCH(Z$2,대상!$1:$1,0)-1,FALSE),0)</f>
        <v>0</v>
      </c>
      <c r="AA110" s="41">
        <f>IFERROR(IF(W110="면제","100"+Z110,Y110+Z110),"")</f>
        <v>71.666666666666671</v>
      </c>
      <c r="AB110" s="35" t="str">
        <f>IF(OR(W110="면제",N(Y110)=0),"",IF(AA110&lt;60,"과락",""))</f>
        <v/>
      </c>
      <c r="AC110" s="54">
        <f>IF(N(AA110)=0,"",RANK(AA110,AA$3:AA$202))</f>
        <v>107</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 사업화아이템의 성공가능성 향상을 위하여 보다 상세한 마케팅 및 수익창출 전략에 대한 고민이 필요해 보입니다.
- 사업화 아이템의 경쟁력 확보를 위하여 기존의 경쟁제품에 대한 보다 다양한 차별화 방안에 대한 고민이 필요해 보입니다.  _x000D_②개발제품의 타겟과 포지셔닝은 명확하나 제품의 가격경쟁력이 낮고 실제 시장 진입 가능성에 대한 구체적 근거제시가 부족함 _x000D_③경쟁 제품과의 차별점을 제시한 점은 긍정적입니다. 다만, 이러한 차별성이 실질적인 기술적 우위로 이어지는 근거가 다소 부족합니다. 
차별화의 방향성은 타당하나, 독보적인 경쟁력을 증명하기 위한 추가 확인이 필요합니다. _x000D_④창업동기와 문제인식은 비교적 명확하게 제시되었으나, 시장규모와 고객 검증자료 및 본 사업에 대한 전문성이 다소 미흡한 것으로 판단 됨. _x000D_⑤기능성제품에 대한 필요성에 대해 충분히 설명해주고 있으며, 블록체인을 기반으로 한 제품의 신뢰성을 향상시키고 이력을 관리하는 방안에 대해 매우 흥미롭다. 다만 기능성제품이 가져야 할 효능성과 인체위해성에 대한 검증방안에 대한 부분에 대해 좀 더 강화할 필요가 있으며, 시장진입을 위한 마케팅 방안도 구체화 할 필요가 있다.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hidden="1" customHeight="1" x14ac:dyDescent="0.35">
      <c r="A111" s="4">
        <v>24</v>
      </c>
      <c r="B111" s="2">
        <v>20426973</v>
      </c>
      <c r="C111" s="38" t="str">
        <f>IFERROR(VLOOKUP($B111,대상!$B:$AC,MATCH(C$2,대상!$1:$1,0)-1,FALSE),"")</f>
        <v>지역기반</v>
      </c>
      <c r="D111" s="38" t="str">
        <f>IFERROR(VLOOKUP($B111,대상!$B:$AC,MATCH(D$2,대상!$1:$1,0)-1,FALSE),"")</f>
        <v>김지호</v>
      </c>
      <c r="E111" s="36" t="str">
        <f>IFERROR(VLOOKUP($B111,대상!$B:$AC,MATCH(E$2,대상!$1:$1,0)-1,FALSE),"")</f>
        <v>화공ㆍ섬유</v>
      </c>
      <c r="F111" s="38" t="str">
        <f>IFERROR(VLOOKUP($B111,대상!$B:$AC,MATCH(F$2,대상!$1:$1,0)-1,FALSE),"")</f>
        <v>혁신신소재 에어로젤을 활용한 응용소비재</v>
      </c>
      <c r="G111" s="38" t="str">
        <f>IFERROR(VLOOKUP($B111,대상!$B:$AC,MATCH(G$2,대상!$1:$1,0)-1,FALSE),"")</f>
        <v/>
      </c>
      <c r="H111" s="33">
        <f>IFERROR(VLOOKUP($B111,[1]평가!$B:$Z,MATCH(LEFT(H$2,2),[1]평가!$7:$7,0)-1,FALSE),"")</f>
        <v>0</v>
      </c>
      <c r="I111" s="36">
        <f>IFERROR(VLOOKUP($B111,[1]평가!$B:$Z,MATCH(LEFT(I$2,2),[1]평가!$7:$7,0)-1,FALSE),"")</f>
        <v>73</v>
      </c>
      <c r="J111" s="36">
        <f>IFERROR(VLOOKUP($B111,[1]평가!$B:$Z,MATCH(LEFT(J$2,2),[1]평가!$7:$7,0)-1,FALSE),"")</f>
        <v>84</v>
      </c>
      <c r="K111" s="33">
        <f>IFERROR(VLOOKUP($B111,[2]평가!$B:$Z,MATCH(LEFT(K$2,2),[2]평가!$7:$7,0)-1,FALSE),"")</f>
        <v>0</v>
      </c>
      <c r="L111" s="36">
        <f>IFERROR(VLOOKUP($B111,[2]평가!$B:$Z,MATCH(LEFT(L$2,2),[2]평가!$7:$7,0)-1,FALSE),"")</f>
        <v>66</v>
      </c>
      <c r="M111" s="39">
        <f>IFERROR(VLOOKUP($B111,[2]평가!$B:$Z,MATCH(LEFT(M$2,2),[2]평가!$7:$7,0)-1,FALSE),"")</f>
        <v>98</v>
      </c>
      <c r="N111" s="33">
        <f>IFERROR(VLOOKUP($B111,[3]평가!$B:$Z,MATCH(LEFT(N$2,2),[3]평가!$7:$7,0)-1,FALSE),"")</f>
        <v>0</v>
      </c>
      <c r="O111" s="36">
        <f>IFERROR(VLOOKUP($B111,[3]평가!$B:$Z,MATCH(LEFT(O$2,2),[3]평가!$7:$7,0)-1,FALSE),"")</f>
        <v>67</v>
      </c>
      <c r="P111" s="39">
        <f>IFERROR(VLOOKUP($B111,[3]평가!$B:$Z,MATCH(LEFT(P$2,2),[3]평가!$7:$7,0)-1,FALSE),"")</f>
        <v>88</v>
      </c>
      <c r="Q111" s="33">
        <f>IFERROR(VLOOKUP($B111,[4]평가!$B:$Z,MATCH(LEFT(Q$2,2),[4]평가!$7:$7,0)-1,FALSE),"")</f>
        <v>0</v>
      </c>
      <c r="R111" s="36">
        <f>IFERROR(VLOOKUP($B111,[4]평가!$B:$Z,MATCH(LEFT(R$2,2),[4]평가!$7:$7,0)-1,FALSE),"")</f>
        <v>77</v>
      </c>
      <c r="S111" s="39">
        <f>IFERROR(VLOOKUP($B111,[4]평가!$B:$Z,MATCH(LEFT(S$2,2),[4]평가!$7:$7,0)-1,FALSE),"")</f>
        <v>58</v>
      </c>
      <c r="T111" s="33">
        <f>IFERROR(VLOOKUP($B111,[5]평가!$B:$Z,MATCH(LEFT(T$2,2),[5]평가!$7:$7,0)-1,FALSE),"")</f>
        <v>0</v>
      </c>
      <c r="U111" s="36">
        <f>IFERROR(VLOOKUP($B111,[5]평가!$B:$Z,MATCH(LEFT(U$2,2),[5]평가!$7:$7,0)-1,FALSE),"")</f>
        <v>69</v>
      </c>
      <c r="V111" s="39">
        <f>IFERROR(VLOOKUP($B111,[5]평가!$B:$Z,MATCH(LEFT(V$2,2),[5]평가!$7:$7,0)-1,FALSE),"")</f>
        <v>80</v>
      </c>
      <c r="W111" s="33">
        <f>IFERROR(VLOOKUP($B111,대상!$B:$AD,MATCH(W$2,대상!$1:$1,0)-1,FALSE),"")</f>
        <v>0</v>
      </c>
      <c r="X111" s="20">
        <f>IF(ISBLANK(B111),"",T$1-COUNTIF(H111:V111,"회피"))</f>
        <v>5</v>
      </c>
      <c r="Y111" s="21">
        <f>IF($T$1=X111,(SUM(I111,L111,O111,R111,U111)-MIN(I111,L111,O111,R111,U111)-MAX(I111,L111,O111,R111,U111))/($T$1-2),SUM(I111,L111,O111,R111,U111/X111))</f>
        <v>69.666666666666671</v>
      </c>
      <c r="Z111" s="40">
        <f>IFERROR(VLOOKUP($B111,대상!$B:$AD,MATCH(Z$2,대상!$1:$1,0)-1,FALSE),0)</f>
        <v>2</v>
      </c>
      <c r="AA111" s="41">
        <f>IFERROR(IF(W111="면제","100"+Z111,Y111+Z111),"")</f>
        <v>71.666666666666671</v>
      </c>
      <c r="AB111" s="35" t="str">
        <f>IF(OR(W111="면제",N(Y111)=0),"",IF(AA111&lt;60,"과락",""))</f>
        <v/>
      </c>
      <c r="AC111" s="54">
        <f>IF(N(AA111)=0,"",RANK(AA111,AA$3:AA$202))</f>
        <v>107</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①-사업화 아이템의 성공가능성 향상을 위해 보다 세부적인 수익 창출 방안 및 경쟁력 강화방안에 대한 고민이 필요해 보입니다. 
-창업지원사업의 성격을 고려한 성과목표 제시 및 달성 방안에 대한 설명이 필요해 보입니다. _x000D_②개발 소재의 고부가성 대비 개발 제품의 기술적 차별성이 미흡하고 시장성에 있어 제품 경쟁력 확보 방안이 미흡하며 시장 개발에 대한 전략도 미흡한 것으로 판단됨 _x000D_③개발하고자하는 제품의 핵심기능을 제시하였으나  반려동물 홈케어 라인 개발을 위한 제품 설계와 제작 방법에 대한 자세한 보완이 필요함. 
대표의 역량이 기술개발과 관련한 역량이 뛰어나나 제품개발 관련한 연구, 양산에 대한 역량이 다소 부족하여 보완이 필요함.  _x000D_④창업동기와 문제인식은 비교적 명확하게 제시되었으나, 시장규모와 고객 검증자료는 다소 미흡한 것으로 판단 됨. _x000D_⑤반려동물이 다양해지고 많아지는 시장에서 프리미엄 소재를 활용한 시장분석에 대한 부분이 잘 기술되어져 있다. 다만, 일반시장과 프리미엄 시장을 구분하여 실제 경쟁력이 있는 것을 구체적으로 표현해야 하며, 이러한 제품을 만들기 위한 기술력과 인력구성의 확보를 위한 부분의 보완이 필요하다.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hidden="1" customHeight="1" x14ac:dyDescent="0.35">
      <c r="A112" s="4">
        <v>94</v>
      </c>
      <c r="B112" s="2">
        <v>20431143</v>
      </c>
      <c r="C112" s="38" t="str">
        <f>IFERROR(VLOOKUP($B112,대상!$B:$AC,MATCH(C$2,대상!$1:$1,0)-1,FALSE),"")</f>
        <v>지역기반</v>
      </c>
      <c r="D112" s="38" t="str">
        <f>IFERROR(VLOOKUP($B112,대상!$B:$AC,MATCH(D$2,대상!$1:$1,0)-1,FALSE),"")</f>
        <v>박양신</v>
      </c>
      <c r="E112" s="36" t="str">
        <f>IFERROR(VLOOKUP($B112,대상!$B:$AC,MATCH(E$2,대상!$1:$1,0)-1,FALSE),"")</f>
        <v>화공ㆍ섬유</v>
      </c>
      <c r="F112" s="38" t="str">
        <f>IFERROR(VLOOKUP($B112,대상!$B:$AC,MATCH(F$2,대상!$1:$1,0)-1,FALSE),"")</f>
        <v>멀티유즈 프리미엄 라이프케어 제품 개발 및 브랜드 사업화</v>
      </c>
      <c r="G112" s="38" t="str">
        <f>IFERROR(VLOOKUP($B112,대상!$B:$AC,MATCH(G$2,대상!$1:$1,0)-1,FALSE),"")</f>
        <v/>
      </c>
      <c r="H112" s="33">
        <f>IFERROR(VLOOKUP($B112,[1]평가!$B:$Z,MATCH(LEFT(H$2,2),[1]평가!$7:$7,0)-1,FALSE),"")</f>
        <v>0</v>
      </c>
      <c r="I112" s="36">
        <f>IFERROR(VLOOKUP($B112,[1]평가!$B:$Z,MATCH(LEFT(I$2,2),[1]평가!$7:$7,0)-1,FALSE),"")</f>
        <v>72</v>
      </c>
      <c r="J112" s="36">
        <f>IFERROR(VLOOKUP($B112,[1]평가!$B:$Z,MATCH(LEFT(J$2,2),[1]평가!$7:$7,0)-1,FALSE),"")</f>
        <v>104</v>
      </c>
      <c r="K112" s="33">
        <f>IFERROR(VLOOKUP($B112,[2]평가!$B:$Z,MATCH(LEFT(K$2,2),[2]평가!$7:$7,0)-1,FALSE),"")</f>
        <v>0</v>
      </c>
      <c r="L112" s="36">
        <f>IFERROR(VLOOKUP($B112,[2]평가!$B:$Z,MATCH(LEFT(L$2,2),[2]평가!$7:$7,0)-1,FALSE),"")</f>
        <v>69</v>
      </c>
      <c r="M112" s="39">
        <f>IFERROR(VLOOKUP($B112,[2]평가!$B:$Z,MATCH(LEFT(M$2,2),[2]평가!$7:$7,0)-1,FALSE),"")</f>
        <v>88</v>
      </c>
      <c r="N112" s="33">
        <f>IFERROR(VLOOKUP($B112,[3]평가!$B:$Z,MATCH(LEFT(N$2,2),[3]평가!$7:$7,0)-1,FALSE),"")</f>
        <v>0</v>
      </c>
      <c r="O112" s="36">
        <f>IFERROR(VLOOKUP($B112,[3]평가!$B:$Z,MATCH(LEFT(O$2,2),[3]평가!$7:$7,0)-1,FALSE),"")</f>
        <v>65</v>
      </c>
      <c r="P112" s="39">
        <f>IFERROR(VLOOKUP($B112,[3]평가!$B:$Z,MATCH(LEFT(P$2,2),[3]평가!$7:$7,0)-1,FALSE),"")</f>
        <v>107</v>
      </c>
      <c r="Q112" s="33">
        <f>IFERROR(VLOOKUP($B112,[4]평가!$B:$Z,MATCH(LEFT(Q$2,2),[4]평가!$7:$7,0)-1,FALSE),"")</f>
        <v>0</v>
      </c>
      <c r="R112" s="36">
        <f>IFERROR(VLOOKUP($B112,[4]평가!$B:$Z,MATCH(LEFT(R$2,2),[4]평가!$7:$7,0)-1,FALSE),"")</f>
        <v>74</v>
      </c>
      <c r="S112" s="39">
        <f>IFERROR(VLOOKUP($B112,[4]평가!$B:$Z,MATCH(LEFT(S$2,2),[4]평가!$7:$7,0)-1,FALSE),"")</f>
        <v>85</v>
      </c>
      <c r="T112" s="33">
        <f>IFERROR(VLOOKUP($B112,[5]평가!$B:$Z,MATCH(LEFT(T$2,2),[5]평가!$7:$7,0)-1,FALSE),"")</f>
        <v>0</v>
      </c>
      <c r="U112" s="36">
        <f>IFERROR(VLOOKUP($B112,[5]평가!$B:$Z,MATCH(LEFT(U$2,2),[5]평가!$7:$7,0)-1,FALSE),"")</f>
        <v>75</v>
      </c>
      <c r="V112" s="39">
        <f>IFERROR(VLOOKUP($B112,[5]평가!$B:$Z,MATCH(LEFT(V$2,2),[5]평가!$7:$7,0)-1,FALSE),"")</f>
        <v>63</v>
      </c>
      <c r="W112" s="33">
        <f>IFERROR(VLOOKUP($B112,대상!$B:$AD,MATCH(W$2,대상!$1:$1,0)-1,FALSE),"")</f>
        <v>0</v>
      </c>
      <c r="X112" s="20">
        <f>IF(ISBLANK(B112),"",T$1-COUNTIF(H112:V112,"회피"))</f>
        <v>5</v>
      </c>
      <c r="Y112" s="21">
        <f>IF($T$1=X112,(SUM(I112,L112,O112,R112,U112)-MIN(I112,L112,O112,R112,U112)-MAX(I112,L112,O112,R112,U112))/($T$1-2),SUM(I112,L112,O112,R112,U112/X112))</f>
        <v>71.666666666666671</v>
      </c>
      <c r="Z112" s="40">
        <f>IFERROR(VLOOKUP($B112,대상!$B:$AD,MATCH(Z$2,대상!$1:$1,0)-1,FALSE),0)</f>
        <v>0</v>
      </c>
      <c r="AA112" s="41">
        <f>IFERROR(IF(W112="면제","100"+Z112,Y112+Z112),"")</f>
        <v>71.666666666666671</v>
      </c>
      <c r="AB112" s="35" t="str">
        <f>IF(OR(W112="면제",N(Y112)=0),"",IF(AA112&lt;60,"과락",""))</f>
        <v/>
      </c>
      <c r="AC112" s="54">
        <f>IF(N(AA112)=0,"",RANK(AA112,AA$3:AA$202))</f>
        <v>107</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①-기존시장의 유사제품과 비교하여 소비자의 니즈 및 우리 제품의 차별화 요소를 바탕으로 보다 다각적인 차별화 요소에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_x000D_②소비자 편의성을 위한 복합 기능 세제 제품 개발로 시장 접근성은 있으나 복합화 기술에 대한 난이도가 낮고 제품 경쟁력 확보가 다소 어려울 것으로 보이며  감성 중심의 마켓팅 전략에 의한 영업적 한계가 있을 것으로 판단됨. _x000D_③시장 타겟팅과 수익 구조의 틀은 잘 잡혀 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실제 차별성이 기술 우위로 연결되는 설명은 다소 미흠 함. _x000D_⑤창업아이템에 대한 기술개요와 개발방향은 이해하기 쉽게 작성되어졌으며, 기존 제품과의 연관성도 잘 서술되어져 있다. 전반적으로 기술추진의지를 포함한 사업방향은 적절하나 효능성과 기존 시장제품들과 비교를 통한 객관성을 확보하는데에 보완이 필요하다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hidden="1" customHeight="1" x14ac:dyDescent="0.35">
      <c r="A113" s="4">
        <v>119</v>
      </c>
      <c r="B113" s="2">
        <v>20429774</v>
      </c>
      <c r="C113" s="38" t="str">
        <f>IFERROR(VLOOKUP($B113,대상!$B:$AC,MATCH(C$2,대상!$1:$1,0)-1,FALSE),"")</f>
        <v>지역기반</v>
      </c>
      <c r="D113" s="38" t="str">
        <f>IFERROR(VLOOKUP($B113,대상!$B:$AC,MATCH(D$2,대상!$1:$1,0)-1,FALSE),"")</f>
        <v>김영수</v>
      </c>
      <c r="E113" s="36" t="str">
        <f>IFERROR(VLOOKUP($B113,대상!$B:$AC,MATCH(E$2,대상!$1:$1,0)-1,FALSE),"")</f>
        <v>화공ㆍ섬유</v>
      </c>
      <c r="F113" s="38" t="str">
        <f>IFERROR(VLOOKUP($B113,대상!$B:$AC,MATCH(F$2,대상!$1:$1,0)-1,FALSE),"")</f>
        <v>주짓수 도복 및 스포츠웨어 스마트 제조 및 제작</v>
      </c>
      <c r="G113" s="38" t="str">
        <f>IFERROR(VLOOKUP($B113,대상!$B:$AC,MATCH(G$2,대상!$1:$1,0)-1,FALSE),"")</f>
        <v/>
      </c>
      <c r="H113" s="33">
        <f>IFERROR(VLOOKUP($B113,[1]평가!$B:$Z,MATCH(LEFT(H$2,2),[1]평가!$7:$7,0)-1,FALSE),"")</f>
        <v>0</v>
      </c>
      <c r="I113" s="36">
        <f>IFERROR(VLOOKUP($B113,[1]평가!$B:$Z,MATCH(LEFT(I$2,2),[1]평가!$7:$7,0)-1,FALSE),"")</f>
        <v>73</v>
      </c>
      <c r="J113" s="36">
        <f>IFERROR(VLOOKUP($B113,[1]평가!$B:$Z,MATCH(LEFT(J$2,2),[1]평가!$7:$7,0)-1,FALSE),"")</f>
        <v>97</v>
      </c>
      <c r="K113" s="33">
        <f>IFERROR(VLOOKUP($B113,[2]평가!$B:$Z,MATCH(LEFT(K$2,2),[2]평가!$7:$7,0)-1,FALSE),"")</f>
        <v>0</v>
      </c>
      <c r="L113" s="36">
        <f>IFERROR(VLOOKUP($B113,[2]평가!$B:$Z,MATCH(LEFT(L$2,2),[2]평가!$7:$7,0)-1,FALSE),"")</f>
        <v>67</v>
      </c>
      <c r="M113" s="39">
        <f>IFERROR(VLOOKUP($B113,[2]평가!$B:$Z,MATCH(LEFT(M$2,2),[2]평가!$7:$7,0)-1,FALSE),"")</f>
        <v>107</v>
      </c>
      <c r="N113" s="33">
        <f>IFERROR(VLOOKUP($B113,[3]평가!$B:$Z,MATCH(LEFT(N$2,2),[3]평가!$7:$7,0)-1,FALSE),"")</f>
        <v>0</v>
      </c>
      <c r="O113" s="36">
        <f>IFERROR(VLOOKUP($B113,[3]평가!$B:$Z,MATCH(LEFT(O$2,2),[3]평가!$7:$7,0)-1,FALSE),"")</f>
        <v>74</v>
      </c>
      <c r="P113" s="39">
        <f>IFERROR(VLOOKUP($B113,[3]평가!$B:$Z,MATCH(LEFT(P$2,2),[3]평가!$7:$7,0)-1,FALSE),"")</f>
        <v>64</v>
      </c>
      <c r="Q113" s="33">
        <f>IFERROR(VLOOKUP($B113,[4]평가!$B:$Z,MATCH(LEFT(Q$2,2),[4]평가!$7:$7,0)-1,FALSE),"")</f>
        <v>0</v>
      </c>
      <c r="R113" s="36">
        <f>IFERROR(VLOOKUP($B113,[4]평가!$B:$Z,MATCH(LEFT(R$2,2),[4]평가!$7:$7,0)-1,FALSE),"")</f>
        <v>88</v>
      </c>
      <c r="S113" s="39">
        <f>IFERROR(VLOOKUP($B113,[4]평가!$B:$Z,MATCH(LEFT(S$2,2),[4]평가!$7:$7,0)-1,FALSE),"")</f>
        <v>13</v>
      </c>
      <c r="T113" s="33">
        <f>IFERROR(VLOOKUP($B113,[5]평가!$B:$Z,MATCH(LEFT(T$2,2),[5]평가!$7:$7,0)-1,FALSE),"")</f>
        <v>0</v>
      </c>
      <c r="U113" s="36">
        <f>IFERROR(VLOOKUP($B113,[5]평가!$B:$Z,MATCH(LEFT(U$2,2),[5]평가!$7:$7,0)-1,FALSE),"")</f>
        <v>68</v>
      </c>
      <c r="V113" s="39">
        <f>IFERROR(VLOOKUP($B113,[5]평가!$B:$Z,MATCH(LEFT(V$2,2),[5]평가!$7:$7,0)-1,FALSE),"")</f>
        <v>86</v>
      </c>
      <c r="W113" s="33">
        <f>IFERROR(VLOOKUP($B113,대상!$B:$AD,MATCH(W$2,대상!$1:$1,0)-1,FALSE),"")</f>
        <v>0</v>
      </c>
      <c r="X113" s="20">
        <f>IF(ISBLANK(B113),"",T$1-COUNTIF(H113:V113,"회피"))</f>
        <v>5</v>
      </c>
      <c r="Y113" s="21">
        <f>IF($T$1=X113,(SUM(I113,L113,O113,R113,U113)-MIN(I113,L113,O113,R113,U113)-MAX(I113,L113,O113,R113,U113))/($T$1-2),SUM(I113,L113,O113,R113,U113/X113))</f>
        <v>71.666666666666671</v>
      </c>
      <c r="Z113" s="40">
        <f>IFERROR(VLOOKUP($B113,대상!$B:$AD,MATCH(Z$2,대상!$1:$1,0)-1,FALSE),0)</f>
        <v>0</v>
      </c>
      <c r="AA113" s="41">
        <f>IFERROR(IF(W113="면제","100"+Z113,Y113+Z113),"")</f>
        <v>71.666666666666671</v>
      </c>
      <c r="AB113" s="35" t="str">
        <f>IF(OR(W113="면제",N(Y113)=0),"",IF(AA113&lt;60,"과락",""))</f>
        <v/>
      </c>
      <c r="AC113" s="54">
        <f>IF(N(AA113)=0,"",RANK(AA113,AA$3:AA$202))</f>
        <v>107</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_x000D_②국내 생산 기반 구축을 통한 신속한 공급과 가격 경쟁력 확보를 목표로 개발 개념보다 제조 유통에 의한 사업화 방향으로 과제의 난이도가 낮음 _x000D_③경쟁 우위 요소를 발굴하여 제시한 점은 고무적입니다. 
다만 이러한 차별화 포인트가 실질적인 기술적 진입장벽이나 우위로 이어진다는 객관적 근거가 다소 미흡합니다.  _x000D_④창업 동기와 문제 인식이 비교적 명확하게 제시가 되어 있으며, 사업화 가능성을 검토한 수준도 양호하다고 판단 됨.  _x000D_⑤주짓수 의복 사업에 대해 기 경험을 가지고 있어 이와 관련한 사업구조에 대해서 잘 설명하고 있으나, 스포츠 특성상 관련 의복규정 및 규격화에 대한 근거마련이 우선시 되어야 할 것으로 판단된다.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hidden="1" customHeight="1" x14ac:dyDescent="0.35">
      <c r="A114" s="4">
        <v>2</v>
      </c>
      <c r="B114" s="2">
        <v>20402057</v>
      </c>
      <c r="C114" s="38" t="str">
        <f>IFERROR(VLOOKUP($B114,대상!$B:$AC,MATCH(C$2,대상!$1:$1,0)-1,FALSE),"")</f>
        <v>지역기반</v>
      </c>
      <c r="D114" s="38" t="str">
        <f>IFERROR(VLOOKUP($B114,대상!$B:$AC,MATCH(D$2,대상!$1:$1,0)-1,FALSE),"")</f>
        <v>신근철</v>
      </c>
      <c r="E114" s="36" t="str">
        <f>IFERROR(VLOOKUP($B114,대상!$B:$AC,MATCH(E$2,대상!$1:$1,0)-1,FALSE),"")</f>
        <v>화공ㆍ섬유</v>
      </c>
      <c r="F114" s="38" t="str">
        <f>IFERROR(VLOOKUP($B114,대상!$B:$AC,MATCH(F$2,대상!$1:$1,0)-1,FALSE),"")</f>
        <v>CODEBI 러닝·퍼포먼스 기능성 의류 (쇼츠, 상의, 타이즈, 액세서리)</v>
      </c>
      <c r="G114" s="38" t="str">
        <f>IFERROR(VLOOKUP($B114,대상!$B:$AC,MATCH(G$2,대상!$1:$1,0)-1,FALSE),"")</f>
        <v/>
      </c>
      <c r="H114" s="33">
        <f>IFERROR(VLOOKUP($B114,[1]평가!$B:$Z,MATCH(LEFT(H$2,2),[1]평가!$7:$7,0)-1,FALSE),"")</f>
        <v>0</v>
      </c>
      <c r="I114" s="36">
        <f>IFERROR(VLOOKUP($B114,[1]평가!$B:$Z,MATCH(LEFT(I$2,2),[1]평가!$7:$7,0)-1,FALSE),"")</f>
        <v>68</v>
      </c>
      <c r="J114" s="36">
        <f>IFERROR(VLOOKUP($B114,[1]평가!$B:$Z,MATCH(LEFT(J$2,2),[1]평가!$7:$7,0)-1,FALSE),"")</f>
        <v>109</v>
      </c>
      <c r="K114" s="33">
        <f>IFERROR(VLOOKUP($B114,[2]평가!$B:$Z,MATCH(LEFT(K$2,2),[2]평가!$7:$7,0)-1,FALSE),"")</f>
        <v>0</v>
      </c>
      <c r="L114" s="36">
        <f>IFERROR(VLOOKUP($B114,[2]평가!$B:$Z,MATCH(LEFT(L$2,2),[2]평가!$7:$7,0)-1,FALSE),"")</f>
        <v>70</v>
      </c>
      <c r="M114" s="39">
        <f>IFERROR(VLOOKUP($B114,[2]평가!$B:$Z,MATCH(LEFT(M$2,2),[2]평가!$7:$7,0)-1,FALSE),"")</f>
        <v>87</v>
      </c>
      <c r="N114" s="33">
        <f>IFERROR(VLOOKUP($B114,[3]평가!$B:$Z,MATCH(LEFT(N$2,2),[3]평가!$7:$7,0)-1,FALSE),"")</f>
        <v>0</v>
      </c>
      <c r="O114" s="36">
        <f>IFERROR(VLOOKUP($B114,[3]평가!$B:$Z,MATCH(LEFT(O$2,2),[3]평가!$7:$7,0)-1,FALSE),"")</f>
        <v>67</v>
      </c>
      <c r="P114" s="39">
        <f>IFERROR(VLOOKUP($B114,[3]평가!$B:$Z,MATCH(LEFT(P$2,2),[3]평가!$7:$7,0)-1,FALSE),"")</f>
        <v>97</v>
      </c>
      <c r="Q114" s="33">
        <f>IFERROR(VLOOKUP($B114,[4]평가!$B:$Z,MATCH(LEFT(Q$2,2),[4]평가!$7:$7,0)-1,FALSE),"")</f>
        <v>0</v>
      </c>
      <c r="R114" s="36">
        <f>IFERROR(VLOOKUP($B114,[4]평가!$B:$Z,MATCH(LEFT(R$2,2),[4]평가!$7:$7,0)-1,FALSE),"")</f>
        <v>78</v>
      </c>
      <c r="S114" s="39">
        <f>IFERROR(VLOOKUP($B114,[4]평가!$B:$Z,MATCH(LEFT(S$2,2),[4]평가!$7:$7,0)-1,FALSE),"")</f>
        <v>66</v>
      </c>
      <c r="T114" s="33">
        <f>IFERROR(VLOOKUP($B114,[5]평가!$B:$Z,MATCH(LEFT(T$2,2),[5]평가!$7:$7,0)-1,FALSE),"")</f>
        <v>0</v>
      </c>
      <c r="U114" s="36">
        <f>IFERROR(VLOOKUP($B114,[5]평가!$B:$Z,MATCH(LEFT(U$2,2),[5]평가!$7:$7,0)-1,FALSE),"")</f>
        <v>75</v>
      </c>
      <c r="V114" s="39">
        <f>IFERROR(VLOOKUP($B114,[5]평가!$B:$Z,MATCH(LEFT(V$2,2),[5]평가!$7:$7,0)-1,FALSE),"")</f>
        <v>63</v>
      </c>
      <c r="W114" s="33">
        <f>IFERROR(VLOOKUP($B114,대상!$B:$AD,MATCH(W$2,대상!$1:$1,0)-1,FALSE),"")</f>
        <v>0</v>
      </c>
      <c r="X114" s="20">
        <f>IF(ISBLANK(B114),"",T$1-COUNTIF(H114:V114,"회피"))</f>
        <v>5</v>
      </c>
      <c r="Y114" s="21">
        <f>IF($T$1=X114,(SUM(I114,L114,O114,R114,U114)-MIN(I114,L114,O114,R114,U114)-MAX(I114,L114,O114,R114,U114))/($T$1-2),SUM(I114,L114,O114,R114,U114/X114))</f>
        <v>71</v>
      </c>
      <c r="Z114" s="40">
        <f>IFERROR(VLOOKUP($B114,대상!$B:$AD,MATCH(Z$2,대상!$1:$1,0)-1,FALSE),0)</f>
        <v>0</v>
      </c>
      <c r="AA114" s="41">
        <f>IFERROR(IF(W114="면제","100"+Z114,Y114+Z114),"")</f>
        <v>71</v>
      </c>
      <c r="AB114" s="35" t="str">
        <f>IF(OR(W114="면제",N(Y114)=0),"",IF(AA114&lt;60,"과락",""))</f>
        <v/>
      </c>
      <c r="AC114" s="54">
        <f>IF(N(AA114)=0,"",RANK(AA114,AA$3:AA$202))</f>
        <v>111</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 사업화아이템의 성공가능성 향상을 위하여 보다 상세한 마케팅전략에 대한 고민이 필요해 보입니다.
- 사업화 아이템의 경쟁력 확보를 위하여 기존의 경쟁제품에 대한 보다 다양한 차별화 방안에 대한 고민이 필요해 보입니다.  _x000D_②전문 러닝 제품에 대한 수요의 필요성과 시장 규모 확대성은 있으나 기존 스포츠업체와의 경쟁력 확보가 어려울 것으로 판단됨 _x000D_③창업 동기와 문제 해결의 필요성, 기술추진 의지가 설득력 있게 제시되었습니다. 
다만, 독보적인 경쟁력을 증명하기 위한 객관적 지표와 추가 보완이 필요합니다. _x000D_④전반적으로 차별화 방향은 확인되나 독창서 판단에는 추가 검토가 필요 하며, 팀 역량 구성계획이 우수 함. _x000D_⑤런닝 동호회를 통한 시장분석까지 필요성과 시장성, 구매력에 대한 부분이 상세히 잘 기술되어 있다. 다만, 기존시장 진출을 위한 기술적인 차별성과 독자적인 기술력을 설명하는 부분에 보완이 필요할 것이다. 대표자의 역량 부분은 뛰어나나, 고용 및 oem등의 외부자원을 적극적으로 활용할 수 있도록 고려해야 한다.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hidden="1" customHeight="1" x14ac:dyDescent="0.35">
      <c r="A115" s="4">
        <v>107</v>
      </c>
      <c r="B115" s="2">
        <v>20408236</v>
      </c>
      <c r="C115" s="38" t="str">
        <f>IFERROR(VLOOKUP($B115,대상!$B:$AC,MATCH(C$2,대상!$1:$1,0)-1,FALSE),"")</f>
        <v>지역기반</v>
      </c>
      <c r="D115" s="38" t="str">
        <f>IFERROR(VLOOKUP($B115,대상!$B:$AC,MATCH(D$2,대상!$1:$1,0)-1,FALSE),"")</f>
        <v>김윤희</v>
      </c>
      <c r="E115" s="36" t="str">
        <f>IFERROR(VLOOKUP($B115,대상!$B:$AC,MATCH(E$2,대상!$1:$1,0)-1,FALSE),"")</f>
        <v>화공ㆍ섬유</v>
      </c>
      <c r="F115" s="38" t="str">
        <f>IFERROR(VLOOKUP($B115,대상!$B:$AC,MATCH(F$2,대상!$1:$1,0)-1,FALSE),"")</f>
        <v>니치퍼퓸, 아로마 해외 수출 전문 화장품</v>
      </c>
      <c r="G115" s="38" t="str">
        <f>IFERROR(VLOOKUP($B115,대상!$B:$AC,MATCH(G$2,대상!$1:$1,0)-1,FALSE),"")</f>
        <v/>
      </c>
      <c r="H115" s="33">
        <f>IFERROR(VLOOKUP($B115,[1]평가!$B:$Z,MATCH(LEFT(H$2,2),[1]평가!$7:$7,0)-1,FALSE),"")</f>
        <v>0</v>
      </c>
      <c r="I115" s="36">
        <f>IFERROR(VLOOKUP($B115,[1]평가!$B:$Z,MATCH(LEFT(I$2,2),[1]평가!$7:$7,0)-1,FALSE),"")</f>
        <v>79</v>
      </c>
      <c r="J115" s="36">
        <f>IFERROR(VLOOKUP($B115,[1]평가!$B:$Z,MATCH(LEFT(J$2,2),[1]평가!$7:$7,0)-1,FALSE),"")</f>
        <v>47</v>
      </c>
      <c r="K115" s="33">
        <f>IFERROR(VLOOKUP($B115,[2]평가!$B:$Z,MATCH(LEFT(K$2,2),[2]평가!$7:$7,0)-1,FALSE),"")</f>
        <v>0</v>
      </c>
      <c r="L115" s="36">
        <f>IFERROR(VLOOKUP($B115,[2]평가!$B:$Z,MATCH(LEFT(L$2,2),[2]평가!$7:$7,0)-1,FALSE),"")</f>
        <v>67</v>
      </c>
      <c r="M115" s="39">
        <f>IFERROR(VLOOKUP($B115,[2]평가!$B:$Z,MATCH(LEFT(M$2,2),[2]평가!$7:$7,0)-1,FALSE),"")</f>
        <v>107</v>
      </c>
      <c r="N115" s="33">
        <f>IFERROR(VLOOKUP($B115,[3]평가!$B:$Z,MATCH(LEFT(N$2,2),[3]평가!$7:$7,0)-1,FALSE),"")</f>
        <v>0</v>
      </c>
      <c r="O115" s="36">
        <f>IFERROR(VLOOKUP($B115,[3]평가!$B:$Z,MATCH(LEFT(O$2,2),[3]평가!$7:$7,0)-1,FALSE),"")</f>
        <v>67</v>
      </c>
      <c r="P115" s="39">
        <f>IFERROR(VLOOKUP($B115,[3]평가!$B:$Z,MATCH(LEFT(P$2,2),[3]평가!$7:$7,0)-1,FALSE),"")</f>
        <v>97</v>
      </c>
      <c r="Q115" s="33">
        <f>IFERROR(VLOOKUP($B115,[4]평가!$B:$Z,MATCH(LEFT(Q$2,2),[4]평가!$7:$7,0)-1,FALSE),"")</f>
        <v>0</v>
      </c>
      <c r="R115" s="36">
        <f>IFERROR(VLOOKUP($B115,[4]평가!$B:$Z,MATCH(LEFT(R$2,2),[4]평가!$7:$7,0)-1,FALSE),"")</f>
        <v>81</v>
      </c>
      <c r="S115" s="39">
        <f>IFERROR(VLOOKUP($B115,[4]평가!$B:$Z,MATCH(LEFT(S$2,2),[4]평가!$7:$7,0)-1,FALSE),"")</f>
        <v>46</v>
      </c>
      <c r="T115" s="33">
        <f>IFERROR(VLOOKUP($B115,[5]평가!$B:$Z,MATCH(LEFT(T$2,2),[5]평가!$7:$7,0)-1,FALSE),"")</f>
        <v>0</v>
      </c>
      <c r="U115" s="36">
        <f>IFERROR(VLOOKUP($B115,[5]평가!$B:$Z,MATCH(LEFT(U$2,2),[5]평가!$7:$7,0)-1,FALSE),"")</f>
        <v>66</v>
      </c>
      <c r="V115" s="39">
        <f>IFERROR(VLOOKUP($B115,[5]평가!$B:$Z,MATCH(LEFT(V$2,2),[5]평가!$7:$7,0)-1,FALSE),"")</f>
        <v>100</v>
      </c>
      <c r="W115" s="33">
        <f>IFERROR(VLOOKUP($B115,대상!$B:$AD,MATCH(W$2,대상!$1:$1,0)-1,FALSE),"")</f>
        <v>0</v>
      </c>
      <c r="X115" s="20">
        <f>IF(ISBLANK(B115),"",T$1-COUNTIF(H115:V115,"회피"))</f>
        <v>5</v>
      </c>
      <c r="Y115" s="21">
        <f>IF($T$1=X115,(SUM(I115,L115,O115,R115,U115)-MIN(I115,L115,O115,R115,U115)-MAX(I115,L115,O115,R115,U115))/($T$1-2),SUM(I115,L115,O115,R115,U115/X115))</f>
        <v>71</v>
      </c>
      <c r="Z115" s="40">
        <f>IFERROR(VLOOKUP($B115,대상!$B:$AD,MATCH(Z$2,대상!$1:$1,0)-1,FALSE),0)</f>
        <v>0</v>
      </c>
      <c r="AA115" s="41">
        <f>IFERROR(IF(W115="면제","100"+Z115,Y115+Z115),"")</f>
        <v>71</v>
      </c>
      <c r="AB115" s="35" t="str">
        <f>IF(OR(W115="면제",N(Y115)=0),"",IF(AA115&lt;60,"과락",""))</f>
        <v/>
      </c>
      <c r="AC115" s="54">
        <f>IF(N(AA115)=0,"",RANK(AA115,AA$3:AA$202))</f>
        <v>111</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①-기존시장의 유사제품과 비교하여 소비자의 니즈 및 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_x000D_②제품 개발이 용이하여 개발 완료 가능성은 있으나 단순한 가성비 높은 마켓팅 제품 개발로 인한 사업성 의미가 있는 것으로 보이며 다양한 가성비 좋은  제품과의 경쟁력 확보는 어려울 것으로 판단됨  _x000D_③아이템의 핵심기능과 구체적인 판로개척방법들이 잘 정리되어 있음. 
지원사업의 성격에 따른 국내 기개발 제품과의 차별성, 해외 시장 진출에 따른 전략 구체적 방안 제시필요.  _x000D_④창업 동기와 문제 인식이 비교적 명확하게 제시가 되어 있으며, 사업화 가능성을 검토한 수준도 양호하다고 판단 됨.  _x000D_⑤시장의 트렌드에 맞춘 니치향수, 아로마 기능성 화장품을 창업 아이템으로 하는 부분에 전반적인 현황이 잘 설명되어져 있으나, 제품을 구체적으로 포지셔닝 하여 고객을 타켓팅 하려는 마케팅 면에서 내용이 많이 부족하여 이에 대한 보완이 필요하다.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hidden="1" customHeight="1" x14ac:dyDescent="0.35">
      <c r="A116" s="4">
        <v>21</v>
      </c>
      <c r="B116" s="2">
        <v>20424266</v>
      </c>
      <c r="C116" s="38" t="str">
        <f>IFERROR(VLOOKUP($B116,대상!$B:$AC,MATCH(C$2,대상!$1:$1,0)-1,FALSE),"")</f>
        <v>지역기반</v>
      </c>
      <c r="D116" s="38" t="str">
        <f>IFERROR(VLOOKUP($B116,대상!$B:$AC,MATCH(D$2,대상!$1:$1,0)-1,FALSE),"")</f>
        <v>전미혜</v>
      </c>
      <c r="E116" s="36" t="str">
        <f>IFERROR(VLOOKUP($B116,대상!$B:$AC,MATCH(E$2,대상!$1:$1,0)-1,FALSE),"")</f>
        <v>화공ㆍ섬유</v>
      </c>
      <c r="F116" s="38" t="str">
        <f>IFERROR(VLOOKUP($B116,대상!$B:$AC,MATCH(F$2,대상!$1:$1,0)-1,FALSE),"")</f>
        <v>AI 자가 피부진단 기반 맞춤형 화장품 제품화 및 글로벌 K-뷰티 진출</v>
      </c>
      <c r="G116" s="38" t="str">
        <f>IFERROR(VLOOKUP($B116,대상!$B:$AC,MATCH(G$2,대상!$1:$1,0)-1,FALSE),"")</f>
        <v/>
      </c>
      <c r="H116" s="33">
        <f>IFERROR(VLOOKUP($B116,[1]평가!$B:$Z,MATCH(LEFT(H$2,2),[1]평가!$7:$7,0)-1,FALSE),"")</f>
        <v>0</v>
      </c>
      <c r="I116" s="36">
        <f>IFERROR(VLOOKUP($B116,[1]평가!$B:$Z,MATCH(LEFT(I$2,2),[1]평가!$7:$7,0)-1,FALSE),"")</f>
        <v>74</v>
      </c>
      <c r="J116" s="36">
        <f>IFERROR(VLOOKUP($B116,[1]평가!$B:$Z,MATCH(LEFT(J$2,2),[1]평가!$7:$7,0)-1,FALSE),"")</f>
        <v>89</v>
      </c>
      <c r="K116" s="33">
        <f>IFERROR(VLOOKUP($B116,[2]평가!$B:$Z,MATCH(LEFT(K$2,2),[2]평가!$7:$7,0)-1,FALSE),"")</f>
        <v>0</v>
      </c>
      <c r="L116" s="36">
        <f>IFERROR(VLOOKUP($B116,[2]평가!$B:$Z,MATCH(LEFT(L$2,2),[2]평가!$7:$7,0)-1,FALSE),"")</f>
        <v>68</v>
      </c>
      <c r="M116" s="39">
        <f>IFERROR(VLOOKUP($B116,[2]평가!$B:$Z,MATCH(LEFT(M$2,2),[2]평가!$7:$7,0)-1,FALSE),"")</f>
        <v>98</v>
      </c>
      <c r="N116" s="33">
        <f>IFERROR(VLOOKUP($B116,[3]평가!$B:$Z,MATCH(LEFT(N$2,2),[3]평가!$7:$7,0)-1,FALSE),"")</f>
        <v>0</v>
      </c>
      <c r="O116" s="36">
        <f>IFERROR(VLOOKUP($B116,[3]평가!$B:$Z,MATCH(LEFT(O$2,2),[3]평가!$7:$7,0)-1,FALSE),"")</f>
        <v>78</v>
      </c>
      <c r="P116" s="39">
        <f>IFERROR(VLOOKUP($B116,[3]평가!$B:$Z,MATCH(LEFT(P$2,2),[3]평가!$7:$7,0)-1,FALSE),"")</f>
        <v>49</v>
      </c>
      <c r="Q116" s="33">
        <f>IFERROR(VLOOKUP($B116,[4]평가!$B:$Z,MATCH(LEFT(Q$2,2),[4]평가!$7:$7,0)-1,FALSE),"")</f>
        <v>0</v>
      </c>
      <c r="R116" s="36">
        <f>IFERROR(VLOOKUP($B116,[4]평가!$B:$Z,MATCH(LEFT(R$2,2),[4]평가!$7:$7,0)-1,FALSE),"")</f>
        <v>68</v>
      </c>
      <c r="S116" s="39">
        <f>IFERROR(VLOOKUP($B116,[4]평가!$B:$Z,MATCH(LEFT(S$2,2),[4]평가!$7:$7,0)-1,FALSE),"")</f>
        <v>112</v>
      </c>
      <c r="T116" s="33">
        <f>IFERROR(VLOOKUP($B116,[5]평가!$B:$Z,MATCH(LEFT(T$2,2),[5]평가!$7:$7,0)-1,FALSE),"")</f>
        <v>0</v>
      </c>
      <c r="U116" s="36">
        <f>IFERROR(VLOOKUP($B116,[5]평가!$B:$Z,MATCH(LEFT(U$2,2),[5]평가!$7:$7,0)-1,FALSE),"")</f>
        <v>66</v>
      </c>
      <c r="V116" s="39">
        <f>IFERROR(VLOOKUP($B116,[5]평가!$B:$Z,MATCH(LEFT(V$2,2),[5]평가!$7:$7,0)-1,FALSE),"")</f>
        <v>100</v>
      </c>
      <c r="W116" s="33">
        <f>IFERROR(VLOOKUP($B116,대상!$B:$AD,MATCH(W$2,대상!$1:$1,0)-1,FALSE),"")</f>
        <v>0</v>
      </c>
      <c r="X116" s="20">
        <f>IF(ISBLANK(B116),"",T$1-COUNTIF(H116:V116,"회피"))</f>
        <v>5</v>
      </c>
      <c r="Y116" s="21">
        <f>IF($T$1=X116,(SUM(I116,L116,O116,R116,U116)-MIN(I116,L116,O116,R116,U116)-MAX(I116,L116,O116,R116,U116))/($T$1-2),SUM(I116,L116,O116,R116,U116/X116))</f>
        <v>70</v>
      </c>
      <c r="Z116" s="40">
        <f>IFERROR(VLOOKUP($B116,대상!$B:$AD,MATCH(Z$2,대상!$1:$1,0)-1,FALSE),0)</f>
        <v>0</v>
      </c>
      <c r="AA116" s="41">
        <f>IFERROR(IF(W116="면제","100"+Z116,Y116+Z116),"")</f>
        <v>70</v>
      </c>
      <c r="AB116" s="35" t="str">
        <f>IF(OR(W116="면제",N(Y116)=0),"",IF(AA116&lt;60,"과락",""))</f>
        <v/>
      </c>
      <c r="AC116" s="54">
        <f>IF(N(AA116)=0,"",RANK(AA116,AA$3:AA$202))</f>
        <v>113</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①-사업화 아이템의 성공가능성 향상을 위해 보다 세부적인 수익 창출 방안 및 경쟁력 강화방안에 대한 고민이 필요해 보입니다. 
-창업지원사업의 성격을 고려한 성과목표 제시 및 달성 방안에 대한 설명이 필요해 보입니다. _x000D_②AI 기반의 피부진단과 활용 플랫폼은 유사 기업들이 많아 개발 특이성이 미흡하고 매출 발생인 플랫폼 회원 확보 방안이 미흡함 _x000D_③아이템의 핵심 기능과 구체적인 활용 방안이 잘 정리되어 있으며, 제품에 대한 구현 방법과 사업화 전략이 논리적으로 연결됩니다. 
사업계획서에 작성된 ai피부분석에 대한 차별성과 기술력 독보적인 경쟁력을 증명하기 위한 시장에 대한 객관적 지표와 추가 보완이 필요합니다.  _x000D_④전반적으로 차별화 방향은 확인되나 독창서 판단에는 추가 검토가 필요 함 _x000D_⑤최근의 시장 트렌드에 맞게 개인의 최적화를 위한 AI를 활용하는 기법등이 우수하다. 다만 AI를 활용하기 위한 rawdata를 설문기반으로 준비하는 부분은 data의 신뢰도 측면에서 어려우며, 전반적으로 2026년 사업기간내에 진행될 수 있는 부분의 내용이 다소 부족한 부분이있다.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hidden="1" customHeight="1" x14ac:dyDescent="0.35">
      <c r="A117" s="4">
        <v>19</v>
      </c>
      <c r="B117" s="2">
        <v>20424187</v>
      </c>
      <c r="C117" s="38" t="str">
        <f>IFERROR(VLOOKUP($B117,대상!$B:$AC,MATCH(C$2,대상!$1:$1,0)-1,FALSE),"")</f>
        <v>지역기반</v>
      </c>
      <c r="D117" s="38" t="str">
        <f>IFERROR(VLOOKUP($B117,대상!$B:$AC,MATCH(D$2,대상!$1:$1,0)-1,FALSE),"")</f>
        <v>김담희</v>
      </c>
      <c r="E117" s="36" t="str">
        <f>IFERROR(VLOOKUP($B117,대상!$B:$AC,MATCH(E$2,대상!$1:$1,0)-1,FALSE),"")</f>
        <v>화공ㆍ섬유</v>
      </c>
      <c r="F117" s="38" t="str">
        <f>IFERROR(VLOOKUP($B117,대상!$B:$AC,MATCH(F$2,대상!$1:$1,0)-1,FALSE),"")</f>
        <v>지게미 업사이클링 기반 지역농산물 활용 K-디저트 개발</v>
      </c>
      <c r="G117" s="38" t="str">
        <f>IFERROR(VLOOKUP($B117,대상!$B:$AC,MATCH(G$2,대상!$1:$1,0)-1,FALSE),"")</f>
        <v/>
      </c>
      <c r="H117" s="33">
        <f>IFERROR(VLOOKUP($B117,[1]평가!$B:$Z,MATCH(LEFT(H$2,2),[1]평가!$7:$7,0)-1,FALSE),"")</f>
        <v>0</v>
      </c>
      <c r="I117" s="36">
        <f>IFERROR(VLOOKUP($B117,[1]평가!$B:$Z,MATCH(LEFT(I$2,2),[1]평가!$7:$7,0)-1,FALSE),"")</f>
        <v>68</v>
      </c>
      <c r="J117" s="36">
        <f>IFERROR(VLOOKUP($B117,[1]평가!$B:$Z,MATCH(LEFT(J$2,2),[1]평가!$7:$7,0)-1,FALSE),"")</f>
        <v>109</v>
      </c>
      <c r="K117" s="33">
        <f>IFERROR(VLOOKUP($B117,[2]평가!$B:$Z,MATCH(LEFT(K$2,2),[2]평가!$7:$7,0)-1,FALSE),"")</f>
        <v>0</v>
      </c>
      <c r="L117" s="36">
        <f>IFERROR(VLOOKUP($B117,[2]평가!$B:$Z,MATCH(LEFT(L$2,2),[2]평가!$7:$7,0)-1,FALSE),"")</f>
        <v>79</v>
      </c>
      <c r="M117" s="39">
        <f>IFERROR(VLOOKUP($B117,[2]평가!$B:$Z,MATCH(LEFT(M$2,2),[2]평가!$7:$7,0)-1,FALSE),"")</f>
        <v>48</v>
      </c>
      <c r="N117" s="33">
        <f>IFERROR(VLOOKUP($B117,[3]평가!$B:$Z,MATCH(LEFT(N$2,2),[3]평가!$7:$7,0)-1,FALSE),"")</f>
        <v>0</v>
      </c>
      <c r="O117" s="36">
        <f>IFERROR(VLOOKUP($B117,[3]평가!$B:$Z,MATCH(LEFT(O$2,2),[3]평가!$7:$7,0)-1,FALSE),"")</f>
        <v>69</v>
      </c>
      <c r="P117" s="39">
        <f>IFERROR(VLOOKUP($B117,[3]평가!$B:$Z,MATCH(LEFT(P$2,2),[3]평가!$7:$7,0)-1,FALSE),"")</f>
        <v>88</v>
      </c>
      <c r="Q117" s="33">
        <f>IFERROR(VLOOKUP($B117,[4]평가!$B:$Z,MATCH(LEFT(Q$2,2),[4]평가!$7:$7,0)-1,FALSE),"")</f>
        <v>0</v>
      </c>
      <c r="R117" s="36">
        <f>IFERROR(VLOOKUP($B117,[4]평가!$B:$Z,MATCH(LEFT(R$2,2),[4]평가!$7:$7,0)-1,FALSE),"")</f>
        <v>72</v>
      </c>
      <c r="S117" s="39">
        <f>IFERROR(VLOOKUP($B117,[4]평가!$B:$Z,MATCH(LEFT(S$2,2),[4]평가!$7:$7,0)-1,FALSE),"")</f>
        <v>95</v>
      </c>
      <c r="T117" s="33">
        <f>IFERROR(VLOOKUP($B117,[5]평가!$B:$Z,MATCH(LEFT(T$2,2),[5]평가!$7:$7,0)-1,FALSE),"")</f>
        <v>0</v>
      </c>
      <c r="U117" s="36">
        <f>IFERROR(VLOOKUP($B117,[5]평가!$B:$Z,MATCH(LEFT(U$2,2),[5]평가!$7:$7,0)-1,FALSE),"")</f>
        <v>65</v>
      </c>
      <c r="V117" s="39">
        <f>IFERROR(VLOOKUP($B117,[5]평가!$B:$Z,MATCH(LEFT(V$2,2),[5]평가!$7:$7,0)-1,FALSE),"")</f>
        <v>108</v>
      </c>
      <c r="W117" s="33">
        <f>IFERROR(VLOOKUP($B117,대상!$B:$AD,MATCH(W$2,대상!$1:$1,0)-1,FALSE),"")</f>
        <v>0</v>
      </c>
      <c r="X117" s="20">
        <f>IF(ISBLANK(B117),"",T$1-COUNTIF(H117:V117,"회피"))</f>
        <v>5</v>
      </c>
      <c r="Y117" s="21">
        <f>IF($T$1=X117,(SUM(I117,L117,O117,R117,U117)-MIN(I117,L117,O117,R117,U117)-MAX(I117,L117,O117,R117,U117))/($T$1-2),SUM(I117,L117,O117,R117,U117/X117))</f>
        <v>69.666666666666671</v>
      </c>
      <c r="Z117" s="40">
        <f>IFERROR(VLOOKUP($B117,대상!$B:$AD,MATCH(Z$2,대상!$1:$1,0)-1,FALSE),0)</f>
        <v>0</v>
      </c>
      <c r="AA117" s="41">
        <f>IFERROR(IF(W117="면제","100"+Z117,Y117+Z117),"")</f>
        <v>69.666666666666671</v>
      </c>
      <c r="AB117" s="35" t="str">
        <f>IF(OR(W117="면제",N(Y117)=0),"",IF(AA117&lt;60,"과락",""))</f>
        <v/>
      </c>
      <c r="AC117" s="54">
        <f>IF(N(AA117)=0,"",RANK(AA117,AA$3:AA$202))</f>
        <v>114</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①-사업화 아이템의 성공 가능성 향상을 위해 경쟁력 확보 및 지속적인 수익 창출 방안에 대한 고민이 필요해 보입니다.
-사업의 지속성 확보를 위해 중장기적인 원재료 확보 방안에 대한 고민이 필요해 보입니다. _x000D_②식품 부산물을 활용한 제품개발로 글로벌 방향과 일치하며  사업 추진전략 구성이 잘되어 있으나  매출 연계에 대한 전략의 구체성이 부족한 것으로 판단됨, _x000D_③아이템의 핵심 기능과 구체적인 활용 방안이 잘 정리되어 있으며, 기술적 구현 방법과 사업화 전략이 논리적으로 연결됩니다. 
기술 추진 의지는 확고해 보이나, 실질적인 구현 가능성에 대해서는 추가적인 검토가 요구됩니다. _x000D_④창업동기와 문제인식은 비교적 명확하게 제시되었으나, 고객 검증자료는 다소 미흡한 것으로 판단 됨. _x000D_⑤부산물을 활용한 고부가가치의 제품을 개발하고 이릍 통한 시장에 진입하기 위한 사업방향은 돋보인다. 다만, 부산물을 활용할때 및 제품화를 진행할 때의 극복방안이 보완되어져야 하며, 외부자원을 활용한 제조계획과 마케팅 부분의 전략에서 다소 아쉬운 부분이 있다.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hidden="1" customHeight="1" x14ac:dyDescent="0.35">
      <c r="A118" s="4">
        <v>78</v>
      </c>
      <c r="B118" s="2">
        <v>20426252</v>
      </c>
      <c r="C118" s="38" t="str">
        <f>IFERROR(VLOOKUP($B118,대상!$B:$AC,MATCH(C$2,대상!$1:$1,0)-1,FALSE),"")</f>
        <v>지역기반</v>
      </c>
      <c r="D118" s="38" t="str">
        <f>IFERROR(VLOOKUP($B118,대상!$B:$AC,MATCH(D$2,대상!$1:$1,0)-1,FALSE),"")</f>
        <v>장재석</v>
      </c>
      <c r="E118" s="36" t="str">
        <f>IFERROR(VLOOKUP($B118,대상!$B:$AC,MATCH(E$2,대상!$1:$1,0)-1,FALSE),"")</f>
        <v>화공ㆍ섬유</v>
      </c>
      <c r="F118" s="38" t="str">
        <f>IFERROR(VLOOKUP($B118,대상!$B:$AC,MATCH(F$2,대상!$1:$1,0)-1,FALSE),"")</f>
        <v>지속적인 음용이 가능하도록 기획된 라이프스타일형 소용량 블렌드 과·채즙</v>
      </c>
      <c r="G118" s="38" t="str">
        <f>IFERROR(VLOOKUP($B118,대상!$B:$AC,MATCH(G$2,대상!$1:$1,0)-1,FALSE),"")</f>
        <v/>
      </c>
      <c r="H118" s="33">
        <f>IFERROR(VLOOKUP($B118,[1]평가!$B:$Z,MATCH(LEFT(H$2,2),[1]평가!$7:$7,0)-1,FALSE),"")</f>
        <v>0</v>
      </c>
      <c r="I118" s="36">
        <f>IFERROR(VLOOKUP($B118,[1]평가!$B:$Z,MATCH(LEFT(I$2,2),[1]평가!$7:$7,0)-1,FALSE),"")</f>
        <v>74</v>
      </c>
      <c r="J118" s="36">
        <f>IFERROR(VLOOKUP($B118,[1]평가!$B:$Z,MATCH(LEFT(J$2,2),[1]평가!$7:$7,0)-1,FALSE),"")</f>
        <v>89</v>
      </c>
      <c r="K118" s="33">
        <f>IFERROR(VLOOKUP($B118,[2]평가!$B:$Z,MATCH(LEFT(K$2,2),[2]평가!$7:$7,0)-1,FALSE),"")</f>
        <v>0</v>
      </c>
      <c r="L118" s="36">
        <f>IFERROR(VLOOKUP($B118,[2]평가!$B:$Z,MATCH(LEFT(L$2,2),[2]평가!$7:$7,0)-1,FALSE),"")</f>
        <v>66</v>
      </c>
      <c r="M118" s="39">
        <f>IFERROR(VLOOKUP($B118,[2]평가!$B:$Z,MATCH(LEFT(M$2,2),[2]평가!$7:$7,0)-1,FALSE),"")</f>
        <v>109</v>
      </c>
      <c r="N118" s="33">
        <f>IFERROR(VLOOKUP($B118,[3]평가!$B:$Z,MATCH(LEFT(N$2,2),[3]평가!$7:$7,0)-1,FALSE),"")</f>
        <v>0</v>
      </c>
      <c r="O118" s="36">
        <f>IFERROR(VLOOKUP($B118,[3]평가!$B:$Z,MATCH(LEFT(O$2,2),[3]평가!$7:$7,0)-1,FALSE),"")</f>
        <v>64</v>
      </c>
      <c r="P118" s="39">
        <f>IFERROR(VLOOKUP($B118,[3]평가!$B:$Z,MATCH(LEFT(P$2,2),[3]평가!$7:$7,0)-1,FALSE),"")</f>
        <v>113</v>
      </c>
      <c r="Q118" s="33">
        <f>IFERROR(VLOOKUP($B118,[4]평가!$B:$Z,MATCH(LEFT(Q$2,2),[4]평가!$7:$7,0)-1,FALSE),"")</f>
        <v>0</v>
      </c>
      <c r="R118" s="36">
        <f>IFERROR(VLOOKUP($B118,[4]평가!$B:$Z,MATCH(LEFT(R$2,2),[4]평가!$7:$7,0)-1,FALSE),"")</f>
        <v>75</v>
      </c>
      <c r="S118" s="39">
        <f>IFERROR(VLOOKUP($B118,[4]평가!$B:$Z,MATCH(LEFT(S$2,2),[4]평가!$7:$7,0)-1,FALSE),"")</f>
        <v>80</v>
      </c>
      <c r="T118" s="33">
        <f>IFERROR(VLOOKUP($B118,[5]평가!$B:$Z,MATCH(LEFT(T$2,2),[5]평가!$7:$7,0)-1,FALSE),"")</f>
        <v>0</v>
      </c>
      <c r="U118" s="36">
        <f>IFERROR(VLOOKUP($B118,[5]평가!$B:$Z,MATCH(LEFT(U$2,2),[5]평가!$7:$7,0)-1,FALSE),"")</f>
        <v>66</v>
      </c>
      <c r="V118" s="39">
        <f>IFERROR(VLOOKUP($B118,[5]평가!$B:$Z,MATCH(LEFT(V$2,2),[5]평가!$7:$7,0)-1,FALSE),"")</f>
        <v>100</v>
      </c>
      <c r="W118" s="33">
        <f>IFERROR(VLOOKUP($B118,대상!$B:$AD,MATCH(W$2,대상!$1:$1,0)-1,FALSE),"")</f>
        <v>0</v>
      </c>
      <c r="X118" s="20">
        <f>IF(ISBLANK(B118),"",T$1-COUNTIF(H118:V118,"회피"))</f>
        <v>5</v>
      </c>
      <c r="Y118" s="21">
        <f>IF($T$1=X118,(SUM(I118,L118,O118,R118,U118)-MIN(I118,L118,O118,R118,U118)-MAX(I118,L118,O118,R118,U118))/($T$1-2),SUM(I118,L118,O118,R118,U118/X118))</f>
        <v>68.666666666666671</v>
      </c>
      <c r="Z118" s="40">
        <f>IFERROR(VLOOKUP($B118,대상!$B:$AD,MATCH(Z$2,대상!$1:$1,0)-1,FALSE),0)</f>
        <v>0</v>
      </c>
      <c r="AA118" s="41">
        <f>IFERROR(IF(W118="면제","100"+Z118,Y118+Z118),"")</f>
        <v>68.666666666666671</v>
      </c>
      <c r="AB118" s="35" t="str">
        <f>IF(OR(W118="면제",N(Y118)=0),"",IF(AA118&lt;60,"과락",""))</f>
        <v/>
      </c>
      <c r="AC118" s="54">
        <f>IF(N(AA118)=0,"",RANK(AA118,AA$3:AA$202))</f>
        <v>115</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①-사업화 아이템의 특성을 고려하여 기존시장의 유사제품과 비교하여 소비자의 니즈 및 우리 제품의 차별화 요소를 바탕으로 보다 다각적인 경쟁분석이 필요해 보입니다.
-사업의 지속성 확보를 위해 후발 경쟁자에 대한 진입장벽 구축 및 보다 구체적인 수익창출을 기반으로 하는 마케팅 전략에 대해 구체적인 설명이 필요해 보입니다. _x000D_②젊은 수요층 타켓의 제품화 개발로 제품성은 있으나 시장성에 대한 근거는 부족한 것으로 판단되며 구체적이고 차별적 기술의 차별성은 부족함.  시장 진입을 위한 영업 전략과 확대 전략에 대한 객관적 근거도 부족한 것으로 판단됨. _x000D_③제품의 주요 기능과 활용 시나리오가 상세히 기술되었습니다. 다만, 현재의 기술 성숙도와 최종 목표치 사이의 경계가 모호한 측면이 있습니다. 기술 리더십은 확인되나, 목표 달성을 위한 구체적인 실현 가능성은 추가 검토가 필요합니다.
 _x000D_④창업 동기와 문제 인식은 비교적 명확하게 제시가 되어 있으나, 전반적으로 추진 계획의 완성도가 미흡한 것으로 판단 됨. _x000D_⑤일상음용을 고려한 블랜딩 과,채즙에 대한 창업아이템을 기반으로 배경과 그 사업성에 대해 설명이 되어져 있다. 다만, 과,채즙 음용시장에 대해 제시된 문제점이나 그 원인에 대해 명확하지 못하며, 창업아이템에 대해 인체 유해성이나 품질에 대한 전반적인 검증과정이 나타내져 있지 않아 보완이 필요하다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hidden="1" customHeight="1" x14ac:dyDescent="0.35">
      <c r="A119" s="4">
        <v>1</v>
      </c>
      <c r="B119" s="2">
        <v>20399602</v>
      </c>
      <c r="C119" s="38" t="str">
        <f>IFERROR(VLOOKUP($B119,대상!$B:$AC,MATCH(C$2,대상!$1:$1,0)-1,FALSE),"")</f>
        <v>지역기반</v>
      </c>
      <c r="D119" s="38" t="str">
        <f>IFERROR(VLOOKUP($B119,대상!$B:$AC,MATCH(D$2,대상!$1:$1,0)-1,FALSE),"")</f>
        <v>황명희</v>
      </c>
      <c r="E119" s="36" t="str">
        <f>IFERROR(VLOOKUP($B119,대상!$B:$AC,MATCH(E$2,대상!$1:$1,0)-1,FALSE),"")</f>
        <v>화공ㆍ섬유</v>
      </c>
      <c r="F119" s="38" t="str">
        <f>IFERROR(VLOOKUP($B119,대상!$B:$AC,MATCH(F$2,대상!$1:$1,0)-1,FALSE),"")</f>
        <v>임상 기반 기능성 아로마 바디케어 제품 개발 및 브랜드 사업화</v>
      </c>
      <c r="G119" s="38" t="str">
        <f>IFERROR(VLOOKUP($B119,대상!$B:$AC,MATCH(G$2,대상!$1:$1,0)-1,FALSE),"")</f>
        <v/>
      </c>
      <c r="H119" s="33">
        <f>IFERROR(VLOOKUP($B119,[1]평가!$B:$Z,MATCH(LEFT(H$2,2),[1]평가!$7:$7,0)-1,FALSE),"")</f>
        <v>0</v>
      </c>
      <c r="I119" s="36">
        <f>IFERROR(VLOOKUP($B119,[1]평가!$B:$Z,MATCH(LEFT(I$2,2),[1]평가!$7:$7,0)-1,FALSE),"")</f>
        <v>66</v>
      </c>
      <c r="J119" s="36">
        <f>IFERROR(VLOOKUP($B119,[1]평가!$B:$Z,MATCH(LEFT(J$2,2),[1]평가!$7:$7,0)-1,FALSE),"")</f>
        <v>112</v>
      </c>
      <c r="K119" s="33">
        <f>IFERROR(VLOOKUP($B119,[2]평가!$B:$Z,MATCH(LEFT(K$2,2),[2]평가!$7:$7,0)-1,FALSE),"")</f>
        <v>0</v>
      </c>
      <c r="L119" s="36">
        <f>IFERROR(VLOOKUP($B119,[2]평가!$B:$Z,MATCH(LEFT(L$2,2),[2]평가!$7:$7,0)-1,FALSE),"")</f>
        <v>62</v>
      </c>
      <c r="M119" s="39">
        <f>IFERROR(VLOOKUP($B119,[2]평가!$B:$Z,MATCH(LEFT(M$2,2),[2]평가!$7:$7,0)-1,FALSE),"")</f>
        <v>115</v>
      </c>
      <c r="N119" s="33">
        <f>IFERROR(VLOOKUP($B119,[3]평가!$B:$Z,MATCH(LEFT(N$2,2),[3]평가!$7:$7,0)-1,FALSE),"")</f>
        <v>0</v>
      </c>
      <c r="O119" s="36">
        <f>IFERROR(VLOOKUP($B119,[3]평가!$B:$Z,MATCH(LEFT(O$2,2),[3]평가!$7:$7,0)-1,FALSE),"")</f>
        <v>69</v>
      </c>
      <c r="P119" s="39">
        <f>IFERROR(VLOOKUP($B119,[3]평가!$B:$Z,MATCH(LEFT(P$2,2),[3]평가!$7:$7,0)-1,FALSE),"")</f>
        <v>88</v>
      </c>
      <c r="Q119" s="33">
        <f>IFERROR(VLOOKUP($B119,[4]평가!$B:$Z,MATCH(LEFT(Q$2,2),[4]평가!$7:$7,0)-1,FALSE),"")</f>
        <v>0</v>
      </c>
      <c r="R119" s="36">
        <f>IFERROR(VLOOKUP($B119,[4]평가!$B:$Z,MATCH(LEFT(R$2,2),[4]평가!$7:$7,0)-1,FALSE),"")</f>
        <v>87</v>
      </c>
      <c r="S119" s="39">
        <f>IFERROR(VLOOKUP($B119,[4]평가!$B:$Z,MATCH(LEFT(S$2,2),[4]평가!$7:$7,0)-1,FALSE),"")</f>
        <v>17</v>
      </c>
      <c r="T119" s="33">
        <f>IFERROR(VLOOKUP($B119,[5]평가!$B:$Z,MATCH(LEFT(T$2,2),[5]평가!$7:$7,0)-1,FALSE),"")</f>
        <v>0</v>
      </c>
      <c r="U119" s="36">
        <f>IFERROR(VLOOKUP($B119,[5]평가!$B:$Z,MATCH(LEFT(U$2,2),[5]평가!$7:$7,0)-1,FALSE),"")</f>
        <v>69</v>
      </c>
      <c r="V119" s="39">
        <f>IFERROR(VLOOKUP($B119,[5]평가!$B:$Z,MATCH(LEFT(V$2,2),[5]평가!$7:$7,0)-1,FALSE),"")</f>
        <v>85</v>
      </c>
      <c r="W119" s="33">
        <f>IFERROR(VLOOKUP($B119,대상!$B:$AD,MATCH(W$2,대상!$1:$1,0)-1,FALSE),"")</f>
        <v>0</v>
      </c>
      <c r="X119" s="20">
        <f>IF(ISBLANK(B119),"",T$1-COUNTIF(H119:V119,"회피"))</f>
        <v>5</v>
      </c>
      <c r="Y119" s="21">
        <f>IF($T$1=X119,(SUM(I119,L119,O119,R119,U119)-MIN(I119,L119,O119,R119,U119)-MAX(I119,L119,O119,R119,U119))/($T$1-2),SUM(I119,L119,O119,R119,U119/X119))</f>
        <v>68</v>
      </c>
      <c r="Z119" s="40">
        <f>IFERROR(VLOOKUP($B119,대상!$B:$AD,MATCH(Z$2,대상!$1:$1,0)-1,FALSE),0)</f>
        <v>0</v>
      </c>
      <c r="AA119" s="41">
        <f>IFERROR(IF(W119="면제","100"+Z119,Y119+Z119),"")</f>
        <v>68</v>
      </c>
      <c r="AB119" s="35" t="str">
        <f>IF(OR(W119="면제",N(Y119)=0),"",IF(AA119&lt;60,"과락",""))</f>
        <v/>
      </c>
      <c r="AC119" s="54">
        <f>IF(N(AA119)=0,"",RANK(AA119,AA$3:AA$202))</f>
        <v>116</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①-기존 시장의 경쟁제품에 대한 경쟁분석을 통한 사업화아이템의 사업화 성공가능성 향상에 대한고민이 필요해 보입니다.
-보다 구체적인 수익 창출 방안에 대한 설명이 필요해 보입니다. _x000D_②시장규모 및 시장현황에 대한 조사가 양호하나 기존 제품과의 차별성이 부족하여 향후 매출확대가 어려울 것으로 예상됨 _x000D_③개발하고자하는 제품의 핵심기능을 제시하였으나  아로마바디오일 개발을 위한 제품 설계와 제작 방법에 대한 자세한 보완이 필요함. 
대표의 역량이 기술개발과 관련한 역량이 뛰어나나 제품개발 관련한 제품개발과 양산에 대한 역량이 다소 부족하여 보완이 필요함.  _x000D_④전반적으로 차별화 방향은 확인되나 독창성 판단에는 추가 검토가 필요 함 _x000D_⑤개발하고자 하는 제품에 대한 시장분석과 기존 제품들과의 차별성등이 잘 서술되어 있다. 다만 새로운 제품을 개발하는데 필요한 독자적인 기술성과 기존시장에서의 차별화 전략면에서 다소 부족한 부분이 있었다. 전반적으로 시장에서의 필요성은 기획적인 부분은 잘 표현되어 있으나, 제품 개발을 위한 대표자의 역량외에 전략적 부분에 대한 전략적 보완이 필요하다.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hidden="1" customHeight="1" x14ac:dyDescent="0.35">
      <c r="A120" s="4">
        <v>32</v>
      </c>
      <c r="B120" s="2">
        <v>20439838</v>
      </c>
      <c r="C120" s="38" t="str">
        <f>IFERROR(VLOOKUP($B120,대상!$B:$AC,MATCH(C$2,대상!$1:$1,0)-1,FALSE),"")</f>
        <v>지역기반</v>
      </c>
      <c r="D120" s="38" t="str">
        <f>IFERROR(VLOOKUP($B120,대상!$B:$AC,MATCH(D$2,대상!$1:$1,0)-1,FALSE),"")</f>
        <v>김기범</v>
      </c>
      <c r="E120" s="36" t="str">
        <f>IFERROR(VLOOKUP($B120,대상!$B:$AC,MATCH(E$2,대상!$1:$1,0)-1,FALSE),"")</f>
        <v>화공ㆍ섬유</v>
      </c>
      <c r="F120" s="38" t="str">
        <f>IFERROR(VLOOKUP($B120,대상!$B:$AC,MATCH(F$2,대상!$1:$1,0)-1,FALSE),"")</f>
        <v>핏 중심 기능성 러닝웨어 브랜드 개발 및 사업화</v>
      </c>
      <c r="G120" s="38" t="str">
        <f>IFERROR(VLOOKUP($B120,대상!$B:$AC,MATCH(G$2,대상!$1:$1,0)-1,FALSE),"")</f>
        <v/>
      </c>
      <c r="H120" s="33">
        <f>IFERROR(VLOOKUP($B120,[1]평가!$B:$Z,MATCH(LEFT(H$2,2),[1]평가!$7:$7,0)-1,FALSE),"")</f>
        <v>0</v>
      </c>
      <c r="I120" s="36">
        <f>IFERROR(VLOOKUP($B120,[1]평가!$B:$Z,MATCH(LEFT(I$2,2),[1]평가!$7:$7,0)-1,FALSE),"")</f>
        <v>63</v>
      </c>
      <c r="J120" s="36">
        <f>IFERROR(VLOOKUP($B120,[1]평가!$B:$Z,MATCH(LEFT(J$2,2),[1]평가!$7:$7,0)-1,FALSE),"")</f>
        <v>113</v>
      </c>
      <c r="K120" s="33">
        <f>IFERROR(VLOOKUP($B120,[2]평가!$B:$Z,MATCH(LEFT(K$2,2),[2]평가!$7:$7,0)-1,FALSE),"")</f>
        <v>0</v>
      </c>
      <c r="L120" s="36">
        <f>IFERROR(VLOOKUP($B120,[2]평가!$B:$Z,MATCH(LEFT(L$2,2),[2]평가!$7:$7,0)-1,FALSE),"")</f>
        <v>69</v>
      </c>
      <c r="M120" s="39">
        <f>IFERROR(VLOOKUP($B120,[2]평가!$B:$Z,MATCH(LEFT(M$2,2),[2]평가!$7:$7,0)-1,FALSE),"")</f>
        <v>88</v>
      </c>
      <c r="N120" s="33">
        <f>IFERROR(VLOOKUP($B120,[3]평가!$B:$Z,MATCH(LEFT(N$2,2),[3]평가!$7:$7,0)-1,FALSE),"")</f>
        <v>0</v>
      </c>
      <c r="O120" s="36">
        <f>IFERROR(VLOOKUP($B120,[3]평가!$B:$Z,MATCH(LEFT(O$2,2),[3]평가!$7:$7,0)-1,FALSE),"")</f>
        <v>65</v>
      </c>
      <c r="P120" s="39">
        <f>IFERROR(VLOOKUP($B120,[3]평가!$B:$Z,MATCH(LEFT(P$2,2),[3]평가!$7:$7,0)-1,FALSE),"")</f>
        <v>107</v>
      </c>
      <c r="Q120" s="33">
        <f>IFERROR(VLOOKUP($B120,[4]평가!$B:$Z,MATCH(LEFT(Q$2,2),[4]평가!$7:$7,0)-1,FALSE),"")</f>
        <v>0</v>
      </c>
      <c r="R120" s="36">
        <f>IFERROR(VLOOKUP($B120,[4]평가!$B:$Z,MATCH(LEFT(R$2,2),[4]평가!$7:$7,0)-1,FALSE),"")</f>
        <v>70</v>
      </c>
      <c r="S120" s="39">
        <f>IFERROR(VLOOKUP($B120,[4]평가!$B:$Z,MATCH(LEFT(S$2,2),[4]평가!$7:$7,0)-1,FALSE),"")</f>
        <v>100</v>
      </c>
      <c r="T120" s="33">
        <f>IFERROR(VLOOKUP($B120,[5]평가!$B:$Z,MATCH(LEFT(T$2,2),[5]평가!$7:$7,0)-1,FALSE),"")</f>
        <v>0</v>
      </c>
      <c r="U120" s="36">
        <f>IFERROR(VLOOKUP($B120,[5]평가!$B:$Z,MATCH(LEFT(U$2,2),[5]평가!$7:$7,0)-1,FALSE),"")</f>
        <v>72</v>
      </c>
      <c r="V120" s="39">
        <f>IFERROR(VLOOKUP($B120,[5]평가!$B:$Z,MATCH(LEFT(V$2,2),[5]평가!$7:$7,0)-1,FALSE),"")</f>
        <v>75</v>
      </c>
      <c r="W120" s="33">
        <f>IFERROR(VLOOKUP($B120,대상!$B:$AD,MATCH(W$2,대상!$1:$1,0)-1,FALSE),"")</f>
        <v>0</v>
      </c>
      <c r="X120" s="20">
        <f>IF(ISBLANK(B120),"",T$1-COUNTIF(H120:V120,"회피"))</f>
        <v>5</v>
      </c>
      <c r="Y120" s="21">
        <f>IF($T$1=X120,(SUM(I120,L120,O120,R120,U120)-MIN(I120,L120,O120,R120,U120)-MAX(I120,L120,O120,R120,U120))/($T$1-2),SUM(I120,L120,O120,R120,U120/X120))</f>
        <v>68</v>
      </c>
      <c r="Z120" s="40">
        <f>IFERROR(VLOOKUP($B120,대상!$B:$AD,MATCH(Z$2,대상!$1:$1,0)-1,FALSE),0)</f>
        <v>0</v>
      </c>
      <c r="AA120" s="41">
        <f>IFERROR(IF(W120="면제","100"+Z120,Y120+Z120),"")</f>
        <v>68</v>
      </c>
      <c r="AB120" s="35" t="str">
        <f>IF(OR(W120="면제",N(Y120)=0),"",IF(AA120&lt;60,"과락",""))</f>
        <v/>
      </c>
      <c r="AC120" s="54">
        <f>IF(N(AA120)=0,"",RANK(AA120,AA$3:AA$202))</f>
        <v>116</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①-사업화 아이템의 성공가능성 향상을 위하여 기존의 경쟁제품에 대한 차별화 요인 분석을 통한 마케팅 이슈 도출이 필요해 보입니다.
-창업지원사업의 특성을 고려한 성과목표 제시 및 달성방안에 대한 설명이 필요해 보입니다.  _x000D_②개발 대상 제품이 평이하고 경쟁 및 시장 분석에 대한 구체성과 마켓팅 전략의 차별성이 미흡한 것으로 판단됨. 향후 매출 실현에 대한 구체성이 미흡함 _x000D_③관련 소비자 니즈가 증가하는 부분에서 사업적 취지는 인정됨 다만, 경쟁사 대비 우위를 점할 핵심 기술이나 IP(지식재산권)  차별화 전략 필요한데 비해, 현재 계획서 상에는 차별화된 요소가 미약함 _x000D_④창업동기와 문제인식은 비교적 명확하게 제시되었으나, 고객 검증자료는 다소 미흡한 것으로 판단 됨. _x000D_⑤고가의 브랜드 시장과 저가의 노브랜드 시장으로 구조화된 시장에서 러닝웨어의 틈새시장을 노리는 포지션과 전략적인 면에 돋보인다. 다만, 이러한 제품의 경우 성능, 유해성, 가격정책 등 모든 면에서 비교우위에 있어야 한다는 점을 고려하면, 보다 상세한 제품분석과 경쟁력 확보방안에 대해 설명이 필요할것으로 보인다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hidden="1" customHeight="1" x14ac:dyDescent="0.35">
      <c r="A121" s="4">
        <v>48</v>
      </c>
      <c r="B121" s="2">
        <v>20411654</v>
      </c>
      <c r="C121" s="38" t="str">
        <f>IFERROR(VLOOKUP($B121,대상!$B:$AC,MATCH(C$2,대상!$1:$1,0)-1,FALSE),"")</f>
        <v>지역기반</v>
      </c>
      <c r="D121" s="38" t="str">
        <f>IFERROR(VLOOKUP($B121,대상!$B:$AC,MATCH(D$2,대상!$1:$1,0)-1,FALSE),"")</f>
        <v>염성일</v>
      </c>
      <c r="E121" s="36" t="str">
        <f>IFERROR(VLOOKUP($B121,대상!$B:$AC,MATCH(E$2,대상!$1:$1,0)-1,FALSE),"")</f>
        <v>화공ㆍ섬유</v>
      </c>
      <c r="F121" s="38" t="str">
        <f>IFERROR(VLOOKUP($B121,대상!$B:$AC,MATCH(F$2,대상!$1:$1,0)-1,FALSE),"")</f>
        <v>여성 착용 편안성을 개선한 기능성 심리스 브라 및 언더웨어 제품 개발 사업</v>
      </c>
      <c r="G121" s="38" t="str">
        <f>IFERROR(VLOOKUP($B121,대상!$B:$AC,MATCH(G$2,대상!$1:$1,0)-1,FALSE),"")</f>
        <v/>
      </c>
      <c r="H121" s="33">
        <f>IFERROR(VLOOKUP($B121,[1]평가!$B:$Z,MATCH(LEFT(H$2,2),[1]평가!$7:$7,0)-1,FALSE),"")</f>
        <v>0</v>
      </c>
      <c r="I121" s="36">
        <f>IFERROR(VLOOKUP($B121,[1]평가!$B:$Z,MATCH(LEFT(I$2,2),[1]평가!$7:$7,0)-1,FALSE),"")</f>
        <v>68</v>
      </c>
      <c r="J121" s="36">
        <f>IFERROR(VLOOKUP($B121,[1]평가!$B:$Z,MATCH(LEFT(J$2,2),[1]평가!$7:$7,0)-1,FALSE),"")</f>
        <v>109</v>
      </c>
      <c r="K121" s="33">
        <f>IFERROR(VLOOKUP($B121,[2]평가!$B:$Z,MATCH(LEFT(K$2,2),[2]평가!$7:$7,0)-1,FALSE),"")</f>
        <v>0</v>
      </c>
      <c r="L121" s="36">
        <f>IFERROR(VLOOKUP($B121,[2]평가!$B:$Z,MATCH(LEFT(L$2,2),[2]평가!$7:$7,0)-1,FALSE),"")</f>
        <v>69</v>
      </c>
      <c r="M121" s="39">
        <f>IFERROR(VLOOKUP($B121,[2]평가!$B:$Z,MATCH(LEFT(M$2,2),[2]평가!$7:$7,0)-1,FALSE),"")</f>
        <v>88</v>
      </c>
      <c r="N121" s="33">
        <f>IFERROR(VLOOKUP($B121,[3]평가!$B:$Z,MATCH(LEFT(N$2,2),[3]평가!$7:$7,0)-1,FALSE),"")</f>
        <v>0</v>
      </c>
      <c r="O121" s="36">
        <f>IFERROR(VLOOKUP($B121,[3]평가!$B:$Z,MATCH(LEFT(O$2,2),[3]평가!$7:$7,0)-1,FALSE),"")</f>
        <v>65</v>
      </c>
      <c r="P121" s="39">
        <f>IFERROR(VLOOKUP($B121,[3]평가!$B:$Z,MATCH(LEFT(P$2,2),[3]평가!$7:$7,0)-1,FALSE),"")</f>
        <v>107</v>
      </c>
      <c r="Q121" s="33">
        <f>IFERROR(VLOOKUP($B121,[4]평가!$B:$Z,MATCH(LEFT(Q$2,2),[4]평가!$7:$7,0)-1,FALSE),"")</f>
        <v>0</v>
      </c>
      <c r="R121" s="36">
        <f>IFERROR(VLOOKUP($B121,[4]평가!$B:$Z,MATCH(LEFT(R$2,2),[4]평가!$7:$7,0)-1,FALSE),"")</f>
        <v>70</v>
      </c>
      <c r="S121" s="39">
        <f>IFERROR(VLOOKUP($B121,[4]평가!$B:$Z,MATCH(LEFT(S$2,2),[4]평가!$7:$7,0)-1,FALSE),"")</f>
        <v>100</v>
      </c>
      <c r="T121" s="33">
        <f>IFERROR(VLOOKUP($B121,[5]평가!$B:$Z,MATCH(LEFT(T$2,2),[5]평가!$7:$7,0)-1,FALSE),"")</f>
        <v>0</v>
      </c>
      <c r="U121" s="36">
        <f>IFERROR(VLOOKUP($B121,[5]평가!$B:$Z,MATCH(LEFT(U$2,2),[5]평가!$7:$7,0)-1,FALSE),"")</f>
        <v>63</v>
      </c>
      <c r="V121" s="39">
        <f>IFERROR(VLOOKUP($B121,[5]평가!$B:$Z,MATCH(LEFT(V$2,2),[5]평가!$7:$7,0)-1,FALSE),"")</f>
        <v>113</v>
      </c>
      <c r="W121" s="33">
        <f>IFERROR(VLOOKUP($B121,대상!$B:$AD,MATCH(W$2,대상!$1:$1,0)-1,FALSE),"")</f>
        <v>0</v>
      </c>
      <c r="X121" s="20">
        <f>IF(ISBLANK(B121),"",T$1-COUNTIF(H121:V121,"회피"))</f>
        <v>5</v>
      </c>
      <c r="Y121" s="21">
        <f>IF($T$1=X121,(SUM(I121,L121,O121,R121,U121)-MIN(I121,L121,O121,R121,U121)-MAX(I121,L121,O121,R121,U121))/($T$1-2),SUM(I121,L121,O121,R121,U121/X121))</f>
        <v>67.333333333333329</v>
      </c>
      <c r="Z121" s="40">
        <f>IFERROR(VLOOKUP($B121,대상!$B:$AD,MATCH(Z$2,대상!$1:$1,0)-1,FALSE),0)</f>
        <v>0</v>
      </c>
      <c r="AA121" s="41">
        <f>IFERROR(IF(W121="면제","100"+Z121,Y121+Z121),"")</f>
        <v>67.333333333333329</v>
      </c>
      <c r="AB121" s="35" t="str">
        <f>IF(OR(W121="면제",N(Y121)=0),"",IF(AA121&lt;60,"과락",""))</f>
        <v/>
      </c>
      <c r="AC121" s="54">
        <f>IF(N(AA121)=0,"",RANK(AA121,AA$3:AA$202))</f>
        <v>118</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①-기존제품 대비 특화된 경쟁요소 도출 및 그것의 활용에 대한 설명이 필요해 보입니다.
-보다 구체적인 수익창출 방안 설명 및 창업지원사업의 특성을 고려한 성과지표제시 및 달성방안에 대한 설명이 필요해 보입니다.  _x000D_②국내 제품 개발 방향과 실질적 제품군에 대한 조사가 미흡하고 목표 제품개발시 경쟁력 분석 및 확보 방안이 부족함.  3D활용 제품 및 인체 착용화 프로그램 개발 등 현제품 적용 기술에 대한 분석과 차별화 전략 등의 비교 자료가 부족함.   _x000D_③개발하고자하는 제품의 핵심기능을 제시하였으나  기능성 언더웨어 개발을 위한 제품 설계와 제작 방법에 대한 자세한 보완이 필요함. 
대표의 역량이 관련한 경력과 역량이 뛰어나나 제품개발 관련한 제품개발과 양산에 대한 역량이 다소 부족하여 보완이 필요함 _x000D_④아이템의 기술수요와 개발방향은 이해하기 쉽게 작성되었으나, 현재 개발 단계와 목표 수준의 구분은 다소 미흡 함. _x000D_⑤다양한 인체의 바디감을 고려한 customized 제품에 대한 기획방향과 이에 대한 사업설명이 잘 이루어져 있다. 다만, 해당기능을 하는 기능성 구조의 언더웨어들이 이미 시장에 유통되고 있으며, 이러한 경쟁자들과의 제품 차별성 등이 나타나져 있지 않아 다소 아쉬운 부분이 있다. 이미 매출을 통해 해당 시장에 진입하고 있는 만큼 품질에 대한 우위성이나 시장경쟁력에 대해 보완되어져야 한다.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hidden="1" customHeight="1" x14ac:dyDescent="0.35">
      <c r="A122" s="4">
        <v>3</v>
      </c>
      <c r="B122" s="2">
        <v>20406606</v>
      </c>
      <c r="C122" s="38" t="str">
        <f>IFERROR(VLOOKUP($B122,대상!$B:$AC,MATCH(C$2,대상!$1:$1,0)-1,FALSE),"")</f>
        <v>지역기반</v>
      </c>
      <c r="D122" s="38" t="str">
        <f>IFERROR(VLOOKUP($B122,대상!$B:$AC,MATCH(D$2,대상!$1:$1,0)-1,FALSE),"")</f>
        <v>최호정</v>
      </c>
      <c r="E122" s="36" t="str">
        <f>IFERROR(VLOOKUP($B122,대상!$B:$AC,MATCH(E$2,대상!$1:$1,0)-1,FALSE),"")</f>
        <v>화공ㆍ섬유</v>
      </c>
      <c r="F122" s="38" t="str">
        <f>IFERROR(VLOOKUP($B122,대상!$B:$AC,MATCH(F$2,대상!$1:$1,0)-1,FALSE),"")</f>
        <v>즉석 맥반석 구이김 단지 순회공급 시스템 구축</v>
      </c>
      <c r="G122" s="38" t="str">
        <f>IFERROR(VLOOKUP($B122,대상!$B:$AC,MATCH(G$2,대상!$1:$1,0)-1,FALSE),"")</f>
        <v/>
      </c>
      <c r="H122" s="33">
        <f>IFERROR(VLOOKUP($B122,[1]평가!$B:$Z,MATCH(LEFT(H$2,2),[1]평가!$7:$7,0)-1,FALSE),"")</f>
        <v>0</v>
      </c>
      <c r="I122" s="36">
        <f>IFERROR(VLOOKUP($B122,[1]평가!$B:$Z,MATCH(LEFT(I$2,2),[1]평가!$7:$7,0)-1,FALSE),"")</f>
        <v>60</v>
      </c>
      <c r="J122" s="36">
        <f>IFERROR(VLOOKUP($B122,[1]평가!$B:$Z,MATCH(LEFT(J$2,2),[1]평가!$7:$7,0)-1,FALSE),"")</f>
        <v>115</v>
      </c>
      <c r="K122" s="33">
        <f>IFERROR(VLOOKUP($B122,[2]평가!$B:$Z,MATCH(LEFT(K$2,2),[2]평가!$7:$7,0)-1,FALSE),"")</f>
        <v>0</v>
      </c>
      <c r="L122" s="36">
        <f>IFERROR(VLOOKUP($B122,[2]평가!$B:$Z,MATCH(LEFT(L$2,2),[2]평가!$7:$7,0)-1,FALSE),"")</f>
        <v>64</v>
      </c>
      <c r="M122" s="39">
        <f>IFERROR(VLOOKUP($B122,[2]평가!$B:$Z,MATCH(LEFT(M$2,2),[2]평가!$7:$7,0)-1,FALSE),"")</f>
        <v>113</v>
      </c>
      <c r="N122" s="33">
        <f>IFERROR(VLOOKUP($B122,[3]평가!$B:$Z,MATCH(LEFT(N$2,2),[3]평가!$7:$7,0)-1,FALSE),"")</f>
        <v>0</v>
      </c>
      <c r="O122" s="36">
        <f>IFERROR(VLOOKUP($B122,[3]평가!$B:$Z,MATCH(LEFT(O$2,2),[3]평가!$7:$7,0)-1,FALSE),"")</f>
        <v>66</v>
      </c>
      <c r="P122" s="39">
        <f>IFERROR(VLOOKUP($B122,[3]평가!$B:$Z,MATCH(LEFT(P$2,2),[3]평가!$7:$7,0)-1,FALSE),"")</f>
        <v>104</v>
      </c>
      <c r="Q122" s="33">
        <f>IFERROR(VLOOKUP($B122,[4]평가!$B:$Z,MATCH(LEFT(Q$2,2),[4]평가!$7:$7,0)-1,FALSE),"")</f>
        <v>0</v>
      </c>
      <c r="R122" s="36">
        <f>IFERROR(VLOOKUP($B122,[4]평가!$B:$Z,MATCH(LEFT(R$2,2),[4]평가!$7:$7,0)-1,FALSE),"")</f>
        <v>68</v>
      </c>
      <c r="S122" s="39">
        <f>IFERROR(VLOOKUP($B122,[4]평가!$B:$Z,MATCH(LEFT(S$2,2),[4]평가!$7:$7,0)-1,FALSE),"")</f>
        <v>112</v>
      </c>
      <c r="T122" s="33">
        <f>IFERROR(VLOOKUP($B122,[5]평가!$B:$Z,MATCH(LEFT(T$2,2),[5]평가!$7:$7,0)-1,FALSE),"")</f>
        <v>0</v>
      </c>
      <c r="U122" s="36">
        <f>IFERROR(VLOOKUP($B122,[5]평가!$B:$Z,MATCH(LEFT(U$2,2),[5]평가!$7:$7,0)-1,FALSE),"")</f>
        <v>76</v>
      </c>
      <c r="V122" s="39">
        <f>IFERROR(VLOOKUP($B122,[5]평가!$B:$Z,MATCH(LEFT(V$2,2),[5]평가!$7:$7,0)-1,FALSE),"")</f>
        <v>54</v>
      </c>
      <c r="W122" s="33">
        <f>IFERROR(VLOOKUP($B122,대상!$B:$AD,MATCH(W$2,대상!$1:$1,0)-1,FALSE),"")</f>
        <v>0</v>
      </c>
      <c r="X122" s="20">
        <f>IF(ISBLANK(B122),"",T$1-COUNTIF(H122:V122,"회피"))</f>
        <v>5</v>
      </c>
      <c r="Y122" s="21">
        <f>IF($T$1=X122,(SUM(I122,L122,O122,R122,U122)-MIN(I122,L122,O122,R122,U122)-MAX(I122,L122,O122,R122,U122))/($T$1-2),SUM(I122,L122,O122,R122,U122/X122))</f>
        <v>66</v>
      </c>
      <c r="Z122" s="40">
        <f>IFERROR(VLOOKUP($B122,대상!$B:$AD,MATCH(Z$2,대상!$1:$1,0)-1,FALSE),0)</f>
        <v>0</v>
      </c>
      <c r="AA122" s="41">
        <f>IFERROR(IF(W122="면제","100"+Z122,Y122+Z122),"")</f>
        <v>66</v>
      </c>
      <c r="AB122" s="35" t="str">
        <f>IF(OR(W122="면제",N(Y122)=0),"",IF(AA122&lt;60,"과락",""))</f>
        <v/>
      </c>
      <c r="AC122" s="54">
        <f>IF(N(AA122)=0,"",RANK(AA122,AA$3:AA$202))</f>
        <v>119</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 사업 아이템의 성공가능성 향상을 위하여 기존의 유사 사업모델과 비교하여 보다 다양한 차별화요인 발굴과 함께 보다 구체적인 수익창출 방안에 대한 설명이 필요해 보입니다. _x000D_②제품(김) 특성상 품질의 유지 보관의 어려움에 대한 대응과 유통을 통한 매출 발생 등 아이디어는 높으나 시장성이 낮고 유사 기업의 발생이 용이하여 시장 지배력이 낮아질 것으로 판단됨  _x000D_③개발하고자하는 제품의 핵심기능을 제시하였으나 개발을 위한 제품 설계와 제작 방법에 대한 자세한 보완이 필요함. 
대표의 역량이 기술개발과 관련한 역량이 뛰어나나 제품개발 관련한 제품개발과 양산에 대한 역량이 다소 부족하여 보완이 필요함.  _x000D_④창업동기와 문제인식은 비교적 명확하게 제시되었으나, 시장규모와 고객 검증자료는 다소 미흡한 것으로 판단 됨. _x000D_⑤대표자를 중심으로 하는 외부인원들의 협력과 사업구성은 매우 잘 설명되어 있다. 다만 '김'이라는 식자재에 대해 소비자들이 오프/온라인에서 다양한 기업들의 제품을 구매하고 있는 환경에서 '방문판매' 보다는 어떻게 시장에 진입하고 유지할 것이라는 부분에 좀 더 구체화할 필요가 있다.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hidden="1" customHeight="1" x14ac:dyDescent="0.35">
      <c r="A123" s="4">
        <v>26</v>
      </c>
      <c r="B123" s="2">
        <v>20428898</v>
      </c>
      <c r="C123" s="38" t="str">
        <f>IFERROR(VLOOKUP($B123,대상!$B:$AC,MATCH(C$2,대상!$1:$1,0)-1,FALSE),"")</f>
        <v>지역기반</v>
      </c>
      <c r="D123" s="38" t="str">
        <f>IFERROR(VLOOKUP($B123,대상!$B:$AC,MATCH(D$2,대상!$1:$1,0)-1,FALSE),"")</f>
        <v>최희원</v>
      </c>
      <c r="E123" s="36" t="str">
        <f>IFERROR(VLOOKUP($B123,대상!$B:$AC,MATCH(E$2,대상!$1:$1,0)-1,FALSE),"")</f>
        <v>화공ㆍ섬유</v>
      </c>
      <c r="F123" s="38" t="str">
        <f>IFERROR(VLOOKUP($B123,대상!$B:$AC,MATCH(F$2,대상!$1:$1,0)-1,FALSE),"")</f>
        <v>천연소재 복합배합 기반 친환경 반려동물 위생용품 개발</v>
      </c>
      <c r="G123" s="38" t="str">
        <f>IFERROR(VLOOKUP($B123,대상!$B:$AC,MATCH(G$2,대상!$1:$1,0)-1,FALSE),"")</f>
        <v/>
      </c>
      <c r="H123" s="33">
        <f>IFERROR(VLOOKUP($B123,[1]평가!$B:$Z,MATCH(LEFT(H$2,2),[1]평가!$7:$7,0)-1,FALSE),"")</f>
        <v>0</v>
      </c>
      <c r="I123" s="36">
        <f>IFERROR(VLOOKUP($B123,[1]평가!$B:$Z,MATCH(LEFT(I$2,2),[1]평가!$7:$7,0)-1,FALSE),"")</f>
        <v>61</v>
      </c>
      <c r="J123" s="36">
        <f>IFERROR(VLOOKUP($B123,[1]평가!$B:$Z,MATCH(LEFT(J$2,2),[1]평가!$7:$7,0)-1,FALSE),"")</f>
        <v>114</v>
      </c>
      <c r="K123" s="33">
        <f>IFERROR(VLOOKUP($B123,[2]평가!$B:$Z,MATCH(LEFT(K$2,2),[2]평가!$7:$7,0)-1,FALSE),"")</f>
        <v>0</v>
      </c>
      <c r="L123" s="36">
        <f>IFERROR(VLOOKUP($B123,[2]평가!$B:$Z,MATCH(LEFT(L$2,2),[2]평가!$7:$7,0)-1,FALSE),"")</f>
        <v>78</v>
      </c>
      <c r="M123" s="39">
        <f>IFERROR(VLOOKUP($B123,[2]평가!$B:$Z,MATCH(LEFT(M$2,2),[2]평가!$7:$7,0)-1,FALSE),"")</f>
        <v>55</v>
      </c>
      <c r="N123" s="33">
        <f>IFERROR(VLOOKUP($B123,[3]평가!$B:$Z,MATCH(LEFT(N$2,2),[3]평가!$7:$7,0)-1,FALSE),"")</f>
        <v>0</v>
      </c>
      <c r="O123" s="36">
        <f>IFERROR(VLOOKUP($B123,[3]평가!$B:$Z,MATCH(LEFT(O$2,2),[3]평가!$7:$7,0)-1,FALSE),"")</f>
        <v>65</v>
      </c>
      <c r="P123" s="39">
        <f>IFERROR(VLOOKUP($B123,[3]평가!$B:$Z,MATCH(LEFT(P$2,2),[3]평가!$7:$7,0)-1,FALSE),"")</f>
        <v>107</v>
      </c>
      <c r="Q123" s="33">
        <f>IFERROR(VLOOKUP($B123,[4]평가!$B:$Z,MATCH(LEFT(Q$2,2),[4]평가!$7:$7,0)-1,FALSE),"")</f>
        <v>0</v>
      </c>
      <c r="R123" s="36">
        <f>IFERROR(VLOOKUP($B123,[4]평가!$B:$Z,MATCH(LEFT(R$2,2),[4]평가!$7:$7,0)-1,FALSE),"")</f>
        <v>70</v>
      </c>
      <c r="S123" s="39">
        <f>IFERROR(VLOOKUP($B123,[4]평가!$B:$Z,MATCH(LEFT(S$2,2),[4]평가!$7:$7,0)-1,FALSE),"")</f>
        <v>100</v>
      </c>
      <c r="T123" s="33">
        <f>IFERROR(VLOOKUP($B123,[5]평가!$B:$Z,MATCH(LEFT(T$2,2),[5]평가!$7:$7,0)-1,FALSE),"")</f>
        <v>0</v>
      </c>
      <c r="U123" s="36">
        <f>IFERROR(VLOOKUP($B123,[5]평가!$B:$Z,MATCH(LEFT(U$2,2),[5]평가!$7:$7,0)-1,FALSE),"")</f>
        <v>62</v>
      </c>
      <c r="V123" s="39">
        <f>IFERROR(VLOOKUP($B123,[5]평가!$B:$Z,MATCH(LEFT(V$2,2),[5]평가!$7:$7,0)-1,FALSE),"")</f>
        <v>115</v>
      </c>
      <c r="W123" s="33">
        <f>IFERROR(VLOOKUP($B123,대상!$B:$AD,MATCH(W$2,대상!$1:$1,0)-1,FALSE),"")</f>
        <v>0</v>
      </c>
      <c r="X123" s="20">
        <f>IF(ISBLANK(B123),"",T$1-COUNTIF(H123:V123,"회피"))</f>
        <v>5</v>
      </c>
      <c r="Y123" s="21">
        <f>IF($T$1=X123,(SUM(I123,L123,O123,R123,U123)-MIN(I123,L123,O123,R123,U123)-MAX(I123,L123,O123,R123,U123))/($T$1-2),SUM(I123,L123,O123,R123,U123/X123))</f>
        <v>65.666666666666671</v>
      </c>
      <c r="Z123" s="40">
        <f>IFERROR(VLOOKUP($B123,대상!$B:$AD,MATCH(Z$2,대상!$1:$1,0)-1,FALSE),0)</f>
        <v>0</v>
      </c>
      <c r="AA123" s="41">
        <f>IFERROR(IF(W123="면제","100"+Z123,Y123+Z123),"")</f>
        <v>65.666666666666671</v>
      </c>
      <c r="AB123" s="35" t="str">
        <f>IF(OR(W123="면제",N(Y123)=0),"",IF(AA123&lt;60,"과락",""))</f>
        <v/>
      </c>
      <c r="AC123" s="54">
        <f>IF(N(AA123)=0,"",RANK(AA123,AA$3:AA$202))</f>
        <v>120</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①-사업화 아이템의 성공가능성 향상을 위해 보다 다양한 관점에서 경쟁분석이 필요해 보입니다. 
-사업의 지속성 확보를 위해 보다 구체적인 수익 창출 방안에 대한 설명이 필요해 보입니다.
-창업지원사업의 특성을 고려한 성과목표 제시 및 달성방안에 대한 설명이 필요해 보입니다.  _x000D_②폐소재 활용 제품에 대한 아이디어와 제품개발을 위한 원자재 수급망 및 경쟁력 확보, 반려용품 시장의 틈새시장 진입 효과는 가능하나 새로운 제품군으로써의 시장 진입에 대한 마켓팅 전략이 미흡한 것으로 판단됨 _x000D_③수익 구조가 단순 판매에 치중되어 있고 매출 산출 근거가 낙관적임
 과제 수행기간 동안 아이템 구체화의 목표는 확인이 되나 경쟁사대비 비교우위 성능과 특장점에 대한 기술 구체화가 부족함. _x000D_④전반적으로 차별화 방향은 확인되나 독창성 판단에는 추가 검토가 필요 함 _x000D_⑤천연, 폐자원 소재를 활용하여 기존 화학소재를 대체하는 펫시장을 위한 제품에 대해 그 문제인식과 필요성 및 사업성 전반에 대해 잘 설명하고 있다. 다만, 개발제품에 대한 성능 확인이나 분석 그리고 기존시장의 제품을 대체하기 위한 마케팅 방안등이 사업화를 위해 보완되어야 하기에 아쉬운 부분이 있다.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122</v>
      </c>
      <c r="B124" s="2">
        <v>20422189</v>
      </c>
      <c r="C124" s="38" t="str">
        <f>IFERROR(VLOOKUP($B124,대상!$B:$AC,MATCH(C$2,대상!$1:$1,0)-1,FALSE),"")</f>
        <v>대학발</v>
      </c>
      <c r="D124" s="38" t="str">
        <f>IFERROR(VLOOKUP($B124,대상!$B:$AC,MATCH(D$2,대상!$1:$1,0)-1,FALSE),"")</f>
        <v>임병주</v>
      </c>
      <c r="E124" s="36" t="str">
        <f>IFERROR(VLOOKUP($B124,대상!$B:$AC,MATCH(E$2,대상!$1:$1,0)-1,FALSE),"")</f>
        <v>화공ㆍ섬유</v>
      </c>
      <c r="F124" s="38" t="str">
        <f>IFERROR(VLOOKUP($B124,대상!$B:$AC,MATCH(F$2,대상!$1:$1,0)-1,FALSE),"")</f>
        <v>피부 장벽 개선 및 복합적 피부 고민 관리를 위한 스킨케어 솔루션</v>
      </c>
      <c r="G124" s="38" t="str">
        <f>IFERROR(VLOOKUP($B124,대상!$B:$AC,MATCH(G$2,대상!$1:$1,0)-1,FALSE),"")</f>
        <v/>
      </c>
      <c r="H124" s="33">
        <f>IFERROR(VLOOKUP($B124,[1]평가!$B:$Z,MATCH(LEFT(H$2,2),[1]평가!$7:$7,0)-1,FALSE),"")</f>
        <v>0</v>
      </c>
      <c r="I124" s="36">
        <f>IFERROR(VLOOKUP($B124,[1]평가!$B:$Z,MATCH(LEFT(I$2,2),[1]평가!$7:$7,0)-1,FALSE),"")</f>
        <v>72</v>
      </c>
      <c r="J124" s="36">
        <f>IFERROR(VLOOKUP($B124,[1]평가!$B:$Z,MATCH(LEFT(J$2,2),[1]평가!$7:$7,0)-1,FALSE),"")</f>
        <v>104</v>
      </c>
      <c r="K124" s="33">
        <f>IFERROR(VLOOKUP($B124,[2]평가!$B:$Z,MATCH(LEFT(K$2,2),[2]평가!$7:$7,0)-1,FALSE),"")</f>
        <v>0</v>
      </c>
      <c r="L124" s="36">
        <f>IFERROR(VLOOKUP($B124,[2]평가!$B:$Z,MATCH(LEFT(L$2,2),[2]평가!$7:$7,0)-1,FALSE),"")</f>
        <v>68</v>
      </c>
      <c r="M124" s="39">
        <f>IFERROR(VLOOKUP($B124,[2]평가!$B:$Z,MATCH(LEFT(M$2,2),[2]평가!$7:$7,0)-1,FALSE),"")</f>
        <v>98</v>
      </c>
      <c r="N124" s="33">
        <f>IFERROR(VLOOKUP($B124,[3]평가!$B:$Z,MATCH(LEFT(N$2,2),[3]평가!$7:$7,0)-1,FALSE),"")</f>
        <v>0</v>
      </c>
      <c r="O124" s="36">
        <f>IFERROR(VLOOKUP($B124,[3]평가!$B:$Z,MATCH(LEFT(O$2,2),[3]평가!$7:$7,0)-1,FALSE),"")</f>
        <v>73</v>
      </c>
      <c r="P124" s="39">
        <f>IFERROR(VLOOKUP($B124,[3]평가!$B:$Z,MATCH(LEFT(P$2,2),[3]평가!$7:$7,0)-1,FALSE),"")</f>
        <v>72</v>
      </c>
      <c r="Q124" s="33">
        <f>IFERROR(VLOOKUP($B124,[4]평가!$B:$Z,MATCH(LEFT(Q$2,2),[4]평가!$7:$7,0)-1,FALSE),"")</f>
        <v>0</v>
      </c>
      <c r="R124" s="36">
        <f>IFERROR(VLOOKUP($B124,[4]평가!$B:$Z,MATCH(LEFT(R$2,2),[4]평가!$7:$7,0)-1,FALSE),"")</f>
        <v>86</v>
      </c>
      <c r="S124" s="39">
        <f>IFERROR(VLOOKUP($B124,[4]평가!$B:$Z,MATCH(LEFT(S$2,2),[4]평가!$7:$7,0)-1,FALSE),"")</f>
        <v>23</v>
      </c>
      <c r="T124" s="33">
        <f>IFERROR(VLOOKUP($B124,[5]평가!$B:$Z,MATCH(LEFT(T$2,2),[5]평가!$7:$7,0)-1,FALSE),"")</f>
        <v>0</v>
      </c>
      <c r="U124" s="36">
        <f>IFERROR(VLOOKUP($B124,[5]평가!$B:$Z,MATCH(LEFT(U$2,2),[5]평가!$7:$7,0)-1,FALSE),"")</f>
        <v>76</v>
      </c>
      <c r="V124" s="39">
        <f>IFERROR(VLOOKUP($B124,[5]평가!$B:$Z,MATCH(LEFT(V$2,2),[5]평가!$7:$7,0)-1,FALSE),"")</f>
        <v>54</v>
      </c>
      <c r="W124" s="33">
        <f>IFERROR(VLOOKUP($B124,대상!$B:$AD,MATCH(W$2,대상!$1:$1,0)-1,FALSE),"")</f>
        <v>0</v>
      </c>
      <c r="X124" s="20">
        <f t="shared" ref="X67:X130" si="0">IF(ISBLANK(B124),"",T$1-COUNTIF(H124:V124,"회피"))</f>
        <v>5</v>
      </c>
      <c r="Y124" s="21">
        <f t="shared" ref="Y67:Y130" si="1">IF($T$1=X124,(SUM(I124,L124,O124,R124,U124)-MIN(I124,L124,O124,R124,U124)-MAX(I124,L124,O124,R124,U124))/($T$1-2),SUM(I124,L124,O124,R124,U124/X124))</f>
        <v>73.666666666666671</v>
      </c>
      <c r="Z124" s="40">
        <f>IFERROR(VLOOKUP($B124,대상!$B:$AD,MATCH(Z$2,대상!$1:$1,0)-1,FALSE),0)</f>
        <v>0</v>
      </c>
      <c r="AA124" s="41">
        <f t="shared" ref="AA67:AA130" si="2">IFERROR(IF(W124="면제","100"+Z124,Y124+Z124),"")</f>
        <v>73.666666666666671</v>
      </c>
      <c r="AB124" s="35" t="str">
        <f t="shared" ref="AB67:AB130" si="3">IF(OR(W124="면제",N(Y124)=0),"",IF(AA124&lt;60,"과락",""))</f>
        <v/>
      </c>
      <c r="AC124" s="54">
        <f t="shared" ref="AC67:AC130" si="4">IF(N(AA124)=0,"",RANK(AA124,AA$3:AA$202))</f>
        <v>98</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①-우리 제품의 차별화 요소를 바탕으로 다각적인 경쟁분석을 통한 사업화 아이템의 성공가능성 향상에 대한 고민이 필요해 보입니다.
-사업의 지속성 확보를 위해 수익창출을 기반으로 하는 마케팅 전략에 대해 구체적인 설명이 필요해 보입니다.
-창업지원사업의 특성을 고려한 정량적 성과지표 및 달성방안에 대한 설명이 필요해 보입니다. _x000D_②민감성 피부 대응 제품으로 시장 요구형 제품 개발 달성은 가능하나 유사 컨셉 제품군이  이미 판매가 진행되고 있어  이에 대한  영업 대응 전략이 부족한 것으로 판단됨 _x000D_③경쟁 우위 요소를 발굴하여 제시한 점은 고무적입니다. 다만 이러한 차별화 포인트가 실질적인 기술적 진입장벽이나 우위로 이어진다는 객관적 근거가 다소 미흡합니다.  _x000D_④아이템의 기술수요와 개발 방향은 이해하기 쉽게 작성되었으나, 전반적으로 팀 구성의 적정성은 다소 미흡한 것으로 판단 됨. _x000D_⑤기능성 스킨케어 화장품을 창업아이템으로 하여 민감성 피부를 고려한 필요성과 그시장에 대해서 잘설명되어져 있다. 다만, 현재시장의 문제점이나 경쟁제품들에 대해서는 검증된 근거가 제시되지 못하고 있어 이에대한 보완이 필요하다.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 xml:space="preserve">①불일치 _x000D_②불일치 _x000D_③불일치 _x000D_④불일치 _x000D_⑤일치 </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 xml:space="preserve">①단순화학제품 제조이므로 주력산업분야에 해당하지 않음 _x000D_②주력산업분야에 해당되지 않은 것으로 판단됨 _x000D_③단순화학반응 제품으로 연관검토가 가능한 주력산업분야에 해당하지 않는것으로 사료됨 _x000D_④단순화학제품 제조이므로 주력산업 분야에 해당하지ㅣ 않음. _x000D_⑤사업화 부분의 주력산업내용 포함여부에 대해 추가 검토가 필요함 </v>
      </c>
    </row>
    <row r="125" spans="1:32" ht="30" hidden="1" customHeight="1" x14ac:dyDescent="0.35">
      <c r="A125" s="4">
        <v>123</v>
      </c>
      <c r="B125" s="2"/>
      <c r="C125" s="38" t="str">
        <f>IFERROR(VLOOKUP($B125,대상!$B:$AC,MATCH(C$2,대상!$1:$1,0)-1,FALSE),"")</f>
        <v/>
      </c>
      <c r="D125" s="38" t="str">
        <f>IFERROR(VLOOKUP($B125,대상!$B:$AC,MATCH(D$2,대상!$1:$1,0)-1,FALSE),"")</f>
        <v/>
      </c>
      <c r="E125" s="36" t="str">
        <f>IFERROR(VLOOKUP($B125,대상!$B:$AC,MATCH(E$2,대상!$1:$1,0)-1,FALSE),"")</f>
        <v/>
      </c>
      <c r="F125" s="38" t="str">
        <f>IFERROR(VLOOKUP($B125,대상!$B:$AC,MATCH(F$2,대상!$1:$1,0)-1,FALSE),"")</f>
        <v/>
      </c>
      <c r="G125" s="38" t="str">
        <f>IFERROR(VLOOKUP($B125,대상!$B:$AC,MATCH(G$2,대상!$1:$1,0)-1,FALSE),"")</f>
        <v/>
      </c>
      <c r="H125" s="33" t="str">
        <f>IFERROR(VLOOKUP($B125,[1]평가!$B:$Z,MATCH(LEFT(H$2,2),[1]평가!$7:$7,0)-1,FALSE),"")</f>
        <v/>
      </c>
      <c r="I125" s="36" t="str">
        <f>IFERROR(VLOOKUP($B125,[1]평가!$B:$Z,MATCH(LEFT(I$2,2),[1]평가!$7:$7,0)-1,FALSE),"")</f>
        <v/>
      </c>
      <c r="J125" s="36" t="str">
        <f>IFERROR(VLOOKUP($B125,[1]평가!$B:$Z,MATCH(LEFT(J$2,2),[1]평가!$7:$7,0)-1,FALSE),"")</f>
        <v/>
      </c>
      <c r="K125" s="33" t="str">
        <f>IFERROR(VLOOKUP($B125,[2]평가!$B:$Z,MATCH(LEFT(K$2,2),[2]평가!$7:$7,0)-1,FALSE),"")</f>
        <v/>
      </c>
      <c r="L125" s="36" t="str">
        <f>IFERROR(VLOOKUP($B125,[2]평가!$B:$Z,MATCH(LEFT(L$2,2),[2]평가!$7:$7,0)-1,FALSE),"")</f>
        <v/>
      </c>
      <c r="M125" s="39" t="str">
        <f>IFERROR(VLOOKUP($B125,[2]평가!$B:$Z,MATCH(LEFT(M$2,2),[2]평가!$7:$7,0)-1,FALSE),"")</f>
        <v/>
      </c>
      <c r="N125" s="33" t="str">
        <f>IFERROR(VLOOKUP($B125,[3]평가!$B:$Z,MATCH(LEFT(N$2,2),[3]평가!$7:$7,0)-1,FALSE),"")</f>
        <v/>
      </c>
      <c r="O125" s="36" t="str">
        <f>IFERROR(VLOOKUP($B125,[3]평가!$B:$Z,MATCH(LEFT(O$2,2),[3]평가!$7:$7,0)-1,FALSE),"")</f>
        <v/>
      </c>
      <c r="P125" s="39" t="str">
        <f>IFERROR(VLOOKUP($B125,[3]평가!$B:$Z,MATCH(LEFT(P$2,2),[3]평가!$7:$7,0)-1,FALSE),"")</f>
        <v/>
      </c>
      <c r="Q125" s="33" t="str">
        <f>IFERROR(VLOOKUP($B125,[4]평가!$B:$Z,MATCH(LEFT(Q$2,2),[4]평가!$7:$7,0)-1,FALSE),"")</f>
        <v/>
      </c>
      <c r="R125" s="36" t="str">
        <f>IFERROR(VLOOKUP($B125,[4]평가!$B:$Z,MATCH(LEFT(R$2,2),[4]평가!$7:$7,0)-1,FALSE),"")</f>
        <v/>
      </c>
      <c r="S125" s="39" t="str">
        <f>IFERROR(VLOOKUP($B125,[4]평가!$B:$Z,MATCH(LEFT(S$2,2),[4]평가!$7:$7,0)-1,FALSE),"")</f>
        <v/>
      </c>
      <c r="T125" s="33" t="str">
        <f>IFERROR(VLOOKUP($B125,[5]평가!$B:$Z,MATCH(LEFT(T$2,2),[5]평가!$7:$7,0)-1,FALSE),"")</f>
        <v/>
      </c>
      <c r="U125" s="36" t="str">
        <f>IFERROR(VLOOKUP($B125,[5]평가!$B:$Z,MATCH(LEFT(U$2,2),[5]평가!$7:$7,0)-1,FALSE),"")</f>
        <v/>
      </c>
      <c r="V125" s="39" t="str">
        <f>IFERROR(VLOOKUP($B125,[5]평가!$B:$Z,MATCH(LEFT(V$2,2),[5]평가!$7:$7,0)-1,FALSE),"")</f>
        <v/>
      </c>
      <c r="W125" s="33" t="str">
        <f>IFERROR(VLOOKUP($B125,대상!$B:$AD,MATCH(W$2,대상!$1:$1,0)-1,FALSE),"")</f>
        <v/>
      </c>
      <c r="X125" s="20" t="str">
        <f t="shared" si="0"/>
        <v/>
      </c>
      <c r="Y125" s="21" t="e">
        <f t="shared" si="1"/>
        <v>#VALUE!</v>
      </c>
      <c r="Z125" s="40">
        <f>IFERROR(VLOOKUP($B125,대상!$B:$AD,MATCH(Z$2,대상!$1:$1,0)-1,FALSE),0)</f>
        <v>0</v>
      </c>
      <c r="AA125" s="41" t="str">
        <f t="shared" si="2"/>
        <v/>
      </c>
      <c r="AB125" s="35" t="e">
        <f t="shared" si="3"/>
        <v>#VALUE!</v>
      </c>
      <c r="AC125" s="54" t="str">
        <f t="shared" si="4"/>
        <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
      </c>
    </row>
    <row r="126" spans="1:32" ht="30" hidden="1" customHeight="1" x14ac:dyDescent="0.35">
      <c r="A126" s="4">
        <v>124</v>
      </c>
      <c r="B126" s="2"/>
      <c r="C126" s="38" t="str">
        <f>IFERROR(VLOOKUP($B126,대상!$B:$AC,MATCH(C$2,대상!$1:$1,0)-1,FALSE),"")</f>
        <v/>
      </c>
      <c r="D126" s="38" t="str">
        <f>IFERROR(VLOOKUP($B126,대상!$B:$AC,MATCH(D$2,대상!$1:$1,0)-1,FALSE),"")</f>
        <v/>
      </c>
      <c r="E126" s="36" t="str">
        <f>IFERROR(VLOOKUP($B126,대상!$B:$AC,MATCH(E$2,대상!$1:$1,0)-1,FALSE),"")</f>
        <v/>
      </c>
      <c r="F126" s="38" t="str">
        <f>IFERROR(VLOOKUP($B126,대상!$B:$AC,MATCH(F$2,대상!$1:$1,0)-1,FALSE),"")</f>
        <v/>
      </c>
      <c r="G126" s="38" t="str">
        <f>IFERROR(VLOOKUP($B126,대상!$B:$AC,MATCH(G$2,대상!$1:$1,0)-1,FALSE),"")</f>
        <v/>
      </c>
      <c r="H126" s="33" t="str">
        <f>IFERROR(VLOOKUP($B126,[1]평가!$B:$Z,MATCH(LEFT(H$2,2),[1]평가!$7:$7,0)-1,FALSE),"")</f>
        <v/>
      </c>
      <c r="I126" s="36" t="str">
        <f>IFERROR(VLOOKUP($B126,[1]평가!$B:$Z,MATCH(LEFT(I$2,2),[1]평가!$7:$7,0)-1,FALSE),"")</f>
        <v/>
      </c>
      <c r="J126" s="36" t="str">
        <f>IFERROR(VLOOKUP($B126,[1]평가!$B:$Z,MATCH(LEFT(J$2,2),[1]평가!$7:$7,0)-1,FALSE),"")</f>
        <v/>
      </c>
      <c r="K126" s="33" t="str">
        <f>IFERROR(VLOOKUP($B126,[2]평가!$B:$Z,MATCH(LEFT(K$2,2),[2]평가!$7:$7,0)-1,FALSE),"")</f>
        <v/>
      </c>
      <c r="L126" s="36" t="str">
        <f>IFERROR(VLOOKUP($B126,[2]평가!$B:$Z,MATCH(LEFT(L$2,2),[2]평가!$7:$7,0)-1,FALSE),"")</f>
        <v/>
      </c>
      <c r="M126" s="39" t="str">
        <f>IFERROR(VLOOKUP($B126,[2]평가!$B:$Z,MATCH(LEFT(M$2,2),[2]평가!$7:$7,0)-1,FALSE),"")</f>
        <v/>
      </c>
      <c r="N126" s="33" t="str">
        <f>IFERROR(VLOOKUP($B126,[3]평가!$B:$Z,MATCH(LEFT(N$2,2),[3]평가!$7:$7,0)-1,FALSE),"")</f>
        <v/>
      </c>
      <c r="O126" s="36" t="str">
        <f>IFERROR(VLOOKUP($B126,[3]평가!$B:$Z,MATCH(LEFT(O$2,2),[3]평가!$7:$7,0)-1,FALSE),"")</f>
        <v/>
      </c>
      <c r="P126" s="39" t="str">
        <f>IFERROR(VLOOKUP($B126,[3]평가!$B:$Z,MATCH(LEFT(P$2,2),[3]평가!$7:$7,0)-1,FALSE),"")</f>
        <v/>
      </c>
      <c r="Q126" s="33" t="str">
        <f>IFERROR(VLOOKUP($B126,[4]평가!$B:$Z,MATCH(LEFT(Q$2,2),[4]평가!$7:$7,0)-1,FALSE),"")</f>
        <v/>
      </c>
      <c r="R126" s="36" t="str">
        <f>IFERROR(VLOOKUP($B126,[4]평가!$B:$Z,MATCH(LEFT(R$2,2),[4]평가!$7:$7,0)-1,FALSE),"")</f>
        <v/>
      </c>
      <c r="S126" s="39" t="str">
        <f>IFERROR(VLOOKUP($B126,[4]평가!$B:$Z,MATCH(LEFT(S$2,2),[4]평가!$7:$7,0)-1,FALSE),"")</f>
        <v/>
      </c>
      <c r="T126" s="33" t="str">
        <f>IFERROR(VLOOKUP($B126,[5]평가!$B:$Z,MATCH(LEFT(T$2,2),[5]평가!$7:$7,0)-1,FALSE),"")</f>
        <v/>
      </c>
      <c r="U126" s="36" t="str">
        <f>IFERROR(VLOOKUP($B126,[5]평가!$B:$Z,MATCH(LEFT(U$2,2),[5]평가!$7:$7,0)-1,FALSE),"")</f>
        <v/>
      </c>
      <c r="V126" s="39" t="str">
        <f>IFERROR(VLOOKUP($B126,[5]평가!$B:$Z,MATCH(LEFT(V$2,2),[5]평가!$7:$7,0)-1,FALSE),"")</f>
        <v/>
      </c>
      <c r="W126" s="33" t="str">
        <f>IFERROR(VLOOKUP($B126,대상!$B:$AD,MATCH(W$2,대상!$1:$1,0)-1,FALSE),"")</f>
        <v/>
      </c>
      <c r="X126" s="20" t="str">
        <f t="shared" si="0"/>
        <v/>
      </c>
      <c r="Y126" s="21" t="e">
        <f t="shared" si="1"/>
        <v>#VALUE!</v>
      </c>
      <c r="Z126" s="40">
        <f>IFERROR(VLOOKUP($B126,대상!$B:$AD,MATCH(Z$2,대상!$1:$1,0)-1,FALSE),0)</f>
        <v>0</v>
      </c>
      <c r="AA126" s="41" t="str">
        <f t="shared" si="2"/>
        <v/>
      </c>
      <c r="AB126" s="35" t="e">
        <f t="shared" si="3"/>
        <v>#VALUE!</v>
      </c>
      <c r="AC126" s="54" t="str">
        <f t="shared" si="4"/>
        <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
      </c>
    </row>
    <row r="127" spans="1:32" ht="30" hidden="1" customHeight="1" x14ac:dyDescent="0.35">
      <c r="A127" s="4">
        <v>125</v>
      </c>
      <c r="B127" s="2"/>
      <c r="C127" s="38" t="str">
        <f>IFERROR(VLOOKUP($B127,대상!$B:$AC,MATCH(C$2,대상!$1:$1,0)-1,FALSE),"")</f>
        <v/>
      </c>
      <c r="D127" s="38" t="str">
        <f>IFERROR(VLOOKUP($B127,대상!$B:$AC,MATCH(D$2,대상!$1:$1,0)-1,FALSE),"")</f>
        <v/>
      </c>
      <c r="E127" s="36" t="str">
        <f>IFERROR(VLOOKUP($B127,대상!$B:$AC,MATCH(E$2,대상!$1:$1,0)-1,FALSE),"")</f>
        <v/>
      </c>
      <c r="F127" s="38" t="str">
        <f>IFERROR(VLOOKUP($B127,대상!$B:$AC,MATCH(F$2,대상!$1:$1,0)-1,FALSE),"")</f>
        <v/>
      </c>
      <c r="G127" s="38" t="str">
        <f>IFERROR(VLOOKUP($B127,대상!$B:$AC,MATCH(G$2,대상!$1:$1,0)-1,FALSE),"")</f>
        <v/>
      </c>
      <c r="H127" s="33" t="str">
        <f>IFERROR(VLOOKUP($B127,[1]평가!$B:$Z,MATCH(LEFT(H$2,2),[1]평가!$7:$7,0)-1,FALSE),"")</f>
        <v/>
      </c>
      <c r="I127" s="36" t="str">
        <f>IFERROR(VLOOKUP($B127,[1]평가!$B:$Z,MATCH(LEFT(I$2,2),[1]평가!$7:$7,0)-1,FALSE),"")</f>
        <v/>
      </c>
      <c r="J127" s="36" t="str">
        <f>IFERROR(VLOOKUP($B127,[1]평가!$B:$Z,MATCH(LEFT(J$2,2),[1]평가!$7:$7,0)-1,FALSE),"")</f>
        <v/>
      </c>
      <c r="K127" s="33" t="str">
        <f>IFERROR(VLOOKUP($B127,[2]평가!$B:$Z,MATCH(LEFT(K$2,2),[2]평가!$7:$7,0)-1,FALSE),"")</f>
        <v/>
      </c>
      <c r="L127" s="36" t="str">
        <f>IFERROR(VLOOKUP($B127,[2]평가!$B:$Z,MATCH(LEFT(L$2,2),[2]평가!$7:$7,0)-1,FALSE),"")</f>
        <v/>
      </c>
      <c r="M127" s="39" t="str">
        <f>IFERROR(VLOOKUP($B127,[2]평가!$B:$Z,MATCH(LEFT(M$2,2),[2]평가!$7:$7,0)-1,FALSE),"")</f>
        <v/>
      </c>
      <c r="N127" s="33" t="str">
        <f>IFERROR(VLOOKUP($B127,[3]평가!$B:$Z,MATCH(LEFT(N$2,2),[3]평가!$7:$7,0)-1,FALSE),"")</f>
        <v/>
      </c>
      <c r="O127" s="36" t="str">
        <f>IFERROR(VLOOKUP($B127,[3]평가!$B:$Z,MATCH(LEFT(O$2,2),[3]평가!$7:$7,0)-1,FALSE),"")</f>
        <v/>
      </c>
      <c r="P127" s="39" t="str">
        <f>IFERROR(VLOOKUP($B127,[3]평가!$B:$Z,MATCH(LEFT(P$2,2),[3]평가!$7:$7,0)-1,FALSE),"")</f>
        <v/>
      </c>
      <c r="Q127" s="33" t="str">
        <f>IFERROR(VLOOKUP($B127,[4]평가!$B:$Z,MATCH(LEFT(Q$2,2),[4]평가!$7:$7,0)-1,FALSE),"")</f>
        <v/>
      </c>
      <c r="R127" s="36" t="str">
        <f>IFERROR(VLOOKUP($B127,[4]평가!$B:$Z,MATCH(LEFT(R$2,2),[4]평가!$7:$7,0)-1,FALSE),"")</f>
        <v/>
      </c>
      <c r="S127" s="39" t="str">
        <f>IFERROR(VLOOKUP($B127,[4]평가!$B:$Z,MATCH(LEFT(S$2,2),[4]평가!$7:$7,0)-1,FALSE),"")</f>
        <v/>
      </c>
      <c r="T127" s="33" t="str">
        <f>IFERROR(VLOOKUP($B127,[5]평가!$B:$Z,MATCH(LEFT(T$2,2),[5]평가!$7:$7,0)-1,FALSE),"")</f>
        <v/>
      </c>
      <c r="U127" s="36" t="str">
        <f>IFERROR(VLOOKUP($B127,[5]평가!$B:$Z,MATCH(LEFT(U$2,2),[5]평가!$7:$7,0)-1,FALSE),"")</f>
        <v/>
      </c>
      <c r="V127" s="39" t="str">
        <f>IFERROR(VLOOKUP($B127,[5]평가!$B:$Z,MATCH(LEFT(V$2,2),[5]평가!$7:$7,0)-1,FALSE),"")</f>
        <v/>
      </c>
      <c r="W127" s="33" t="str">
        <f>IFERROR(VLOOKUP($B127,대상!$B:$AD,MATCH(W$2,대상!$1:$1,0)-1,FALSE),"")</f>
        <v/>
      </c>
      <c r="X127" s="20" t="str">
        <f t="shared" si="0"/>
        <v/>
      </c>
      <c r="Y127" s="21" t="e">
        <f t="shared" si="1"/>
        <v>#VALUE!</v>
      </c>
      <c r="Z127" s="40">
        <f>IFERROR(VLOOKUP($B127,대상!$B:$AD,MATCH(Z$2,대상!$1:$1,0)-1,FALSE),0)</f>
        <v>0</v>
      </c>
      <c r="AA127" s="41" t="str">
        <f t="shared" si="2"/>
        <v/>
      </c>
      <c r="AB127" s="35" t="e">
        <f t="shared" si="3"/>
        <v>#VALUE!</v>
      </c>
      <c r="AC127" s="54" t="str">
        <f t="shared" si="4"/>
        <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
      </c>
    </row>
    <row r="128" spans="1:32" ht="30" hidden="1" customHeight="1" x14ac:dyDescent="0.35">
      <c r="A128" s="4">
        <v>126</v>
      </c>
      <c r="B128" s="2"/>
      <c r="C128" s="38" t="str">
        <f>IFERROR(VLOOKUP($B128,대상!$B:$AC,MATCH(C$2,대상!$1:$1,0)-1,FALSE),"")</f>
        <v/>
      </c>
      <c r="D128" s="38" t="str">
        <f>IFERROR(VLOOKUP($B128,대상!$B:$AC,MATCH(D$2,대상!$1:$1,0)-1,FALSE),"")</f>
        <v/>
      </c>
      <c r="E128" s="36" t="str">
        <f>IFERROR(VLOOKUP($B128,대상!$B:$AC,MATCH(E$2,대상!$1:$1,0)-1,FALSE),"")</f>
        <v/>
      </c>
      <c r="F128" s="38" t="str">
        <f>IFERROR(VLOOKUP($B128,대상!$B:$AC,MATCH(F$2,대상!$1:$1,0)-1,FALSE),"")</f>
        <v/>
      </c>
      <c r="G128" s="38" t="str">
        <f>IFERROR(VLOOKUP($B128,대상!$B:$AC,MATCH(G$2,대상!$1:$1,0)-1,FALSE),"")</f>
        <v/>
      </c>
      <c r="H128" s="33" t="str">
        <f>IFERROR(VLOOKUP($B128,[1]평가!$B:$Z,MATCH(LEFT(H$2,2),[1]평가!$7:$7,0)-1,FALSE),"")</f>
        <v/>
      </c>
      <c r="I128" s="36" t="str">
        <f>IFERROR(VLOOKUP($B128,[1]평가!$B:$Z,MATCH(LEFT(I$2,2),[1]평가!$7:$7,0)-1,FALSE),"")</f>
        <v/>
      </c>
      <c r="J128" s="36" t="str">
        <f>IFERROR(VLOOKUP($B128,[1]평가!$B:$Z,MATCH(LEFT(J$2,2),[1]평가!$7:$7,0)-1,FALSE),"")</f>
        <v/>
      </c>
      <c r="K128" s="33" t="str">
        <f>IFERROR(VLOOKUP($B128,[2]평가!$B:$Z,MATCH(LEFT(K$2,2),[2]평가!$7:$7,0)-1,FALSE),"")</f>
        <v/>
      </c>
      <c r="L128" s="36" t="str">
        <f>IFERROR(VLOOKUP($B128,[2]평가!$B:$Z,MATCH(LEFT(L$2,2),[2]평가!$7:$7,0)-1,FALSE),"")</f>
        <v/>
      </c>
      <c r="M128" s="39" t="str">
        <f>IFERROR(VLOOKUP($B128,[2]평가!$B:$Z,MATCH(LEFT(M$2,2),[2]평가!$7:$7,0)-1,FALSE),"")</f>
        <v/>
      </c>
      <c r="N128" s="33" t="str">
        <f>IFERROR(VLOOKUP($B128,[3]평가!$B:$Z,MATCH(LEFT(N$2,2),[3]평가!$7:$7,0)-1,FALSE),"")</f>
        <v/>
      </c>
      <c r="O128" s="36" t="str">
        <f>IFERROR(VLOOKUP($B128,[3]평가!$B:$Z,MATCH(LEFT(O$2,2),[3]평가!$7:$7,0)-1,FALSE),"")</f>
        <v/>
      </c>
      <c r="P128" s="39" t="str">
        <f>IFERROR(VLOOKUP($B128,[3]평가!$B:$Z,MATCH(LEFT(P$2,2),[3]평가!$7:$7,0)-1,FALSE),"")</f>
        <v/>
      </c>
      <c r="Q128" s="33" t="str">
        <f>IFERROR(VLOOKUP($B128,[4]평가!$B:$Z,MATCH(LEFT(Q$2,2),[4]평가!$7:$7,0)-1,FALSE),"")</f>
        <v/>
      </c>
      <c r="R128" s="36" t="str">
        <f>IFERROR(VLOOKUP($B128,[4]평가!$B:$Z,MATCH(LEFT(R$2,2),[4]평가!$7:$7,0)-1,FALSE),"")</f>
        <v/>
      </c>
      <c r="S128" s="39" t="str">
        <f>IFERROR(VLOOKUP($B128,[4]평가!$B:$Z,MATCH(LEFT(S$2,2),[4]평가!$7:$7,0)-1,FALSE),"")</f>
        <v/>
      </c>
      <c r="T128" s="33" t="str">
        <f>IFERROR(VLOOKUP($B128,[5]평가!$B:$Z,MATCH(LEFT(T$2,2),[5]평가!$7:$7,0)-1,FALSE),"")</f>
        <v/>
      </c>
      <c r="U128" s="36" t="str">
        <f>IFERROR(VLOOKUP($B128,[5]평가!$B:$Z,MATCH(LEFT(U$2,2),[5]평가!$7:$7,0)-1,FALSE),"")</f>
        <v/>
      </c>
      <c r="V128" s="39" t="str">
        <f>IFERROR(VLOOKUP($B128,[5]평가!$B:$Z,MATCH(LEFT(V$2,2),[5]평가!$7:$7,0)-1,FALSE),"")</f>
        <v/>
      </c>
      <c r="W128" s="33" t="str">
        <f>IFERROR(VLOOKUP($B128,대상!$B:$AD,MATCH(W$2,대상!$1:$1,0)-1,FALSE),"")</f>
        <v/>
      </c>
      <c r="X128" s="20" t="str">
        <f t="shared" si="0"/>
        <v/>
      </c>
      <c r="Y128" s="21" t="e">
        <f t="shared" si="1"/>
        <v>#VALUE!</v>
      </c>
      <c r="Z128" s="40">
        <f>IFERROR(VLOOKUP($B128,대상!$B:$AD,MATCH(Z$2,대상!$1:$1,0)-1,FALSE),0)</f>
        <v>0</v>
      </c>
      <c r="AA128" s="41" t="str">
        <f t="shared" si="2"/>
        <v/>
      </c>
      <c r="AB128" s="35" t="e">
        <f t="shared" si="3"/>
        <v>#VALUE!</v>
      </c>
      <c r="AC128" s="54" t="str">
        <f t="shared" si="4"/>
        <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
      </c>
    </row>
    <row r="129" spans="1:32" ht="30" hidden="1" customHeight="1" x14ac:dyDescent="0.35">
      <c r="A129" s="4">
        <v>127</v>
      </c>
      <c r="B129" s="2"/>
      <c r="C129" s="38" t="str">
        <f>IFERROR(VLOOKUP($B129,대상!$B:$AC,MATCH(C$2,대상!$1:$1,0)-1,FALSE),"")</f>
        <v/>
      </c>
      <c r="D129" s="38" t="str">
        <f>IFERROR(VLOOKUP($B129,대상!$B:$AC,MATCH(D$2,대상!$1:$1,0)-1,FALSE),"")</f>
        <v/>
      </c>
      <c r="E129" s="36" t="str">
        <f>IFERROR(VLOOKUP($B129,대상!$B:$AC,MATCH(E$2,대상!$1:$1,0)-1,FALSE),"")</f>
        <v/>
      </c>
      <c r="F129" s="38" t="str">
        <f>IFERROR(VLOOKUP($B129,대상!$B:$AC,MATCH(F$2,대상!$1:$1,0)-1,FALSE),"")</f>
        <v/>
      </c>
      <c r="G129" s="38" t="str">
        <f>IFERROR(VLOOKUP($B129,대상!$B:$AC,MATCH(G$2,대상!$1:$1,0)-1,FALSE),"")</f>
        <v/>
      </c>
      <c r="H129" s="33" t="str">
        <f>IFERROR(VLOOKUP($B129,[1]평가!$B:$Z,MATCH(LEFT(H$2,2),[1]평가!$7:$7,0)-1,FALSE),"")</f>
        <v/>
      </c>
      <c r="I129" s="36" t="str">
        <f>IFERROR(VLOOKUP($B129,[1]평가!$B:$Z,MATCH(LEFT(I$2,2),[1]평가!$7:$7,0)-1,FALSE),"")</f>
        <v/>
      </c>
      <c r="J129" s="36" t="str">
        <f>IFERROR(VLOOKUP($B129,[1]평가!$B:$Z,MATCH(LEFT(J$2,2),[1]평가!$7:$7,0)-1,FALSE),"")</f>
        <v/>
      </c>
      <c r="K129" s="33" t="str">
        <f>IFERROR(VLOOKUP($B129,[2]평가!$B:$Z,MATCH(LEFT(K$2,2),[2]평가!$7:$7,0)-1,FALSE),"")</f>
        <v/>
      </c>
      <c r="L129" s="36" t="str">
        <f>IFERROR(VLOOKUP($B129,[2]평가!$B:$Z,MATCH(LEFT(L$2,2),[2]평가!$7:$7,0)-1,FALSE),"")</f>
        <v/>
      </c>
      <c r="M129" s="39" t="str">
        <f>IFERROR(VLOOKUP($B129,[2]평가!$B:$Z,MATCH(LEFT(M$2,2),[2]평가!$7:$7,0)-1,FALSE),"")</f>
        <v/>
      </c>
      <c r="N129" s="33" t="str">
        <f>IFERROR(VLOOKUP($B129,[3]평가!$B:$Z,MATCH(LEFT(N$2,2),[3]평가!$7:$7,0)-1,FALSE),"")</f>
        <v/>
      </c>
      <c r="O129" s="36" t="str">
        <f>IFERROR(VLOOKUP($B129,[3]평가!$B:$Z,MATCH(LEFT(O$2,2),[3]평가!$7:$7,0)-1,FALSE),"")</f>
        <v/>
      </c>
      <c r="P129" s="39" t="str">
        <f>IFERROR(VLOOKUP($B129,[3]평가!$B:$Z,MATCH(LEFT(P$2,2),[3]평가!$7:$7,0)-1,FALSE),"")</f>
        <v/>
      </c>
      <c r="Q129" s="33" t="str">
        <f>IFERROR(VLOOKUP($B129,[4]평가!$B:$Z,MATCH(LEFT(Q$2,2),[4]평가!$7:$7,0)-1,FALSE),"")</f>
        <v/>
      </c>
      <c r="R129" s="36" t="str">
        <f>IFERROR(VLOOKUP($B129,[4]평가!$B:$Z,MATCH(LEFT(R$2,2),[4]평가!$7:$7,0)-1,FALSE),"")</f>
        <v/>
      </c>
      <c r="S129" s="39" t="str">
        <f>IFERROR(VLOOKUP($B129,[4]평가!$B:$Z,MATCH(LEFT(S$2,2),[4]평가!$7:$7,0)-1,FALSE),"")</f>
        <v/>
      </c>
      <c r="T129" s="33" t="str">
        <f>IFERROR(VLOOKUP($B129,[5]평가!$B:$Z,MATCH(LEFT(T$2,2),[5]평가!$7:$7,0)-1,FALSE),"")</f>
        <v/>
      </c>
      <c r="U129" s="36" t="str">
        <f>IFERROR(VLOOKUP($B129,[5]평가!$B:$Z,MATCH(LEFT(U$2,2),[5]평가!$7:$7,0)-1,FALSE),"")</f>
        <v/>
      </c>
      <c r="V129" s="39" t="str">
        <f>IFERROR(VLOOKUP($B129,[5]평가!$B:$Z,MATCH(LEFT(V$2,2),[5]평가!$7:$7,0)-1,FALSE),"")</f>
        <v/>
      </c>
      <c r="W129" s="33" t="str">
        <f>IFERROR(VLOOKUP($B129,대상!$B:$AD,MATCH(W$2,대상!$1:$1,0)-1,FALSE),"")</f>
        <v/>
      </c>
      <c r="X129" s="20" t="str">
        <f t="shared" si="0"/>
        <v/>
      </c>
      <c r="Y129" s="21" t="e">
        <f t="shared" si="1"/>
        <v>#VALUE!</v>
      </c>
      <c r="Z129" s="40">
        <f>IFERROR(VLOOKUP($B129,대상!$B:$AD,MATCH(Z$2,대상!$1:$1,0)-1,FALSE),0)</f>
        <v>0</v>
      </c>
      <c r="AA129" s="41" t="str">
        <f t="shared" si="2"/>
        <v/>
      </c>
      <c r="AB129" s="35" t="e">
        <f t="shared" si="3"/>
        <v>#VALUE!</v>
      </c>
      <c r="AC129" s="54" t="str">
        <f t="shared" si="4"/>
        <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
      </c>
    </row>
    <row r="130" spans="1:32" ht="30" hidden="1" customHeight="1" x14ac:dyDescent="0.35">
      <c r="A130" s="4">
        <v>128</v>
      </c>
      <c r="B130" s="2"/>
      <c r="C130" s="38" t="str">
        <f>IFERROR(VLOOKUP($B130,대상!$B:$AC,MATCH(C$2,대상!$1:$1,0)-1,FALSE),"")</f>
        <v/>
      </c>
      <c r="D130" s="38" t="str">
        <f>IFERROR(VLOOKUP($B130,대상!$B:$AC,MATCH(D$2,대상!$1:$1,0)-1,FALSE),"")</f>
        <v/>
      </c>
      <c r="E130" s="36" t="str">
        <f>IFERROR(VLOOKUP($B130,대상!$B:$AC,MATCH(E$2,대상!$1:$1,0)-1,FALSE),"")</f>
        <v/>
      </c>
      <c r="F130" s="38" t="str">
        <f>IFERROR(VLOOKUP($B130,대상!$B:$AC,MATCH(F$2,대상!$1:$1,0)-1,FALSE),"")</f>
        <v/>
      </c>
      <c r="G130" s="38" t="str">
        <f>IFERROR(VLOOKUP($B130,대상!$B:$AC,MATCH(G$2,대상!$1:$1,0)-1,FALSE),"")</f>
        <v/>
      </c>
      <c r="H130" s="33" t="str">
        <f>IFERROR(VLOOKUP($B130,[1]평가!$B:$Z,MATCH(LEFT(H$2,2),[1]평가!$7:$7,0)-1,FALSE),"")</f>
        <v/>
      </c>
      <c r="I130" s="36" t="str">
        <f>IFERROR(VLOOKUP($B130,[1]평가!$B:$Z,MATCH(LEFT(I$2,2),[1]평가!$7:$7,0)-1,FALSE),"")</f>
        <v/>
      </c>
      <c r="J130" s="36" t="str">
        <f>IFERROR(VLOOKUP($B130,[1]평가!$B:$Z,MATCH(LEFT(J$2,2),[1]평가!$7:$7,0)-1,FALSE),"")</f>
        <v/>
      </c>
      <c r="K130" s="33" t="str">
        <f>IFERROR(VLOOKUP($B130,[2]평가!$B:$Z,MATCH(LEFT(K$2,2),[2]평가!$7:$7,0)-1,FALSE),"")</f>
        <v/>
      </c>
      <c r="L130" s="36" t="str">
        <f>IFERROR(VLOOKUP($B130,[2]평가!$B:$Z,MATCH(LEFT(L$2,2),[2]평가!$7:$7,0)-1,FALSE),"")</f>
        <v/>
      </c>
      <c r="M130" s="39" t="str">
        <f>IFERROR(VLOOKUP($B130,[2]평가!$B:$Z,MATCH(LEFT(M$2,2),[2]평가!$7:$7,0)-1,FALSE),"")</f>
        <v/>
      </c>
      <c r="N130" s="33" t="str">
        <f>IFERROR(VLOOKUP($B130,[3]평가!$B:$Z,MATCH(LEFT(N$2,2),[3]평가!$7:$7,0)-1,FALSE),"")</f>
        <v/>
      </c>
      <c r="O130" s="36" t="str">
        <f>IFERROR(VLOOKUP($B130,[3]평가!$B:$Z,MATCH(LEFT(O$2,2),[3]평가!$7:$7,0)-1,FALSE),"")</f>
        <v/>
      </c>
      <c r="P130" s="39" t="str">
        <f>IFERROR(VLOOKUP($B130,[3]평가!$B:$Z,MATCH(LEFT(P$2,2),[3]평가!$7:$7,0)-1,FALSE),"")</f>
        <v/>
      </c>
      <c r="Q130" s="33" t="str">
        <f>IFERROR(VLOOKUP($B130,[4]평가!$B:$Z,MATCH(LEFT(Q$2,2),[4]평가!$7:$7,0)-1,FALSE),"")</f>
        <v/>
      </c>
      <c r="R130" s="36" t="str">
        <f>IFERROR(VLOOKUP($B130,[4]평가!$B:$Z,MATCH(LEFT(R$2,2),[4]평가!$7:$7,0)-1,FALSE),"")</f>
        <v/>
      </c>
      <c r="S130" s="39" t="str">
        <f>IFERROR(VLOOKUP($B130,[4]평가!$B:$Z,MATCH(LEFT(S$2,2),[4]평가!$7:$7,0)-1,FALSE),"")</f>
        <v/>
      </c>
      <c r="T130" s="33" t="str">
        <f>IFERROR(VLOOKUP($B130,[5]평가!$B:$Z,MATCH(LEFT(T$2,2),[5]평가!$7:$7,0)-1,FALSE),"")</f>
        <v/>
      </c>
      <c r="U130" s="36" t="str">
        <f>IFERROR(VLOOKUP($B130,[5]평가!$B:$Z,MATCH(LEFT(U$2,2),[5]평가!$7:$7,0)-1,FALSE),"")</f>
        <v/>
      </c>
      <c r="V130" s="39" t="str">
        <f>IFERROR(VLOOKUP($B130,[5]평가!$B:$Z,MATCH(LEFT(V$2,2),[5]평가!$7:$7,0)-1,FALSE),"")</f>
        <v/>
      </c>
      <c r="W130" s="33" t="str">
        <f>IFERROR(VLOOKUP($B130,대상!$B:$AD,MATCH(W$2,대상!$1:$1,0)-1,FALSE),"")</f>
        <v/>
      </c>
      <c r="X130" s="20" t="str">
        <f t="shared" si="0"/>
        <v/>
      </c>
      <c r="Y130" s="21" t="e">
        <f t="shared" si="1"/>
        <v>#VALUE!</v>
      </c>
      <c r="Z130" s="40">
        <f>IFERROR(VLOOKUP($B130,대상!$B:$AD,MATCH(Z$2,대상!$1:$1,0)-1,FALSE),0)</f>
        <v>0</v>
      </c>
      <c r="AA130" s="41" t="str">
        <f t="shared" si="2"/>
        <v/>
      </c>
      <c r="AB130" s="35" t="e">
        <f t="shared" si="3"/>
        <v>#VALUE!</v>
      </c>
      <c r="AC130" s="54" t="str">
        <f t="shared" si="4"/>
        <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
      </c>
    </row>
    <row r="131" spans="1:32" ht="30" hidden="1" customHeight="1" x14ac:dyDescent="0.35">
      <c r="A131" s="4">
        <v>129</v>
      </c>
      <c r="B131" s="2"/>
      <c r="C131" s="38" t="str">
        <f>IFERROR(VLOOKUP($B131,대상!$B:$AC,MATCH(C$2,대상!$1:$1,0)-1,FALSE),"")</f>
        <v/>
      </c>
      <c r="D131" s="38" t="str">
        <f>IFERROR(VLOOKUP($B131,대상!$B:$AC,MATCH(D$2,대상!$1:$1,0)-1,FALSE),"")</f>
        <v/>
      </c>
      <c r="E131" s="36" t="str">
        <f>IFERROR(VLOOKUP($B131,대상!$B:$AC,MATCH(E$2,대상!$1:$1,0)-1,FALSE),"")</f>
        <v/>
      </c>
      <c r="F131" s="38" t="str">
        <f>IFERROR(VLOOKUP($B131,대상!$B:$AC,MATCH(F$2,대상!$1:$1,0)-1,FALSE),"")</f>
        <v/>
      </c>
      <c r="G131" s="38" t="str">
        <f>IFERROR(VLOOKUP($B131,대상!$B:$AC,MATCH(G$2,대상!$1:$1,0)-1,FALSE),"")</f>
        <v/>
      </c>
      <c r="H131" s="33" t="str">
        <f>IFERROR(VLOOKUP($B131,[1]평가!$B:$Z,MATCH(LEFT(H$2,2),[1]평가!$7:$7,0)-1,FALSE),"")</f>
        <v/>
      </c>
      <c r="I131" s="36" t="str">
        <f>IFERROR(VLOOKUP($B131,[1]평가!$B:$Z,MATCH(LEFT(I$2,2),[1]평가!$7:$7,0)-1,FALSE),"")</f>
        <v/>
      </c>
      <c r="J131" s="36" t="str">
        <f>IFERROR(VLOOKUP($B131,[1]평가!$B:$Z,MATCH(LEFT(J$2,2),[1]평가!$7:$7,0)-1,FALSE),"")</f>
        <v/>
      </c>
      <c r="K131" s="33" t="str">
        <f>IFERROR(VLOOKUP($B131,[2]평가!$B:$Z,MATCH(LEFT(K$2,2),[2]평가!$7:$7,0)-1,FALSE),"")</f>
        <v/>
      </c>
      <c r="L131" s="36" t="str">
        <f>IFERROR(VLOOKUP($B131,[2]평가!$B:$Z,MATCH(LEFT(L$2,2),[2]평가!$7:$7,0)-1,FALSE),"")</f>
        <v/>
      </c>
      <c r="M131" s="39" t="str">
        <f>IFERROR(VLOOKUP($B131,[2]평가!$B:$Z,MATCH(LEFT(M$2,2),[2]평가!$7:$7,0)-1,FALSE),"")</f>
        <v/>
      </c>
      <c r="N131" s="33" t="str">
        <f>IFERROR(VLOOKUP($B131,[3]평가!$B:$Z,MATCH(LEFT(N$2,2),[3]평가!$7:$7,0)-1,FALSE),"")</f>
        <v/>
      </c>
      <c r="O131" s="36" t="str">
        <f>IFERROR(VLOOKUP($B131,[3]평가!$B:$Z,MATCH(LEFT(O$2,2),[3]평가!$7:$7,0)-1,FALSE),"")</f>
        <v/>
      </c>
      <c r="P131" s="39" t="str">
        <f>IFERROR(VLOOKUP($B131,[3]평가!$B:$Z,MATCH(LEFT(P$2,2),[3]평가!$7:$7,0)-1,FALSE),"")</f>
        <v/>
      </c>
      <c r="Q131" s="33" t="str">
        <f>IFERROR(VLOOKUP($B131,[4]평가!$B:$Z,MATCH(LEFT(Q$2,2),[4]평가!$7:$7,0)-1,FALSE),"")</f>
        <v/>
      </c>
      <c r="R131" s="36" t="str">
        <f>IFERROR(VLOOKUP($B131,[4]평가!$B:$Z,MATCH(LEFT(R$2,2),[4]평가!$7:$7,0)-1,FALSE),"")</f>
        <v/>
      </c>
      <c r="S131" s="39" t="str">
        <f>IFERROR(VLOOKUP($B131,[4]평가!$B:$Z,MATCH(LEFT(S$2,2),[4]평가!$7:$7,0)-1,FALSE),"")</f>
        <v/>
      </c>
      <c r="T131" s="33" t="str">
        <f>IFERROR(VLOOKUP($B131,[5]평가!$B:$Z,MATCH(LEFT(T$2,2),[5]평가!$7:$7,0)-1,FALSE),"")</f>
        <v/>
      </c>
      <c r="U131" s="36" t="str">
        <f>IFERROR(VLOOKUP($B131,[5]평가!$B:$Z,MATCH(LEFT(U$2,2),[5]평가!$7:$7,0)-1,FALSE),"")</f>
        <v/>
      </c>
      <c r="V131" s="39" t="str">
        <f>IFERROR(VLOOKUP($B131,[5]평가!$B:$Z,MATCH(LEFT(V$2,2),[5]평가!$7:$7,0)-1,FALSE),"")</f>
        <v/>
      </c>
      <c r="W131" s="33" t="str">
        <f>IFERROR(VLOOKUP($B131,대상!$B:$AD,MATCH(W$2,대상!$1:$1,0)-1,FALSE),"")</f>
        <v/>
      </c>
      <c r="X131" s="20" t="str">
        <f t="shared" ref="X131:X194" si="5">IF(ISBLANK(B131),"",T$1-COUNTIF(H131:V131,"회피"))</f>
        <v/>
      </c>
      <c r="Y131" s="21" t="e">
        <f t="shared" ref="Y131:Y194" si="6">IF($T$1=X131,(SUM(I131,L131,O131,R131,U131)-MIN(I131,L131,O131,R131,U131)-MAX(I131,L131,O131,R131,U131))/($T$1-2),SUM(I131,L131,O131,R131,U131/X131))</f>
        <v>#VALUE!</v>
      </c>
      <c r="Z131" s="40">
        <f>IFERROR(VLOOKUP($B131,대상!$B:$AD,MATCH(Z$2,대상!$1:$1,0)-1,FALSE),0)</f>
        <v>0</v>
      </c>
      <c r="AA131" s="41" t="str">
        <f t="shared" ref="AA131:AA194" si="7">IFERROR(IF(W131="면제","100"+Z131,Y131+Z131),"")</f>
        <v/>
      </c>
      <c r="AB131" s="35" t="e">
        <f t="shared" ref="AB131:AB194" si="8">IF(OR(W131="면제",N(Y131)=0),"",IF(AA131&lt;60,"과락",""))</f>
        <v>#VALUE!</v>
      </c>
      <c r="AC131" s="54" t="str">
        <f t="shared" ref="AC131:AC194" si="9">IF(N(AA131)=0,"",RANK(AA131,AA$3:AA$202))</f>
        <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
      </c>
    </row>
    <row r="132" spans="1:32" ht="30" hidden="1" customHeight="1" x14ac:dyDescent="0.35">
      <c r="A132" s="4">
        <v>130</v>
      </c>
      <c r="B132" s="2"/>
      <c r="C132" s="38" t="str">
        <f>IFERROR(VLOOKUP($B132,대상!$B:$AC,MATCH(C$2,대상!$1:$1,0)-1,FALSE),"")</f>
        <v/>
      </c>
      <c r="D132" s="38" t="str">
        <f>IFERROR(VLOOKUP($B132,대상!$B:$AC,MATCH(D$2,대상!$1:$1,0)-1,FALSE),"")</f>
        <v/>
      </c>
      <c r="E132" s="36" t="str">
        <f>IFERROR(VLOOKUP($B132,대상!$B:$AC,MATCH(E$2,대상!$1:$1,0)-1,FALSE),"")</f>
        <v/>
      </c>
      <c r="F132" s="38" t="str">
        <f>IFERROR(VLOOKUP($B132,대상!$B:$AC,MATCH(F$2,대상!$1:$1,0)-1,FALSE),"")</f>
        <v/>
      </c>
      <c r="G132" s="38" t="str">
        <f>IFERROR(VLOOKUP($B132,대상!$B:$AC,MATCH(G$2,대상!$1:$1,0)-1,FALSE),"")</f>
        <v/>
      </c>
      <c r="H132" s="33" t="str">
        <f>IFERROR(VLOOKUP($B132,[1]평가!$B:$Z,MATCH(LEFT(H$2,2),[1]평가!$7:$7,0)-1,FALSE),"")</f>
        <v/>
      </c>
      <c r="I132" s="36" t="str">
        <f>IFERROR(VLOOKUP($B132,[1]평가!$B:$Z,MATCH(LEFT(I$2,2),[1]평가!$7:$7,0)-1,FALSE),"")</f>
        <v/>
      </c>
      <c r="J132" s="36" t="str">
        <f>IFERROR(VLOOKUP($B132,[1]평가!$B:$Z,MATCH(LEFT(J$2,2),[1]평가!$7:$7,0)-1,FALSE),"")</f>
        <v/>
      </c>
      <c r="K132" s="33" t="str">
        <f>IFERROR(VLOOKUP($B132,[2]평가!$B:$Z,MATCH(LEFT(K$2,2),[2]평가!$7:$7,0)-1,FALSE),"")</f>
        <v/>
      </c>
      <c r="L132" s="36" t="str">
        <f>IFERROR(VLOOKUP($B132,[2]평가!$B:$Z,MATCH(LEFT(L$2,2),[2]평가!$7:$7,0)-1,FALSE),"")</f>
        <v/>
      </c>
      <c r="M132" s="39" t="str">
        <f>IFERROR(VLOOKUP($B132,[2]평가!$B:$Z,MATCH(LEFT(M$2,2),[2]평가!$7:$7,0)-1,FALSE),"")</f>
        <v/>
      </c>
      <c r="N132" s="33" t="str">
        <f>IFERROR(VLOOKUP($B132,[3]평가!$B:$Z,MATCH(LEFT(N$2,2),[3]평가!$7:$7,0)-1,FALSE),"")</f>
        <v/>
      </c>
      <c r="O132" s="36" t="str">
        <f>IFERROR(VLOOKUP($B132,[3]평가!$B:$Z,MATCH(LEFT(O$2,2),[3]평가!$7:$7,0)-1,FALSE),"")</f>
        <v/>
      </c>
      <c r="P132" s="39" t="str">
        <f>IFERROR(VLOOKUP($B132,[3]평가!$B:$Z,MATCH(LEFT(P$2,2),[3]평가!$7:$7,0)-1,FALSE),"")</f>
        <v/>
      </c>
      <c r="Q132" s="33" t="str">
        <f>IFERROR(VLOOKUP($B132,[4]평가!$B:$Z,MATCH(LEFT(Q$2,2),[4]평가!$7:$7,0)-1,FALSE),"")</f>
        <v/>
      </c>
      <c r="R132" s="36" t="str">
        <f>IFERROR(VLOOKUP($B132,[4]평가!$B:$Z,MATCH(LEFT(R$2,2),[4]평가!$7:$7,0)-1,FALSE),"")</f>
        <v/>
      </c>
      <c r="S132" s="39" t="str">
        <f>IFERROR(VLOOKUP($B132,[4]평가!$B:$Z,MATCH(LEFT(S$2,2),[4]평가!$7:$7,0)-1,FALSE),"")</f>
        <v/>
      </c>
      <c r="T132" s="33" t="str">
        <f>IFERROR(VLOOKUP($B132,[5]평가!$B:$Z,MATCH(LEFT(T$2,2),[5]평가!$7:$7,0)-1,FALSE),"")</f>
        <v/>
      </c>
      <c r="U132" s="36" t="str">
        <f>IFERROR(VLOOKUP($B132,[5]평가!$B:$Z,MATCH(LEFT(U$2,2),[5]평가!$7:$7,0)-1,FALSE),"")</f>
        <v/>
      </c>
      <c r="V132" s="39" t="str">
        <f>IFERROR(VLOOKUP($B132,[5]평가!$B:$Z,MATCH(LEFT(V$2,2),[5]평가!$7:$7,0)-1,FALSE),"")</f>
        <v/>
      </c>
      <c r="W132" s="33" t="str">
        <f>IFERROR(VLOOKUP($B132,대상!$B:$AD,MATCH(W$2,대상!$1:$1,0)-1,FALSE),"")</f>
        <v/>
      </c>
      <c r="X132" s="20" t="str">
        <f t="shared" si="5"/>
        <v/>
      </c>
      <c r="Y132" s="21" t="e">
        <f t="shared" si="6"/>
        <v>#VALUE!</v>
      </c>
      <c r="Z132" s="40">
        <f>IFERROR(VLOOKUP($B132,대상!$B:$AD,MATCH(Z$2,대상!$1:$1,0)-1,FALSE),0)</f>
        <v>0</v>
      </c>
      <c r="AA132" s="41" t="str">
        <f t="shared" si="7"/>
        <v/>
      </c>
      <c r="AB132" s="35" t="e">
        <f t="shared" si="8"/>
        <v>#VALUE!</v>
      </c>
      <c r="AC132" s="54" t="str">
        <f t="shared" si="9"/>
        <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
      </c>
    </row>
    <row r="133" spans="1:32" ht="30" hidden="1" customHeight="1" x14ac:dyDescent="0.35">
      <c r="A133" s="4">
        <v>131</v>
      </c>
      <c r="B133" s="2"/>
      <c r="C133" s="38" t="str">
        <f>IFERROR(VLOOKUP($B133,대상!$B:$AC,MATCH(C$2,대상!$1:$1,0)-1,FALSE),"")</f>
        <v/>
      </c>
      <c r="D133" s="38" t="str">
        <f>IFERROR(VLOOKUP($B133,대상!$B:$AC,MATCH(D$2,대상!$1:$1,0)-1,FALSE),"")</f>
        <v/>
      </c>
      <c r="E133" s="36" t="str">
        <f>IFERROR(VLOOKUP($B133,대상!$B:$AC,MATCH(E$2,대상!$1:$1,0)-1,FALSE),"")</f>
        <v/>
      </c>
      <c r="F133" s="38" t="str">
        <f>IFERROR(VLOOKUP($B133,대상!$B:$AC,MATCH(F$2,대상!$1:$1,0)-1,FALSE),"")</f>
        <v/>
      </c>
      <c r="G133" s="38" t="str">
        <f>IFERROR(VLOOKUP($B133,대상!$B:$AC,MATCH(G$2,대상!$1:$1,0)-1,FALSE),"")</f>
        <v/>
      </c>
      <c r="H133" s="33" t="str">
        <f>IFERROR(VLOOKUP($B133,[1]평가!$B:$Z,MATCH(LEFT(H$2,2),[1]평가!$7:$7,0)-1,FALSE),"")</f>
        <v/>
      </c>
      <c r="I133" s="36" t="str">
        <f>IFERROR(VLOOKUP($B133,[1]평가!$B:$Z,MATCH(LEFT(I$2,2),[1]평가!$7:$7,0)-1,FALSE),"")</f>
        <v/>
      </c>
      <c r="J133" s="36" t="str">
        <f>IFERROR(VLOOKUP($B133,[1]평가!$B:$Z,MATCH(LEFT(J$2,2),[1]평가!$7:$7,0)-1,FALSE),"")</f>
        <v/>
      </c>
      <c r="K133" s="33" t="str">
        <f>IFERROR(VLOOKUP($B133,[2]평가!$B:$Z,MATCH(LEFT(K$2,2),[2]평가!$7:$7,0)-1,FALSE),"")</f>
        <v/>
      </c>
      <c r="L133" s="36" t="str">
        <f>IFERROR(VLOOKUP($B133,[2]평가!$B:$Z,MATCH(LEFT(L$2,2),[2]평가!$7:$7,0)-1,FALSE),"")</f>
        <v/>
      </c>
      <c r="M133" s="39" t="str">
        <f>IFERROR(VLOOKUP($B133,[2]평가!$B:$Z,MATCH(LEFT(M$2,2),[2]평가!$7:$7,0)-1,FALSE),"")</f>
        <v/>
      </c>
      <c r="N133" s="33" t="str">
        <f>IFERROR(VLOOKUP($B133,[3]평가!$B:$Z,MATCH(LEFT(N$2,2),[3]평가!$7:$7,0)-1,FALSE),"")</f>
        <v/>
      </c>
      <c r="O133" s="36" t="str">
        <f>IFERROR(VLOOKUP($B133,[3]평가!$B:$Z,MATCH(LEFT(O$2,2),[3]평가!$7:$7,0)-1,FALSE),"")</f>
        <v/>
      </c>
      <c r="P133" s="39" t="str">
        <f>IFERROR(VLOOKUP($B133,[3]평가!$B:$Z,MATCH(LEFT(P$2,2),[3]평가!$7:$7,0)-1,FALSE),"")</f>
        <v/>
      </c>
      <c r="Q133" s="33" t="str">
        <f>IFERROR(VLOOKUP($B133,[4]평가!$B:$Z,MATCH(LEFT(Q$2,2),[4]평가!$7:$7,0)-1,FALSE),"")</f>
        <v/>
      </c>
      <c r="R133" s="36" t="str">
        <f>IFERROR(VLOOKUP($B133,[4]평가!$B:$Z,MATCH(LEFT(R$2,2),[4]평가!$7:$7,0)-1,FALSE),"")</f>
        <v/>
      </c>
      <c r="S133" s="39" t="str">
        <f>IFERROR(VLOOKUP($B133,[4]평가!$B:$Z,MATCH(LEFT(S$2,2),[4]평가!$7:$7,0)-1,FALSE),"")</f>
        <v/>
      </c>
      <c r="T133" s="33" t="str">
        <f>IFERROR(VLOOKUP($B133,[5]평가!$B:$Z,MATCH(LEFT(T$2,2),[5]평가!$7:$7,0)-1,FALSE),"")</f>
        <v/>
      </c>
      <c r="U133" s="36" t="str">
        <f>IFERROR(VLOOKUP($B133,[5]평가!$B:$Z,MATCH(LEFT(U$2,2),[5]평가!$7:$7,0)-1,FALSE),"")</f>
        <v/>
      </c>
      <c r="V133" s="39" t="str">
        <f>IFERROR(VLOOKUP($B133,[5]평가!$B:$Z,MATCH(LEFT(V$2,2),[5]평가!$7:$7,0)-1,FALSE),"")</f>
        <v/>
      </c>
      <c r="W133" s="33" t="str">
        <f>IFERROR(VLOOKUP($B133,대상!$B:$AD,MATCH(W$2,대상!$1:$1,0)-1,FALSE),"")</f>
        <v/>
      </c>
      <c r="X133" s="20" t="str">
        <f t="shared" si="5"/>
        <v/>
      </c>
      <c r="Y133" s="21" t="e">
        <f t="shared" si="6"/>
        <v>#VALUE!</v>
      </c>
      <c r="Z133" s="40">
        <f>IFERROR(VLOOKUP($B133,대상!$B:$AD,MATCH(Z$2,대상!$1:$1,0)-1,FALSE),0)</f>
        <v>0</v>
      </c>
      <c r="AA133" s="41" t="str">
        <f t="shared" si="7"/>
        <v/>
      </c>
      <c r="AB133" s="35" t="e">
        <f t="shared" si="8"/>
        <v>#VALUE!</v>
      </c>
      <c r="AC133" s="54" t="str">
        <f t="shared" si="9"/>
        <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
      </c>
    </row>
    <row r="134" spans="1:32" ht="30" hidden="1" customHeight="1" x14ac:dyDescent="0.35">
      <c r="A134" s="4">
        <v>132</v>
      </c>
      <c r="B134" s="2"/>
      <c r="C134" s="38" t="str">
        <f>IFERROR(VLOOKUP($B134,대상!$B:$AC,MATCH(C$2,대상!$1:$1,0)-1,FALSE),"")</f>
        <v/>
      </c>
      <c r="D134" s="38" t="str">
        <f>IFERROR(VLOOKUP($B134,대상!$B:$AC,MATCH(D$2,대상!$1:$1,0)-1,FALSE),"")</f>
        <v/>
      </c>
      <c r="E134" s="36" t="str">
        <f>IFERROR(VLOOKUP($B134,대상!$B:$AC,MATCH(E$2,대상!$1:$1,0)-1,FALSE),"")</f>
        <v/>
      </c>
      <c r="F134" s="38" t="str">
        <f>IFERROR(VLOOKUP($B134,대상!$B:$AC,MATCH(F$2,대상!$1:$1,0)-1,FALSE),"")</f>
        <v/>
      </c>
      <c r="G134" s="38" t="str">
        <f>IFERROR(VLOOKUP($B134,대상!$B:$AC,MATCH(G$2,대상!$1:$1,0)-1,FALSE),"")</f>
        <v/>
      </c>
      <c r="H134" s="33" t="str">
        <f>IFERROR(VLOOKUP($B134,[1]평가!$B:$Z,MATCH(LEFT(H$2,2),[1]평가!$7:$7,0)-1,FALSE),"")</f>
        <v/>
      </c>
      <c r="I134" s="36" t="str">
        <f>IFERROR(VLOOKUP($B134,[1]평가!$B:$Z,MATCH(LEFT(I$2,2),[1]평가!$7:$7,0)-1,FALSE),"")</f>
        <v/>
      </c>
      <c r="J134" s="36" t="str">
        <f>IFERROR(VLOOKUP($B134,[1]평가!$B:$Z,MATCH(LEFT(J$2,2),[1]평가!$7:$7,0)-1,FALSE),"")</f>
        <v/>
      </c>
      <c r="K134" s="33" t="str">
        <f>IFERROR(VLOOKUP($B134,[2]평가!$B:$Z,MATCH(LEFT(K$2,2),[2]평가!$7:$7,0)-1,FALSE),"")</f>
        <v/>
      </c>
      <c r="L134" s="36" t="str">
        <f>IFERROR(VLOOKUP($B134,[2]평가!$B:$Z,MATCH(LEFT(L$2,2),[2]평가!$7:$7,0)-1,FALSE),"")</f>
        <v/>
      </c>
      <c r="M134" s="39" t="str">
        <f>IFERROR(VLOOKUP($B134,[2]평가!$B:$Z,MATCH(LEFT(M$2,2),[2]평가!$7:$7,0)-1,FALSE),"")</f>
        <v/>
      </c>
      <c r="N134" s="33" t="str">
        <f>IFERROR(VLOOKUP($B134,[3]평가!$B:$Z,MATCH(LEFT(N$2,2),[3]평가!$7:$7,0)-1,FALSE),"")</f>
        <v/>
      </c>
      <c r="O134" s="36" t="str">
        <f>IFERROR(VLOOKUP($B134,[3]평가!$B:$Z,MATCH(LEFT(O$2,2),[3]평가!$7:$7,0)-1,FALSE),"")</f>
        <v/>
      </c>
      <c r="P134" s="39" t="str">
        <f>IFERROR(VLOOKUP($B134,[3]평가!$B:$Z,MATCH(LEFT(P$2,2),[3]평가!$7:$7,0)-1,FALSE),"")</f>
        <v/>
      </c>
      <c r="Q134" s="33" t="str">
        <f>IFERROR(VLOOKUP($B134,[4]평가!$B:$Z,MATCH(LEFT(Q$2,2),[4]평가!$7:$7,0)-1,FALSE),"")</f>
        <v/>
      </c>
      <c r="R134" s="36" t="str">
        <f>IFERROR(VLOOKUP($B134,[4]평가!$B:$Z,MATCH(LEFT(R$2,2),[4]평가!$7:$7,0)-1,FALSE),"")</f>
        <v/>
      </c>
      <c r="S134" s="39" t="str">
        <f>IFERROR(VLOOKUP($B134,[4]평가!$B:$Z,MATCH(LEFT(S$2,2),[4]평가!$7:$7,0)-1,FALSE),"")</f>
        <v/>
      </c>
      <c r="T134" s="33" t="str">
        <f>IFERROR(VLOOKUP($B134,[5]평가!$B:$Z,MATCH(LEFT(T$2,2),[5]평가!$7:$7,0)-1,FALSE),"")</f>
        <v/>
      </c>
      <c r="U134" s="36" t="str">
        <f>IFERROR(VLOOKUP($B134,[5]평가!$B:$Z,MATCH(LEFT(U$2,2),[5]평가!$7:$7,0)-1,FALSE),"")</f>
        <v/>
      </c>
      <c r="V134" s="39" t="str">
        <f>IFERROR(VLOOKUP($B134,[5]평가!$B:$Z,MATCH(LEFT(V$2,2),[5]평가!$7:$7,0)-1,FALSE),"")</f>
        <v/>
      </c>
      <c r="W134" s="33" t="str">
        <f>IFERROR(VLOOKUP($B134,대상!$B:$AD,MATCH(W$2,대상!$1:$1,0)-1,FALSE),"")</f>
        <v/>
      </c>
      <c r="X134" s="20" t="str">
        <f t="shared" si="5"/>
        <v/>
      </c>
      <c r="Y134" s="21" t="e">
        <f t="shared" si="6"/>
        <v>#VALUE!</v>
      </c>
      <c r="Z134" s="40">
        <f>IFERROR(VLOOKUP($B134,대상!$B:$AD,MATCH(Z$2,대상!$1:$1,0)-1,FALSE),0)</f>
        <v>0</v>
      </c>
      <c r="AA134" s="41" t="str">
        <f t="shared" si="7"/>
        <v/>
      </c>
      <c r="AB134" s="35" t="e">
        <f t="shared" si="8"/>
        <v>#VALUE!</v>
      </c>
      <c r="AC134" s="54" t="str">
        <f t="shared" si="9"/>
        <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
      </c>
    </row>
    <row r="135" spans="1:32" ht="30" hidden="1" customHeight="1" x14ac:dyDescent="0.35">
      <c r="A135" s="4">
        <v>133</v>
      </c>
      <c r="B135" s="2"/>
      <c r="C135" s="38" t="str">
        <f>IFERROR(VLOOKUP($B135,대상!$B:$AC,MATCH(C$2,대상!$1:$1,0)-1,FALSE),"")</f>
        <v/>
      </c>
      <c r="D135" s="38" t="str">
        <f>IFERROR(VLOOKUP($B135,대상!$B:$AC,MATCH(D$2,대상!$1:$1,0)-1,FALSE),"")</f>
        <v/>
      </c>
      <c r="E135" s="36" t="str">
        <f>IFERROR(VLOOKUP($B135,대상!$B:$AC,MATCH(E$2,대상!$1:$1,0)-1,FALSE),"")</f>
        <v/>
      </c>
      <c r="F135" s="38" t="str">
        <f>IFERROR(VLOOKUP($B135,대상!$B:$AC,MATCH(F$2,대상!$1:$1,0)-1,FALSE),"")</f>
        <v/>
      </c>
      <c r="G135" s="38" t="str">
        <f>IFERROR(VLOOKUP($B135,대상!$B:$AC,MATCH(G$2,대상!$1:$1,0)-1,FALSE),"")</f>
        <v/>
      </c>
      <c r="H135" s="33" t="str">
        <f>IFERROR(VLOOKUP($B135,[1]평가!$B:$Z,MATCH(LEFT(H$2,2),[1]평가!$7:$7,0)-1,FALSE),"")</f>
        <v/>
      </c>
      <c r="I135" s="36" t="str">
        <f>IFERROR(VLOOKUP($B135,[1]평가!$B:$Z,MATCH(LEFT(I$2,2),[1]평가!$7:$7,0)-1,FALSE),"")</f>
        <v/>
      </c>
      <c r="J135" s="36" t="str">
        <f>IFERROR(VLOOKUP($B135,[1]평가!$B:$Z,MATCH(LEFT(J$2,2),[1]평가!$7:$7,0)-1,FALSE),"")</f>
        <v/>
      </c>
      <c r="K135" s="33" t="str">
        <f>IFERROR(VLOOKUP($B135,[2]평가!$B:$Z,MATCH(LEFT(K$2,2),[2]평가!$7:$7,0)-1,FALSE),"")</f>
        <v/>
      </c>
      <c r="L135" s="36" t="str">
        <f>IFERROR(VLOOKUP($B135,[2]평가!$B:$Z,MATCH(LEFT(L$2,2),[2]평가!$7:$7,0)-1,FALSE),"")</f>
        <v/>
      </c>
      <c r="M135" s="39" t="str">
        <f>IFERROR(VLOOKUP($B135,[2]평가!$B:$Z,MATCH(LEFT(M$2,2),[2]평가!$7:$7,0)-1,FALSE),"")</f>
        <v/>
      </c>
      <c r="N135" s="33" t="str">
        <f>IFERROR(VLOOKUP($B135,[3]평가!$B:$Z,MATCH(LEFT(N$2,2),[3]평가!$7:$7,0)-1,FALSE),"")</f>
        <v/>
      </c>
      <c r="O135" s="36" t="str">
        <f>IFERROR(VLOOKUP($B135,[3]평가!$B:$Z,MATCH(LEFT(O$2,2),[3]평가!$7:$7,0)-1,FALSE),"")</f>
        <v/>
      </c>
      <c r="P135" s="39" t="str">
        <f>IFERROR(VLOOKUP($B135,[3]평가!$B:$Z,MATCH(LEFT(P$2,2),[3]평가!$7:$7,0)-1,FALSE),"")</f>
        <v/>
      </c>
      <c r="Q135" s="33" t="str">
        <f>IFERROR(VLOOKUP($B135,[4]평가!$B:$Z,MATCH(LEFT(Q$2,2),[4]평가!$7:$7,0)-1,FALSE),"")</f>
        <v/>
      </c>
      <c r="R135" s="36" t="str">
        <f>IFERROR(VLOOKUP($B135,[4]평가!$B:$Z,MATCH(LEFT(R$2,2),[4]평가!$7:$7,0)-1,FALSE),"")</f>
        <v/>
      </c>
      <c r="S135" s="39" t="str">
        <f>IFERROR(VLOOKUP($B135,[4]평가!$B:$Z,MATCH(LEFT(S$2,2),[4]평가!$7:$7,0)-1,FALSE),"")</f>
        <v/>
      </c>
      <c r="T135" s="33" t="str">
        <f>IFERROR(VLOOKUP($B135,[5]평가!$B:$Z,MATCH(LEFT(T$2,2),[5]평가!$7:$7,0)-1,FALSE),"")</f>
        <v/>
      </c>
      <c r="U135" s="36" t="str">
        <f>IFERROR(VLOOKUP($B135,[5]평가!$B:$Z,MATCH(LEFT(U$2,2),[5]평가!$7:$7,0)-1,FALSE),"")</f>
        <v/>
      </c>
      <c r="V135" s="39" t="str">
        <f>IFERROR(VLOOKUP($B135,[5]평가!$B:$Z,MATCH(LEFT(V$2,2),[5]평가!$7:$7,0)-1,FALSE),"")</f>
        <v/>
      </c>
      <c r="W135" s="33" t="str">
        <f>IFERROR(VLOOKUP($B135,대상!$B:$AD,MATCH(W$2,대상!$1:$1,0)-1,FALSE),"")</f>
        <v/>
      </c>
      <c r="X135" s="20" t="str">
        <f t="shared" si="5"/>
        <v/>
      </c>
      <c r="Y135" s="21" t="e">
        <f t="shared" si="6"/>
        <v>#VALUE!</v>
      </c>
      <c r="Z135" s="40">
        <f>IFERROR(VLOOKUP($B135,대상!$B:$AD,MATCH(Z$2,대상!$1:$1,0)-1,FALSE),0)</f>
        <v>0</v>
      </c>
      <c r="AA135" s="41" t="str">
        <f t="shared" si="7"/>
        <v/>
      </c>
      <c r="AB135" s="35" t="e">
        <f t="shared" si="8"/>
        <v>#VALUE!</v>
      </c>
      <c r="AC135" s="54" t="str">
        <f t="shared" si="9"/>
        <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
      </c>
    </row>
    <row r="136" spans="1:32" ht="30" hidden="1" customHeight="1" x14ac:dyDescent="0.35">
      <c r="A136" s="4">
        <v>134</v>
      </c>
      <c r="B136" s="2"/>
      <c r="C136" s="38" t="str">
        <f>IFERROR(VLOOKUP($B136,대상!$B:$AC,MATCH(C$2,대상!$1:$1,0)-1,FALSE),"")</f>
        <v/>
      </c>
      <c r="D136" s="38" t="str">
        <f>IFERROR(VLOOKUP($B136,대상!$B:$AC,MATCH(D$2,대상!$1:$1,0)-1,FALSE),"")</f>
        <v/>
      </c>
      <c r="E136" s="36" t="str">
        <f>IFERROR(VLOOKUP($B136,대상!$B:$AC,MATCH(E$2,대상!$1:$1,0)-1,FALSE),"")</f>
        <v/>
      </c>
      <c r="F136" s="38" t="str">
        <f>IFERROR(VLOOKUP($B136,대상!$B:$AC,MATCH(F$2,대상!$1:$1,0)-1,FALSE),"")</f>
        <v/>
      </c>
      <c r="G136" s="38" t="str">
        <f>IFERROR(VLOOKUP($B136,대상!$B:$AC,MATCH(G$2,대상!$1:$1,0)-1,FALSE),"")</f>
        <v/>
      </c>
      <c r="H136" s="33" t="str">
        <f>IFERROR(VLOOKUP($B136,[1]평가!$B:$Z,MATCH(LEFT(H$2,2),[1]평가!$7:$7,0)-1,FALSE),"")</f>
        <v/>
      </c>
      <c r="I136" s="36" t="str">
        <f>IFERROR(VLOOKUP($B136,[1]평가!$B:$Z,MATCH(LEFT(I$2,2),[1]평가!$7:$7,0)-1,FALSE),"")</f>
        <v/>
      </c>
      <c r="J136" s="36" t="str">
        <f>IFERROR(VLOOKUP($B136,[1]평가!$B:$Z,MATCH(LEFT(J$2,2),[1]평가!$7:$7,0)-1,FALSE),"")</f>
        <v/>
      </c>
      <c r="K136" s="33" t="str">
        <f>IFERROR(VLOOKUP($B136,[2]평가!$B:$Z,MATCH(LEFT(K$2,2),[2]평가!$7:$7,0)-1,FALSE),"")</f>
        <v/>
      </c>
      <c r="L136" s="36" t="str">
        <f>IFERROR(VLOOKUP($B136,[2]평가!$B:$Z,MATCH(LEFT(L$2,2),[2]평가!$7:$7,0)-1,FALSE),"")</f>
        <v/>
      </c>
      <c r="M136" s="39" t="str">
        <f>IFERROR(VLOOKUP($B136,[2]평가!$B:$Z,MATCH(LEFT(M$2,2),[2]평가!$7:$7,0)-1,FALSE),"")</f>
        <v/>
      </c>
      <c r="N136" s="33" t="str">
        <f>IFERROR(VLOOKUP($B136,[3]평가!$B:$Z,MATCH(LEFT(N$2,2),[3]평가!$7:$7,0)-1,FALSE),"")</f>
        <v/>
      </c>
      <c r="O136" s="36" t="str">
        <f>IFERROR(VLOOKUP($B136,[3]평가!$B:$Z,MATCH(LEFT(O$2,2),[3]평가!$7:$7,0)-1,FALSE),"")</f>
        <v/>
      </c>
      <c r="P136" s="39" t="str">
        <f>IFERROR(VLOOKUP($B136,[3]평가!$B:$Z,MATCH(LEFT(P$2,2),[3]평가!$7:$7,0)-1,FALSE),"")</f>
        <v/>
      </c>
      <c r="Q136" s="33" t="str">
        <f>IFERROR(VLOOKUP($B136,[4]평가!$B:$Z,MATCH(LEFT(Q$2,2),[4]평가!$7:$7,0)-1,FALSE),"")</f>
        <v/>
      </c>
      <c r="R136" s="36" t="str">
        <f>IFERROR(VLOOKUP($B136,[4]평가!$B:$Z,MATCH(LEFT(R$2,2),[4]평가!$7:$7,0)-1,FALSE),"")</f>
        <v/>
      </c>
      <c r="S136" s="39" t="str">
        <f>IFERROR(VLOOKUP($B136,[4]평가!$B:$Z,MATCH(LEFT(S$2,2),[4]평가!$7:$7,0)-1,FALSE),"")</f>
        <v/>
      </c>
      <c r="T136" s="33" t="str">
        <f>IFERROR(VLOOKUP($B136,[5]평가!$B:$Z,MATCH(LEFT(T$2,2),[5]평가!$7:$7,0)-1,FALSE),"")</f>
        <v/>
      </c>
      <c r="U136" s="36" t="str">
        <f>IFERROR(VLOOKUP($B136,[5]평가!$B:$Z,MATCH(LEFT(U$2,2),[5]평가!$7:$7,0)-1,FALSE),"")</f>
        <v/>
      </c>
      <c r="V136" s="39" t="str">
        <f>IFERROR(VLOOKUP($B136,[5]평가!$B:$Z,MATCH(LEFT(V$2,2),[5]평가!$7:$7,0)-1,FALSE),"")</f>
        <v/>
      </c>
      <c r="W136" s="33" t="str">
        <f>IFERROR(VLOOKUP($B136,대상!$B:$AD,MATCH(W$2,대상!$1:$1,0)-1,FALSE),"")</f>
        <v/>
      </c>
      <c r="X136" s="20" t="str">
        <f t="shared" si="5"/>
        <v/>
      </c>
      <c r="Y136" s="21" t="e">
        <f t="shared" si="6"/>
        <v>#VALUE!</v>
      </c>
      <c r="Z136" s="40">
        <f>IFERROR(VLOOKUP($B136,대상!$B:$AD,MATCH(Z$2,대상!$1:$1,0)-1,FALSE),0)</f>
        <v>0</v>
      </c>
      <c r="AA136" s="41" t="str">
        <f t="shared" si="7"/>
        <v/>
      </c>
      <c r="AB136" s="35" t="e">
        <f t="shared" si="8"/>
        <v>#VALUE!</v>
      </c>
      <c r="AC136" s="54" t="str">
        <f t="shared" si="9"/>
        <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
      </c>
    </row>
    <row r="137" spans="1:32" ht="30" hidden="1" customHeight="1" x14ac:dyDescent="0.35">
      <c r="A137" s="4">
        <v>135</v>
      </c>
      <c r="B137" s="2"/>
      <c r="C137" s="38" t="str">
        <f>IFERROR(VLOOKUP($B137,대상!$B:$AC,MATCH(C$2,대상!$1:$1,0)-1,FALSE),"")</f>
        <v/>
      </c>
      <c r="D137" s="38" t="str">
        <f>IFERROR(VLOOKUP($B137,대상!$B:$AC,MATCH(D$2,대상!$1:$1,0)-1,FALSE),"")</f>
        <v/>
      </c>
      <c r="E137" s="36" t="str">
        <f>IFERROR(VLOOKUP($B137,대상!$B:$AC,MATCH(E$2,대상!$1:$1,0)-1,FALSE),"")</f>
        <v/>
      </c>
      <c r="F137" s="38" t="str">
        <f>IFERROR(VLOOKUP($B137,대상!$B:$AC,MATCH(F$2,대상!$1:$1,0)-1,FALSE),"")</f>
        <v/>
      </c>
      <c r="G137" s="38" t="str">
        <f>IFERROR(VLOOKUP($B137,대상!$B:$AC,MATCH(G$2,대상!$1:$1,0)-1,FALSE),"")</f>
        <v/>
      </c>
      <c r="H137" s="33" t="str">
        <f>IFERROR(VLOOKUP($B137,[1]평가!$B:$Z,MATCH(LEFT(H$2,2),[1]평가!$7:$7,0)-1,FALSE),"")</f>
        <v/>
      </c>
      <c r="I137" s="36" t="str">
        <f>IFERROR(VLOOKUP($B137,[1]평가!$B:$Z,MATCH(LEFT(I$2,2),[1]평가!$7:$7,0)-1,FALSE),"")</f>
        <v/>
      </c>
      <c r="J137" s="36" t="str">
        <f>IFERROR(VLOOKUP($B137,[1]평가!$B:$Z,MATCH(LEFT(J$2,2),[1]평가!$7:$7,0)-1,FALSE),"")</f>
        <v/>
      </c>
      <c r="K137" s="33" t="str">
        <f>IFERROR(VLOOKUP($B137,[2]평가!$B:$Z,MATCH(LEFT(K$2,2),[2]평가!$7:$7,0)-1,FALSE),"")</f>
        <v/>
      </c>
      <c r="L137" s="36" t="str">
        <f>IFERROR(VLOOKUP($B137,[2]평가!$B:$Z,MATCH(LEFT(L$2,2),[2]평가!$7:$7,0)-1,FALSE),"")</f>
        <v/>
      </c>
      <c r="M137" s="39" t="str">
        <f>IFERROR(VLOOKUP($B137,[2]평가!$B:$Z,MATCH(LEFT(M$2,2),[2]평가!$7:$7,0)-1,FALSE),"")</f>
        <v/>
      </c>
      <c r="N137" s="33" t="str">
        <f>IFERROR(VLOOKUP($B137,[3]평가!$B:$Z,MATCH(LEFT(N$2,2),[3]평가!$7:$7,0)-1,FALSE),"")</f>
        <v/>
      </c>
      <c r="O137" s="36" t="str">
        <f>IFERROR(VLOOKUP($B137,[3]평가!$B:$Z,MATCH(LEFT(O$2,2),[3]평가!$7:$7,0)-1,FALSE),"")</f>
        <v/>
      </c>
      <c r="P137" s="39" t="str">
        <f>IFERROR(VLOOKUP($B137,[3]평가!$B:$Z,MATCH(LEFT(P$2,2),[3]평가!$7:$7,0)-1,FALSE),"")</f>
        <v/>
      </c>
      <c r="Q137" s="33" t="str">
        <f>IFERROR(VLOOKUP($B137,[4]평가!$B:$Z,MATCH(LEFT(Q$2,2),[4]평가!$7:$7,0)-1,FALSE),"")</f>
        <v/>
      </c>
      <c r="R137" s="36" t="str">
        <f>IFERROR(VLOOKUP($B137,[4]평가!$B:$Z,MATCH(LEFT(R$2,2),[4]평가!$7:$7,0)-1,FALSE),"")</f>
        <v/>
      </c>
      <c r="S137" s="39" t="str">
        <f>IFERROR(VLOOKUP($B137,[4]평가!$B:$Z,MATCH(LEFT(S$2,2),[4]평가!$7:$7,0)-1,FALSE),"")</f>
        <v/>
      </c>
      <c r="T137" s="33" t="str">
        <f>IFERROR(VLOOKUP($B137,[5]평가!$B:$Z,MATCH(LEFT(T$2,2),[5]평가!$7:$7,0)-1,FALSE),"")</f>
        <v/>
      </c>
      <c r="U137" s="36" t="str">
        <f>IFERROR(VLOOKUP($B137,[5]평가!$B:$Z,MATCH(LEFT(U$2,2),[5]평가!$7:$7,0)-1,FALSE),"")</f>
        <v/>
      </c>
      <c r="V137" s="39" t="str">
        <f>IFERROR(VLOOKUP($B137,[5]평가!$B:$Z,MATCH(LEFT(V$2,2),[5]평가!$7:$7,0)-1,FALSE),"")</f>
        <v/>
      </c>
      <c r="W137" s="33" t="str">
        <f>IFERROR(VLOOKUP($B137,대상!$B:$AD,MATCH(W$2,대상!$1:$1,0)-1,FALSE),"")</f>
        <v/>
      </c>
      <c r="X137" s="20" t="str">
        <f t="shared" si="5"/>
        <v/>
      </c>
      <c r="Y137" s="21" t="e">
        <f t="shared" si="6"/>
        <v>#VALUE!</v>
      </c>
      <c r="Z137" s="40">
        <f>IFERROR(VLOOKUP($B137,대상!$B:$AD,MATCH(Z$2,대상!$1:$1,0)-1,FALSE),0)</f>
        <v>0</v>
      </c>
      <c r="AA137" s="41" t="str">
        <f t="shared" si="7"/>
        <v/>
      </c>
      <c r="AB137" s="35" t="e">
        <f t="shared" si="8"/>
        <v>#VALUE!</v>
      </c>
      <c r="AC137" s="54" t="str">
        <f t="shared" si="9"/>
        <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
      </c>
    </row>
    <row r="138" spans="1:32" ht="30" hidden="1" customHeight="1" x14ac:dyDescent="0.35">
      <c r="A138" s="4">
        <v>136</v>
      </c>
      <c r="B138" s="2"/>
      <c r="C138" s="38" t="str">
        <f>IFERROR(VLOOKUP($B138,대상!$B:$AC,MATCH(C$2,대상!$1:$1,0)-1,FALSE),"")</f>
        <v/>
      </c>
      <c r="D138" s="38" t="str">
        <f>IFERROR(VLOOKUP($B138,대상!$B:$AC,MATCH(D$2,대상!$1:$1,0)-1,FALSE),"")</f>
        <v/>
      </c>
      <c r="E138" s="36" t="str">
        <f>IFERROR(VLOOKUP($B138,대상!$B:$AC,MATCH(E$2,대상!$1:$1,0)-1,FALSE),"")</f>
        <v/>
      </c>
      <c r="F138" s="38" t="str">
        <f>IFERROR(VLOOKUP($B138,대상!$B:$AC,MATCH(F$2,대상!$1:$1,0)-1,FALSE),"")</f>
        <v/>
      </c>
      <c r="G138" s="38" t="str">
        <f>IFERROR(VLOOKUP($B138,대상!$B:$AC,MATCH(G$2,대상!$1:$1,0)-1,FALSE),"")</f>
        <v/>
      </c>
      <c r="H138" s="33" t="str">
        <f>IFERROR(VLOOKUP($B138,[1]평가!$B:$Z,MATCH(LEFT(H$2,2),[1]평가!$7:$7,0)-1,FALSE),"")</f>
        <v/>
      </c>
      <c r="I138" s="36" t="str">
        <f>IFERROR(VLOOKUP($B138,[1]평가!$B:$Z,MATCH(LEFT(I$2,2),[1]평가!$7:$7,0)-1,FALSE),"")</f>
        <v/>
      </c>
      <c r="J138" s="36" t="str">
        <f>IFERROR(VLOOKUP($B138,[1]평가!$B:$Z,MATCH(LEFT(J$2,2),[1]평가!$7:$7,0)-1,FALSE),"")</f>
        <v/>
      </c>
      <c r="K138" s="33" t="str">
        <f>IFERROR(VLOOKUP($B138,[2]평가!$B:$Z,MATCH(LEFT(K$2,2),[2]평가!$7:$7,0)-1,FALSE),"")</f>
        <v/>
      </c>
      <c r="L138" s="36" t="str">
        <f>IFERROR(VLOOKUP($B138,[2]평가!$B:$Z,MATCH(LEFT(L$2,2),[2]평가!$7:$7,0)-1,FALSE),"")</f>
        <v/>
      </c>
      <c r="M138" s="39" t="str">
        <f>IFERROR(VLOOKUP($B138,[2]평가!$B:$Z,MATCH(LEFT(M$2,2),[2]평가!$7:$7,0)-1,FALSE),"")</f>
        <v/>
      </c>
      <c r="N138" s="33" t="str">
        <f>IFERROR(VLOOKUP($B138,[3]평가!$B:$Z,MATCH(LEFT(N$2,2),[3]평가!$7:$7,0)-1,FALSE),"")</f>
        <v/>
      </c>
      <c r="O138" s="36" t="str">
        <f>IFERROR(VLOOKUP($B138,[3]평가!$B:$Z,MATCH(LEFT(O$2,2),[3]평가!$7:$7,0)-1,FALSE),"")</f>
        <v/>
      </c>
      <c r="P138" s="39" t="str">
        <f>IFERROR(VLOOKUP($B138,[3]평가!$B:$Z,MATCH(LEFT(P$2,2),[3]평가!$7:$7,0)-1,FALSE),"")</f>
        <v/>
      </c>
      <c r="Q138" s="33" t="str">
        <f>IFERROR(VLOOKUP($B138,[4]평가!$B:$Z,MATCH(LEFT(Q$2,2),[4]평가!$7:$7,0)-1,FALSE),"")</f>
        <v/>
      </c>
      <c r="R138" s="36" t="str">
        <f>IFERROR(VLOOKUP($B138,[4]평가!$B:$Z,MATCH(LEFT(R$2,2),[4]평가!$7:$7,0)-1,FALSE),"")</f>
        <v/>
      </c>
      <c r="S138" s="39" t="str">
        <f>IFERROR(VLOOKUP($B138,[4]평가!$B:$Z,MATCH(LEFT(S$2,2),[4]평가!$7:$7,0)-1,FALSE),"")</f>
        <v/>
      </c>
      <c r="T138" s="33" t="str">
        <f>IFERROR(VLOOKUP($B138,[5]평가!$B:$Z,MATCH(LEFT(T$2,2),[5]평가!$7:$7,0)-1,FALSE),"")</f>
        <v/>
      </c>
      <c r="U138" s="36" t="str">
        <f>IFERROR(VLOOKUP($B138,[5]평가!$B:$Z,MATCH(LEFT(U$2,2),[5]평가!$7:$7,0)-1,FALSE),"")</f>
        <v/>
      </c>
      <c r="V138" s="39" t="str">
        <f>IFERROR(VLOOKUP($B138,[5]평가!$B:$Z,MATCH(LEFT(V$2,2),[5]평가!$7:$7,0)-1,FALSE),"")</f>
        <v/>
      </c>
      <c r="W138" s="33" t="str">
        <f>IFERROR(VLOOKUP($B138,대상!$B:$AD,MATCH(W$2,대상!$1:$1,0)-1,FALSE),"")</f>
        <v/>
      </c>
      <c r="X138" s="20" t="str">
        <f t="shared" si="5"/>
        <v/>
      </c>
      <c r="Y138" s="21" t="e">
        <f t="shared" si="6"/>
        <v>#VALUE!</v>
      </c>
      <c r="Z138" s="40">
        <f>IFERROR(VLOOKUP($B138,대상!$B:$AD,MATCH(Z$2,대상!$1:$1,0)-1,FALSE),0)</f>
        <v>0</v>
      </c>
      <c r="AA138" s="41" t="str">
        <f t="shared" si="7"/>
        <v/>
      </c>
      <c r="AB138" s="35" t="e">
        <f t="shared" si="8"/>
        <v>#VALUE!</v>
      </c>
      <c r="AC138" s="54" t="str">
        <f t="shared" si="9"/>
        <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
      </c>
    </row>
    <row r="139" spans="1:32" ht="30" hidden="1" customHeight="1" x14ac:dyDescent="0.35">
      <c r="A139" s="4">
        <v>137</v>
      </c>
      <c r="B139" s="2"/>
      <c r="C139" s="38" t="str">
        <f>IFERROR(VLOOKUP($B139,대상!$B:$AC,MATCH(C$2,대상!$1:$1,0)-1,FALSE),"")</f>
        <v/>
      </c>
      <c r="D139" s="38" t="str">
        <f>IFERROR(VLOOKUP($B139,대상!$B:$AC,MATCH(D$2,대상!$1:$1,0)-1,FALSE),"")</f>
        <v/>
      </c>
      <c r="E139" s="36" t="str">
        <f>IFERROR(VLOOKUP($B139,대상!$B:$AC,MATCH(E$2,대상!$1:$1,0)-1,FALSE),"")</f>
        <v/>
      </c>
      <c r="F139" s="38" t="str">
        <f>IFERROR(VLOOKUP($B139,대상!$B:$AC,MATCH(F$2,대상!$1:$1,0)-1,FALSE),"")</f>
        <v/>
      </c>
      <c r="G139" s="38" t="str">
        <f>IFERROR(VLOOKUP($B139,대상!$B:$AC,MATCH(G$2,대상!$1:$1,0)-1,FALSE),"")</f>
        <v/>
      </c>
      <c r="H139" s="33" t="str">
        <f>IFERROR(VLOOKUP($B139,[1]평가!$B:$Z,MATCH(LEFT(H$2,2),[1]평가!$7:$7,0)-1,FALSE),"")</f>
        <v/>
      </c>
      <c r="I139" s="36" t="str">
        <f>IFERROR(VLOOKUP($B139,[1]평가!$B:$Z,MATCH(LEFT(I$2,2),[1]평가!$7:$7,0)-1,FALSE),"")</f>
        <v/>
      </c>
      <c r="J139" s="36" t="str">
        <f>IFERROR(VLOOKUP($B139,[1]평가!$B:$Z,MATCH(LEFT(J$2,2),[1]평가!$7:$7,0)-1,FALSE),"")</f>
        <v/>
      </c>
      <c r="K139" s="33" t="str">
        <f>IFERROR(VLOOKUP($B139,[2]평가!$B:$Z,MATCH(LEFT(K$2,2),[2]평가!$7:$7,0)-1,FALSE),"")</f>
        <v/>
      </c>
      <c r="L139" s="36" t="str">
        <f>IFERROR(VLOOKUP($B139,[2]평가!$B:$Z,MATCH(LEFT(L$2,2),[2]평가!$7:$7,0)-1,FALSE),"")</f>
        <v/>
      </c>
      <c r="M139" s="39" t="str">
        <f>IFERROR(VLOOKUP($B139,[2]평가!$B:$Z,MATCH(LEFT(M$2,2),[2]평가!$7:$7,0)-1,FALSE),"")</f>
        <v/>
      </c>
      <c r="N139" s="33" t="str">
        <f>IFERROR(VLOOKUP($B139,[3]평가!$B:$Z,MATCH(LEFT(N$2,2),[3]평가!$7:$7,0)-1,FALSE),"")</f>
        <v/>
      </c>
      <c r="O139" s="36" t="str">
        <f>IFERROR(VLOOKUP($B139,[3]평가!$B:$Z,MATCH(LEFT(O$2,2),[3]평가!$7:$7,0)-1,FALSE),"")</f>
        <v/>
      </c>
      <c r="P139" s="39" t="str">
        <f>IFERROR(VLOOKUP($B139,[3]평가!$B:$Z,MATCH(LEFT(P$2,2),[3]평가!$7:$7,0)-1,FALSE),"")</f>
        <v/>
      </c>
      <c r="Q139" s="33" t="str">
        <f>IFERROR(VLOOKUP($B139,[4]평가!$B:$Z,MATCH(LEFT(Q$2,2),[4]평가!$7:$7,0)-1,FALSE),"")</f>
        <v/>
      </c>
      <c r="R139" s="36" t="str">
        <f>IFERROR(VLOOKUP($B139,[4]평가!$B:$Z,MATCH(LEFT(R$2,2),[4]평가!$7:$7,0)-1,FALSE),"")</f>
        <v/>
      </c>
      <c r="S139" s="39" t="str">
        <f>IFERROR(VLOOKUP($B139,[4]평가!$B:$Z,MATCH(LEFT(S$2,2),[4]평가!$7:$7,0)-1,FALSE),"")</f>
        <v/>
      </c>
      <c r="T139" s="33" t="str">
        <f>IFERROR(VLOOKUP($B139,[5]평가!$B:$Z,MATCH(LEFT(T$2,2),[5]평가!$7:$7,0)-1,FALSE),"")</f>
        <v/>
      </c>
      <c r="U139" s="36" t="str">
        <f>IFERROR(VLOOKUP($B139,[5]평가!$B:$Z,MATCH(LEFT(U$2,2),[5]평가!$7:$7,0)-1,FALSE),"")</f>
        <v/>
      </c>
      <c r="V139" s="39" t="str">
        <f>IFERROR(VLOOKUP($B139,[5]평가!$B:$Z,MATCH(LEFT(V$2,2),[5]평가!$7:$7,0)-1,FALSE),"")</f>
        <v/>
      </c>
      <c r="W139" s="33" t="str">
        <f>IFERROR(VLOOKUP($B139,대상!$B:$AD,MATCH(W$2,대상!$1:$1,0)-1,FALSE),"")</f>
        <v/>
      </c>
      <c r="X139" s="20" t="str">
        <f t="shared" si="5"/>
        <v/>
      </c>
      <c r="Y139" s="21" t="e">
        <f t="shared" si="6"/>
        <v>#VALUE!</v>
      </c>
      <c r="Z139" s="40">
        <f>IFERROR(VLOOKUP($B139,대상!$B:$AD,MATCH(Z$2,대상!$1:$1,0)-1,FALSE),0)</f>
        <v>0</v>
      </c>
      <c r="AA139" s="41" t="str">
        <f t="shared" si="7"/>
        <v/>
      </c>
      <c r="AB139" s="35" t="e">
        <f t="shared" si="8"/>
        <v>#VALUE!</v>
      </c>
      <c r="AC139" s="54" t="str">
        <f t="shared" si="9"/>
        <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
      </c>
    </row>
    <row r="140" spans="1:32" ht="30" hidden="1" customHeight="1" x14ac:dyDescent="0.35">
      <c r="A140" s="4">
        <v>138</v>
      </c>
      <c r="B140" s="2"/>
      <c r="C140" s="38" t="str">
        <f>IFERROR(VLOOKUP($B140,대상!$B:$AC,MATCH(C$2,대상!$1:$1,0)-1,FALSE),"")</f>
        <v/>
      </c>
      <c r="D140" s="38" t="str">
        <f>IFERROR(VLOOKUP($B140,대상!$B:$AC,MATCH(D$2,대상!$1:$1,0)-1,FALSE),"")</f>
        <v/>
      </c>
      <c r="E140" s="36" t="str">
        <f>IFERROR(VLOOKUP($B140,대상!$B:$AC,MATCH(E$2,대상!$1:$1,0)-1,FALSE),"")</f>
        <v/>
      </c>
      <c r="F140" s="38" t="str">
        <f>IFERROR(VLOOKUP($B140,대상!$B:$AC,MATCH(F$2,대상!$1:$1,0)-1,FALSE),"")</f>
        <v/>
      </c>
      <c r="G140" s="38" t="str">
        <f>IFERROR(VLOOKUP($B140,대상!$B:$AC,MATCH(G$2,대상!$1:$1,0)-1,FALSE),"")</f>
        <v/>
      </c>
      <c r="H140" s="33" t="str">
        <f>IFERROR(VLOOKUP($B140,[1]평가!$B:$Z,MATCH(LEFT(H$2,2),[1]평가!$7:$7,0)-1,FALSE),"")</f>
        <v/>
      </c>
      <c r="I140" s="36" t="str">
        <f>IFERROR(VLOOKUP($B140,[1]평가!$B:$Z,MATCH(LEFT(I$2,2),[1]평가!$7:$7,0)-1,FALSE),"")</f>
        <v/>
      </c>
      <c r="J140" s="36" t="str">
        <f>IFERROR(VLOOKUP($B140,[1]평가!$B:$Z,MATCH(LEFT(J$2,2),[1]평가!$7:$7,0)-1,FALSE),"")</f>
        <v/>
      </c>
      <c r="K140" s="33" t="str">
        <f>IFERROR(VLOOKUP($B140,[2]평가!$B:$Z,MATCH(LEFT(K$2,2),[2]평가!$7:$7,0)-1,FALSE),"")</f>
        <v/>
      </c>
      <c r="L140" s="36" t="str">
        <f>IFERROR(VLOOKUP($B140,[2]평가!$B:$Z,MATCH(LEFT(L$2,2),[2]평가!$7:$7,0)-1,FALSE),"")</f>
        <v/>
      </c>
      <c r="M140" s="39" t="str">
        <f>IFERROR(VLOOKUP($B140,[2]평가!$B:$Z,MATCH(LEFT(M$2,2),[2]평가!$7:$7,0)-1,FALSE),"")</f>
        <v/>
      </c>
      <c r="N140" s="33" t="str">
        <f>IFERROR(VLOOKUP($B140,[3]평가!$B:$Z,MATCH(LEFT(N$2,2),[3]평가!$7:$7,0)-1,FALSE),"")</f>
        <v/>
      </c>
      <c r="O140" s="36" t="str">
        <f>IFERROR(VLOOKUP($B140,[3]평가!$B:$Z,MATCH(LEFT(O$2,2),[3]평가!$7:$7,0)-1,FALSE),"")</f>
        <v/>
      </c>
      <c r="P140" s="39" t="str">
        <f>IFERROR(VLOOKUP($B140,[3]평가!$B:$Z,MATCH(LEFT(P$2,2),[3]평가!$7:$7,0)-1,FALSE),"")</f>
        <v/>
      </c>
      <c r="Q140" s="33" t="str">
        <f>IFERROR(VLOOKUP($B140,[4]평가!$B:$Z,MATCH(LEFT(Q$2,2),[4]평가!$7:$7,0)-1,FALSE),"")</f>
        <v/>
      </c>
      <c r="R140" s="36" t="str">
        <f>IFERROR(VLOOKUP($B140,[4]평가!$B:$Z,MATCH(LEFT(R$2,2),[4]평가!$7:$7,0)-1,FALSE),"")</f>
        <v/>
      </c>
      <c r="S140" s="39" t="str">
        <f>IFERROR(VLOOKUP($B140,[4]평가!$B:$Z,MATCH(LEFT(S$2,2),[4]평가!$7:$7,0)-1,FALSE),"")</f>
        <v/>
      </c>
      <c r="T140" s="33" t="str">
        <f>IFERROR(VLOOKUP($B140,[5]평가!$B:$Z,MATCH(LEFT(T$2,2),[5]평가!$7:$7,0)-1,FALSE),"")</f>
        <v/>
      </c>
      <c r="U140" s="36" t="str">
        <f>IFERROR(VLOOKUP($B140,[5]평가!$B:$Z,MATCH(LEFT(U$2,2),[5]평가!$7:$7,0)-1,FALSE),"")</f>
        <v/>
      </c>
      <c r="V140" s="39" t="str">
        <f>IFERROR(VLOOKUP($B140,[5]평가!$B:$Z,MATCH(LEFT(V$2,2),[5]평가!$7:$7,0)-1,FALSE),"")</f>
        <v/>
      </c>
      <c r="W140" s="33" t="str">
        <f>IFERROR(VLOOKUP($B140,대상!$B:$AD,MATCH(W$2,대상!$1:$1,0)-1,FALSE),"")</f>
        <v/>
      </c>
      <c r="X140" s="20" t="str">
        <f t="shared" si="5"/>
        <v/>
      </c>
      <c r="Y140" s="21" t="e">
        <f t="shared" si="6"/>
        <v>#VALUE!</v>
      </c>
      <c r="Z140" s="40">
        <f>IFERROR(VLOOKUP($B140,대상!$B:$AD,MATCH(Z$2,대상!$1:$1,0)-1,FALSE),0)</f>
        <v>0</v>
      </c>
      <c r="AA140" s="41" t="str">
        <f t="shared" si="7"/>
        <v/>
      </c>
      <c r="AB140" s="35" t="e">
        <f t="shared" si="8"/>
        <v>#VALUE!</v>
      </c>
      <c r="AC140" s="54" t="str">
        <f t="shared" si="9"/>
        <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
      </c>
    </row>
    <row r="141" spans="1:32" ht="30" hidden="1" customHeight="1" x14ac:dyDescent="0.35">
      <c r="A141" s="4">
        <v>139</v>
      </c>
      <c r="B141" s="2"/>
      <c r="C141" s="38" t="str">
        <f>IFERROR(VLOOKUP($B141,대상!$B:$AC,MATCH(C$2,대상!$1:$1,0)-1,FALSE),"")</f>
        <v/>
      </c>
      <c r="D141" s="38" t="str">
        <f>IFERROR(VLOOKUP($B141,대상!$B:$AC,MATCH(D$2,대상!$1:$1,0)-1,FALSE),"")</f>
        <v/>
      </c>
      <c r="E141" s="36" t="str">
        <f>IFERROR(VLOOKUP($B141,대상!$B:$AC,MATCH(E$2,대상!$1:$1,0)-1,FALSE),"")</f>
        <v/>
      </c>
      <c r="F141" s="38" t="str">
        <f>IFERROR(VLOOKUP($B141,대상!$B:$AC,MATCH(F$2,대상!$1:$1,0)-1,FALSE),"")</f>
        <v/>
      </c>
      <c r="G141" s="38" t="str">
        <f>IFERROR(VLOOKUP($B141,대상!$B:$AC,MATCH(G$2,대상!$1:$1,0)-1,FALSE),"")</f>
        <v/>
      </c>
      <c r="H141" s="33" t="str">
        <f>IFERROR(VLOOKUP($B141,[1]평가!$B:$Z,MATCH(LEFT(H$2,2),[1]평가!$7:$7,0)-1,FALSE),"")</f>
        <v/>
      </c>
      <c r="I141" s="36" t="str">
        <f>IFERROR(VLOOKUP($B141,[1]평가!$B:$Z,MATCH(LEFT(I$2,2),[1]평가!$7:$7,0)-1,FALSE),"")</f>
        <v/>
      </c>
      <c r="J141" s="36" t="str">
        <f>IFERROR(VLOOKUP($B141,[1]평가!$B:$Z,MATCH(LEFT(J$2,2),[1]평가!$7:$7,0)-1,FALSE),"")</f>
        <v/>
      </c>
      <c r="K141" s="33" t="str">
        <f>IFERROR(VLOOKUP($B141,[2]평가!$B:$Z,MATCH(LEFT(K$2,2),[2]평가!$7:$7,0)-1,FALSE),"")</f>
        <v/>
      </c>
      <c r="L141" s="36" t="str">
        <f>IFERROR(VLOOKUP($B141,[2]평가!$B:$Z,MATCH(LEFT(L$2,2),[2]평가!$7:$7,0)-1,FALSE),"")</f>
        <v/>
      </c>
      <c r="M141" s="39" t="str">
        <f>IFERROR(VLOOKUP($B141,[2]평가!$B:$Z,MATCH(LEFT(M$2,2),[2]평가!$7:$7,0)-1,FALSE),"")</f>
        <v/>
      </c>
      <c r="N141" s="33" t="str">
        <f>IFERROR(VLOOKUP($B141,[3]평가!$B:$Z,MATCH(LEFT(N$2,2),[3]평가!$7:$7,0)-1,FALSE),"")</f>
        <v/>
      </c>
      <c r="O141" s="36" t="str">
        <f>IFERROR(VLOOKUP($B141,[3]평가!$B:$Z,MATCH(LEFT(O$2,2),[3]평가!$7:$7,0)-1,FALSE),"")</f>
        <v/>
      </c>
      <c r="P141" s="39" t="str">
        <f>IFERROR(VLOOKUP($B141,[3]평가!$B:$Z,MATCH(LEFT(P$2,2),[3]평가!$7:$7,0)-1,FALSE),"")</f>
        <v/>
      </c>
      <c r="Q141" s="33" t="str">
        <f>IFERROR(VLOOKUP($B141,[4]평가!$B:$Z,MATCH(LEFT(Q$2,2),[4]평가!$7:$7,0)-1,FALSE),"")</f>
        <v/>
      </c>
      <c r="R141" s="36" t="str">
        <f>IFERROR(VLOOKUP($B141,[4]평가!$B:$Z,MATCH(LEFT(R$2,2),[4]평가!$7:$7,0)-1,FALSE),"")</f>
        <v/>
      </c>
      <c r="S141" s="39" t="str">
        <f>IFERROR(VLOOKUP($B141,[4]평가!$B:$Z,MATCH(LEFT(S$2,2),[4]평가!$7:$7,0)-1,FALSE),"")</f>
        <v/>
      </c>
      <c r="T141" s="33" t="str">
        <f>IFERROR(VLOOKUP($B141,[5]평가!$B:$Z,MATCH(LEFT(T$2,2),[5]평가!$7:$7,0)-1,FALSE),"")</f>
        <v/>
      </c>
      <c r="U141" s="36" t="str">
        <f>IFERROR(VLOOKUP($B141,[5]평가!$B:$Z,MATCH(LEFT(U$2,2),[5]평가!$7:$7,0)-1,FALSE),"")</f>
        <v/>
      </c>
      <c r="V141" s="39" t="str">
        <f>IFERROR(VLOOKUP($B141,[5]평가!$B:$Z,MATCH(LEFT(V$2,2),[5]평가!$7:$7,0)-1,FALSE),"")</f>
        <v/>
      </c>
      <c r="W141" s="33" t="str">
        <f>IFERROR(VLOOKUP($B141,대상!$B:$AD,MATCH(W$2,대상!$1:$1,0)-1,FALSE),"")</f>
        <v/>
      </c>
      <c r="X141" s="20" t="str">
        <f t="shared" si="5"/>
        <v/>
      </c>
      <c r="Y141" s="21" t="e">
        <f t="shared" si="6"/>
        <v>#VALUE!</v>
      </c>
      <c r="Z141" s="40">
        <f>IFERROR(VLOOKUP($B141,대상!$B:$AD,MATCH(Z$2,대상!$1:$1,0)-1,FALSE),0)</f>
        <v>0</v>
      </c>
      <c r="AA141" s="41" t="str">
        <f t="shared" si="7"/>
        <v/>
      </c>
      <c r="AB141" s="35" t="e">
        <f t="shared" si="8"/>
        <v>#VALUE!</v>
      </c>
      <c r="AC141" s="54" t="str">
        <f t="shared" si="9"/>
        <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
      </c>
    </row>
    <row r="142" spans="1:32" ht="30" hidden="1" customHeight="1" x14ac:dyDescent="0.35">
      <c r="A142" s="4">
        <v>140</v>
      </c>
      <c r="B142" s="2"/>
      <c r="C142" s="38" t="str">
        <f>IFERROR(VLOOKUP($B142,대상!$B:$AC,MATCH(C$2,대상!$1:$1,0)-1,FALSE),"")</f>
        <v/>
      </c>
      <c r="D142" s="38" t="str">
        <f>IFERROR(VLOOKUP($B142,대상!$B:$AC,MATCH(D$2,대상!$1:$1,0)-1,FALSE),"")</f>
        <v/>
      </c>
      <c r="E142" s="36" t="str">
        <f>IFERROR(VLOOKUP($B142,대상!$B:$AC,MATCH(E$2,대상!$1:$1,0)-1,FALSE),"")</f>
        <v/>
      </c>
      <c r="F142" s="38" t="str">
        <f>IFERROR(VLOOKUP($B142,대상!$B:$AC,MATCH(F$2,대상!$1:$1,0)-1,FALSE),"")</f>
        <v/>
      </c>
      <c r="G142" s="38" t="str">
        <f>IFERROR(VLOOKUP($B142,대상!$B:$AC,MATCH(G$2,대상!$1:$1,0)-1,FALSE),"")</f>
        <v/>
      </c>
      <c r="H142" s="33" t="str">
        <f>IFERROR(VLOOKUP($B142,[1]평가!$B:$Z,MATCH(LEFT(H$2,2),[1]평가!$7:$7,0)-1,FALSE),"")</f>
        <v/>
      </c>
      <c r="I142" s="36" t="str">
        <f>IFERROR(VLOOKUP($B142,[1]평가!$B:$Z,MATCH(LEFT(I$2,2),[1]평가!$7:$7,0)-1,FALSE),"")</f>
        <v/>
      </c>
      <c r="J142" s="36" t="str">
        <f>IFERROR(VLOOKUP($B142,[1]평가!$B:$Z,MATCH(LEFT(J$2,2),[1]평가!$7:$7,0)-1,FALSE),"")</f>
        <v/>
      </c>
      <c r="K142" s="33" t="str">
        <f>IFERROR(VLOOKUP($B142,[2]평가!$B:$Z,MATCH(LEFT(K$2,2),[2]평가!$7:$7,0)-1,FALSE),"")</f>
        <v/>
      </c>
      <c r="L142" s="36" t="str">
        <f>IFERROR(VLOOKUP($B142,[2]평가!$B:$Z,MATCH(LEFT(L$2,2),[2]평가!$7:$7,0)-1,FALSE),"")</f>
        <v/>
      </c>
      <c r="M142" s="39" t="str">
        <f>IFERROR(VLOOKUP($B142,[2]평가!$B:$Z,MATCH(LEFT(M$2,2),[2]평가!$7:$7,0)-1,FALSE),"")</f>
        <v/>
      </c>
      <c r="N142" s="33" t="str">
        <f>IFERROR(VLOOKUP($B142,[3]평가!$B:$Z,MATCH(LEFT(N$2,2),[3]평가!$7:$7,0)-1,FALSE),"")</f>
        <v/>
      </c>
      <c r="O142" s="36" t="str">
        <f>IFERROR(VLOOKUP($B142,[3]평가!$B:$Z,MATCH(LEFT(O$2,2),[3]평가!$7:$7,0)-1,FALSE),"")</f>
        <v/>
      </c>
      <c r="P142" s="39" t="str">
        <f>IFERROR(VLOOKUP($B142,[3]평가!$B:$Z,MATCH(LEFT(P$2,2),[3]평가!$7:$7,0)-1,FALSE),"")</f>
        <v/>
      </c>
      <c r="Q142" s="33" t="str">
        <f>IFERROR(VLOOKUP($B142,[4]평가!$B:$Z,MATCH(LEFT(Q$2,2),[4]평가!$7:$7,0)-1,FALSE),"")</f>
        <v/>
      </c>
      <c r="R142" s="36" t="str">
        <f>IFERROR(VLOOKUP($B142,[4]평가!$B:$Z,MATCH(LEFT(R$2,2),[4]평가!$7:$7,0)-1,FALSE),"")</f>
        <v/>
      </c>
      <c r="S142" s="39" t="str">
        <f>IFERROR(VLOOKUP($B142,[4]평가!$B:$Z,MATCH(LEFT(S$2,2),[4]평가!$7:$7,0)-1,FALSE),"")</f>
        <v/>
      </c>
      <c r="T142" s="33" t="str">
        <f>IFERROR(VLOOKUP($B142,[5]평가!$B:$Z,MATCH(LEFT(T$2,2),[5]평가!$7:$7,0)-1,FALSE),"")</f>
        <v/>
      </c>
      <c r="U142" s="36" t="str">
        <f>IFERROR(VLOOKUP($B142,[5]평가!$B:$Z,MATCH(LEFT(U$2,2),[5]평가!$7:$7,0)-1,FALSE),"")</f>
        <v/>
      </c>
      <c r="V142" s="39" t="str">
        <f>IFERROR(VLOOKUP($B142,[5]평가!$B:$Z,MATCH(LEFT(V$2,2),[5]평가!$7:$7,0)-1,FALSE),"")</f>
        <v/>
      </c>
      <c r="W142" s="33" t="str">
        <f>IFERROR(VLOOKUP($B142,대상!$B:$AD,MATCH(W$2,대상!$1:$1,0)-1,FALSE),"")</f>
        <v/>
      </c>
      <c r="X142" s="20" t="str">
        <f t="shared" si="5"/>
        <v/>
      </c>
      <c r="Y142" s="21" t="e">
        <f t="shared" si="6"/>
        <v>#VALUE!</v>
      </c>
      <c r="Z142" s="40">
        <f>IFERROR(VLOOKUP($B142,대상!$B:$AD,MATCH(Z$2,대상!$1:$1,0)-1,FALSE),0)</f>
        <v>0</v>
      </c>
      <c r="AA142" s="41" t="str">
        <f t="shared" si="7"/>
        <v/>
      </c>
      <c r="AB142" s="35" t="e">
        <f t="shared" si="8"/>
        <v>#VALUE!</v>
      </c>
      <c r="AC142" s="54" t="str">
        <f t="shared" si="9"/>
        <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
      </c>
    </row>
    <row r="143" spans="1:32" ht="30" hidden="1" customHeight="1" x14ac:dyDescent="0.35">
      <c r="A143" s="4">
        <v>141</v>
      </c>
      <c r="B143" s="2"/>
      <c r="C143" s="38" t="str">
        <f>IFERROR(VLOOKUP($B143,대상!$B:$AC,MATCH(C$2,대상!$1:$1,0)-1,FALSE),"")</f>
        <v/>
      </c>
      <c r="D143" s="38" t="str">
        <f>IFERROR(VLOOKUP($B143,대상!$B:$AC,MATCH(D$2,대상!$1:$1,0)-1,FALSE),"")</f>
        <v/>
      </c>
      <c r="E143" s="36" t="str">
        <f>IFERROR(VLOOKUP($B143,대상!$B:$AC,MATCH(E$2,대상!$1:$1,0)-1,FALSE),"")</f>
        <v/>
      </c>
      <c r="F143" s="38" t="str">
        <f>IFERROR(VLOOKUP($B143,대상!$B:$AC,MATCH(F$2,대상!$1:$1,0)-1,FALSE),"")</f>
        <v/>
      </c>
      <c r="G143" s="38" t="str">
        <f>IFERROR(VLOOKUP($B143,대상!$B:$AC,MATCH(G$2,대상!$1:$1,0)-1,FALSE),"")</f>
        <v/>
      </c>
      <c r="H143" s="33" t="str">
        <f>IFERROR(VLOOKUP($B143,[1]평가!$B:$Z,MATCH(LEFT(H$2,2),[1]평가!$7:$7,0)-1,FALSE),"")</f>
        <v/>
      </c>
      <c r="I143" s="36" t="str">
        <f>IFERROR(VLOOKUP($B143,[1]평가!$B:$Z,MATCH(LEFT(I$2,2),[1]평가!$7:$7,0)-1,FALSE),"")</f>
        <v/>
      </c>
      <c r="J143" s="36" t="str">
        <f>IFERROR(VLOOKUP($B143,[1]평가!$B:$Z,MATCH(LEFT(J$2,2),[1]평가!$7:$7,0)-1,FALSE),"")</f>
        <v/>
      </c>
      <c r="K143" s="33" t="str">
        <f>IFERROR(VLOOKUP($B143,[2]평가!$B:$Z,MATCH(LEFT(K$2,2),[2]평가!$7:$7,0)-1,FALSE),"")</f>
        <v/>
      </c>
      <c r="L143" s="36" t="str">
        <f>IFERROR(VLOOKUP($B143,[2]평가!$B:$Z,MATCH(LEFT(L$2,2),[2]평가!$7:$7,0)-1,FALSE),"")</f>
        <v/>
      </c>
      <c r="M143" s="39" t="str">
        <f>IFERROR(VLOOKUP($B143,[2]평가!$B:$Z,MATCH(LEFT(M$2,2),[2]평가!$7:$7,0)-1,FALSE),"")</f>
        <v/>
      </c>
      <c r="N143" s="33" t="str">
        <f>IFERROR(VLOOKUP($B143,[3]평가!$B:$Z,MATCH(LEFT(N$2,2),[3]평가!$7:$7,0)-1,FALSE),"")</f>
        <v/>
      </c>
      <c r="O143" s="36" t="str">
        <f>IFERROR(VLOOKUP($B143,[3]평가!$B:$Z,MATCH(LEFT(O$2,2),[3]평가!$7:$7,0)-1,FALSE),"")</f>
        <v/>
      </c>
      <c r="P143" s="39" t="str">
        <f>IFERROR(VLOOKUP($B143,[3]평가!$B:$Z,MATCH(LEFT(P$2,2),[3]평가!$7:$7,0)-1,FALSE),"")</f>
        <v/>
      </c>
      <c r="Q143" s="33" t="str">
        <f>IFERROR(VLOOKUP($B143,[4]평가!$B:$Z,MATCH(LEFT(Q$2,2),[4]평가!$7:$7,0)-1,FALSE),"")</f>
        <v/>
      </c>
      <c r="R143" s="36" t="str">
        <f>IFERROR(VLOOKUP($B143,[4]평가!$B:$Z,MATCH(LEFT(R$2,2),[4]평가!$7:$7,0)-1,FALSE),"")</f>
        <v/>
      </c>
      <c r="S143" s="39" t="str">
        <f>IFERROR(VLOOKUP($B143,[4]평가!$B:$Z,MATCH(LEFT(S$2,2),[4]평가!$7:$7,0)-1,FALSE),"")</f>
        <v/>
      </c>
      <c r="T143" s="33" t="str">
        <f>IFERROR(VLOOKUP($B143,[5]평가!$B:$Z,MATCH(LEFT(T$2,2),[5]평가!$7:$7,0)-1,FALSE),"")</f>
        <v/>
      </c>
      <c r="U143" s="36" t="str">
        <f>IFERROR(VLOOKUP($B143,[5]평가!$B:$Z,MATCH(LEFT(U$2,2),[5]평가!$7:$7,0)-1,FALSE),"")</f>
        <v/>
      </c>
      <c r="V143" s="39" t="str">
        <f>IFERROR(VLOOKUP($B143,[5]평가!$B:$Z,MATCH(LEFT(V$2,2),[5]평가!$7:$7,0)-1,FALSE),"")</f>
        <v/>
      </c>
      <c r="W143" s="33" t="str">
        <f>IFERROR(VLOOKUP($B143,대상!$B:$AD,MATCH(W$2,대상!$1:$1,0)-1,FALSE),"")</f>
        <v/>
      </c>
      <c r="X143" s="20" t="str">
        <f t="shared" si="5"/>
        <v/>
      </c>
      <c r="Y143" s="21" t="e">
        <f t="shared" si="6"/>
        <v>#VALUE!</v>
      </c>
      <c r="Z143" s="40">
        <f>IFERROR(VLOOKUP($B143,대상!$B:$AD,MATCH(Z$2,대상!$1:$1,0)-1,FALSE),0)</f>
        <v>0</v>
      </c>
      <c r="AA143" s="41" t="str">
        <f t="shared" si="7"/>
        <v/>
      </c>
      <c r="AB143" s="35" t="e">
        <f t="shared" si="8"/>
        <v>#VALUE!</v>
      </c>
      <c r="AC143" s="54" t="str">
        <f t="shared" si="9"/>
        <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
      </c>
    </row>
    <row r="144" spans="1:32" ht="30" hidden="1" customHeight="1" x14ac:dyDescent="0.35">
      <c r="A144" s="4">
        <v>142</v>
      </c>
      <c r="B144" s="2"/>
      <c r="C144" s="38" t="str">
        <f>IFERROR(VLOOKUP($B144,대상!$B:$AC,MATCH(C$2,대상!$1:$1,0)-1,FALSE),"")</f>
        <v/>
      </c>
      <c r="D144" s="38" t="str">
        <f>IFERROR(VLOOKUP($B144,대상!$B:$AC,MATCH(D$2,대상!$1:$1,0)-1,FALSE),"")</f>
        <v/>
      </c>
      <c r="E144" s="36" t="str">
        <f>IFERROR(VLOOKUP($B144,대상!$B:$AC,MATCH(E$2,대상!$1:$1,0)-1,FALSE),"")</f>
        <v/>
      </c>
      <c r="F144" s="38" t="str">
        <f>IFERROR(VLOOKUP($B144,대상!$B:$AC,MATCH(F$2,대상!$1:$1,0)-1,FALSE),"")</f>
        <v/>
      </c>
      <c r="G144" s="38" t="str">
        <f>IFERROR(VLOOKUP($B144,대상!$B:$AC,MATCH(G$2,대상!$1:$1,0)-1,FALSE),"")</f>
        <v/>
      </c>
      <c r="H144" s="33" t="str">
        <f>IFERROR(VLOOKUP($B144,[1]평가!$B:$Z,MATCH(LEFT(H$2,2),[1]평가!$7:$7,0)-1,FALSE),"")</f>
        <v/>
      </c>
      <c r="I144" s="36" t="str">
        <f>IFERROR(VLOOKUP($B144,[1]평가!$B:$Z,MATCH(LEFT(I$2,2),[1]평가!$7:$7,0)-1,FALSE),"")</f>
        <v/>
      </c>
      <c r="J144" s="36" t="str">
        <f>IFERROR(VLOOKUP($B144,[1]평가!$B:$Z,MATCH(LEFT(J$2,2),[1]평가!$7:$7,0)-1,FALSE),"")</f>
        <v/>
      </c>
      <c r="K144" s="33" t="str">
        <f>IFERROR(VLOOKUP($B144,[2]평가!$B:$Z,MATCH(LEFT(K$2,2),[2]평가!$7:$7,0)-1,FALSE),"")</f>
        <v/>
      </c>
      <c r="L144" s="36" t="str">
        <f>IFERROR(VLOOKUP($B144,[2]평가!$B:$Z,MATCH(LEFT(L$2,2),[2]평가!$7:$7,0)-1,FALSE),"")</f>
        <v/>
      </c>
      <c r="M144" s="39" t="str">
        <f>IFERROR(VLOOKUP($B144,[2]평가!$B:$Z,MATCH(LEFT(M$2,2),[2]평가!$7:$7,0)-1,FALSE),"")</f>
        <v/>
      </c>
      <c r="N144" s="33" t="str">
        <f>IFERROR(VLOOKUP($B144,[3]평가!$B:$Z,MATCH(LEFT(N$2,2),[3]평가!$7:$7,0)-1,FALSE),"")</f>
        <v/>
      </c>
      <c r="O144" s="36" t="str">
        <f>IFERROR(VLOOKUP($B144,[3]평가!$B:$Z,MATCH(LEFT(O$2,2),[3]평가!$7:$7,0)-1,FALSE),"")</f>
        <v/>
      </c>
      <c r="P144" s="39" t="str">
        <f>IFERROR(VLOOKUP($B144,[3]평가!$B:$Z,MATCH(LEFT(P$2,2),[3]평가!$7:$7,0)-1,FALSE),"")</f>
        <v/>
      </c>
      <c r="Q144" s="33" t="str">
        <f>IFERROR(VLOOKUP($B144,[4]평가!$B:$Z,MATCH(LEFT(Q$2,2),[4]평가!$7:$7,0)-1,FALSE),"")</f>
        <v/>
      </c>
      <c r="R144" s="36" t="str">
        <f>IFERROR(VLOOKUP($B144,[4]평가!$B:$Z,MATCH(LEFT(R$2,2),[4]평가!$7:$7,0)-1,FALSE),"")</f>
        <v/>
      </c>
      <c r="S144" s="39" t="str">
        <f>IFERROR(VLOOKUP($B144,[4]평가!$B:$Z,MATCH(LEFT(S$2,2),[4]평가!$7:$7,0)-1,FALSE),"")</f>
        <v/>
      </c>
      <c r="T144" s="33" t="str">
        <f>IFERROR(VLOOKUP($B144,[5]평가!$B:$Z,MATCH(LEFT(T$2,2),[5]평가!$7:$7,0)-1,FALSE),"")</f>
        <v/>
      </c>
      <c r="U144" s="36" t="str">
        <f>IFERROR(VLOOKUP($B144,[5]평가!$B:$Z,MATCH(LEFT(U$2,2),[5]평가!$7:$7,0)-1,FALSE),"")</f>
        <v/>
      </c>
      <c r="V144" s="39" t="str">
        <f>IFERROR(VLOOKUP($B144,[5]평가!$B:$Z,MATCH(LEFT(V$2,2),[5]평가!$7:$7,0)-1,FALSE),"")</f>
        <v/>
      </c>
      <c r="W144" s="33" t="str">
        <f>IFERROR(VLOOKUP($B144,대상!$B:$AD,MATCH(W$2,대상!$1:$1,0)-1,FALSE),"")</f>
        <v/>
      </c>
      <c r="X144" s="20" t="str">
        <f t="shared" si="5"/>
        <v/>
      </c>
      <c r="Y144" s="21" t="e">
        <f t="shared" si="6"/>
        <v>#VALUE!</v>
      </c>
      <c r="Z144" s="40">
        <f>IFERROR(VLOOKUP($B144,대상!$B:$AD,MATCH(Z$2,대상!$1:$1,0)-1,FALSE),0)</f>
        <v>0</v>
      </c>
      <c r="AA144" s="41" t="str">
        <f t="shared" si="7"/>
        <v/>
      </c>
      <c r="AB144" s="35" t="e">
        <f t="shared" si="8"/>
        <v>#VALUE!</v>
      </c>
      <c r="AC144" s="54" t="str">
        <f t="shared" si="9"/>
        <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
      </c>
    </row>
    <row r="145" spans="1:32" ht="30" hidden="1" customHeight="1" x14ac:dyDescent="0.35">
      <c r="A145" s="4">
        <v>143</v>
      </c>
      <c r="B145" s="2"/>
      <c r="C145" s="38" t="str">
        <f>IFERROR(VLOOKUP($B145,대상!$B:$AC,MATCH(C$2,대상!$1:$1,0)-1,FALSE),"")</f>
        <v/>
      </c>
      <c r="D145" s="38" t="str">
        <f>IFERROR(VLOOKUP($B145,대상!$B:$AC,MATCH(D$2,대상!$1:$1,0)-1,FALSE),"")</f>
        <v/>
      </c>
      <c r="E145" s="36" t="str">
        <f>IFERROR(VLOOKUP($B145,대상!$B:$AC,MATCH(E$2,대상!$1:$1,0)-1,FALSE),"")</f>
        <v/>
      </c>
      <c r="F145" s="38" t="str">
        <f>IFERROR(VLOOKUP($B145,대상!$B:$AC,MATCH(F$2,대상!$1:$1,0)-1,FALSE),"")</f>
        <v/>
      </c>
      <c r="G145" s="38" t="str">
        <f>IFERROR(VLOOKUP($B145,대상!$B:$AC,MATCH(G$2,대상!$1:$1,0)-1,FALSE),"")</f>
        <v/>
      </c>
      <c r="H145" s="33" t="str">
        <f>IFERROR(VLOOKUP($B145,[1]평가!$B:$Z,MATCH(LEFT(H$2,2),[1]평가!$7:$7,0)-1,FALSE),"")</f>
        <v/>
      </c>
      <c r="I145" s="36" t="str">
        <f>IFERROR(VLOOKUP($B145,[1]평가!$B:$Z,MATCH(LEFT(I$2,2),[1]평가!$7:$7,0)-1,FALSE),"")</f>
        <v/>
      </c>
      <c r="J145" s="36" t="str">
        <f>IFERROR(VLOOKUP($B145,[1]평가!$B:$Z,MATCH(LEFT(J$2,2),[1]평가!$7:$7,0)-1,FALSE),"")</f>
        <v/>
      </c>
      <c r="K145" s="33" t="str">
        <f>IFERROR(VLOOKUP($B145,[2]평가!$B:$Z,MATCH(LEFT(K$2,2),[2]평가!$7:$7,0)-1,FALSE),"")</f>
        <v/>
      </c>
      <c r="L145" s="36" t="str">
        <f>IFERROR(VLOOKUP($B145,[2]평가!$B:$Z,MATCH(LEFT(L$2,2),[2]평가!$7:$7,0)-1,FALSE),"")</f>
        <v/>
      </c>
      <c r="M145" s="39" t="str">
        <f>IFERROR(VLOOKUP($B145,[2]평가!$B:$Z,MATCH(LEFT(M$2,2),[2]평가!$7:$7,0)-1,FALSE),"")</f>
        <v/>
      </c>
      <c r="N145" s="33" t="str">
        <f>IFERROR(VLOOKUP($B145,[3]평가!$B:$Z,MATCH(LEFT(N$2,2),[3]평가!$7:$7,0)-1,FALSE),"")</f>
        <v/>
      </c>
      <c r="O145" s="36" t="str">
        <f>IFERROR(VLOOKUP($B145,[3]평가!$B:$Z,MATCH(LEFT(O$2,2),[3]평가!$7:$7,0)-1,FALSE),"")</f>
        <v/>
      </c>
      <c r="P145" s="39" t="str">
        <f>IFERROR(VLOOKUP($B145,[3]평가!$B:$Z,MATCH(LEFT(P$2,2),[3]평가!$7:$7,0)-1,FALSE),"")</f>
        <v/>
      </c>
      <c r="Q145" s="33" t="str">
        <f>IFERROR(VLOOKUP($B145,[4]평가!$B:$Z,MATCH(LEFT(Q$2,2),[4]평가!$7:$7,0)-1,FALSE),"")</f>
        <v/>
      </c>
      <c r="R145" s="36" t="str">
        <f>IFERROR(VLOOKUP($B145,[4]평가!$B:$Z,MATCH(LEFT(R$2,2),[4]평가!$7:$7,0)-1,FALSE),"")</f>
        <v/>
      </c>
      <c r="S145" s="39" t="str">
        <f>IFERROR(VLOOKUP($B145,[4]평가!$B:$Z,MATCH(LEFT(S$2,2),[4]평가!$7:$7,0)-1,FALSE),"")</f>
        <v/>
      </c>
      <c r="T145" s="33" t="str">
        <f>IFERROR(VLOOKUP($B145,[5]평가!$B:$Z,MATCH(LEFT(T$2,2),[5]평가!$7:$7,0)-1,FALSE),"")</f>
        <v/>
      </c>
      <c r="U145" s="36" t="str">
        <f>IFERROR(VLOOKUP($B145,[5]평가!$B:$Z,MATCH(LEFT(U$2,2),[5]평가!$7:$7,0)-1,FALSE),"")</f>
        <v/>
      </c>
      <c r="V145" s="39" t="str">
        <f>IFERROR(VLOOKUP($B145,[5]평가!$B:$Z,MATCH(LEFT(V$2,2),[5]평가!$7:$7,0)-1,FALSE),"")</f>
        <v/>
      </c>
      <c r="W145" s="33" t="str">
        <f>IFERROR(VLOOKUP($B145,대상!$B:$AD,MATCH(W$2,대상!$1:$1,0)-1,FALSE),"")</f>
        <v/>
      </c>
      <c r="X145" s="20" t="str">
        <f t="shared" si="5"/>
        <v/>
      </c>
      <c r="Y145" s="21" t="e">
        <f t="shared" si="6"/>
        <v>#VALUE!</v>
      </c>
      <c r="Z145" s="40">
        <f>IFERROR(VLOOKUP($B145,대상!$B:$AD,MATCH(Z$2,대상!$1:$1,0)-1,FALSE),0)</f>
        <v>0</v>
      </c>
      <c r="AA145" s="41" t="str">
        <f t="shared" si="7"/>
        <v/>
      </c>
      <c r="AB145" s="35" t="e">
        <f t="shared" si="8"/>
        <v>#VALUE!</v>
      </c>
      <c r="AC145" s="54" t="str">
        <f t="shared" si="9"/>
        <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
      </c>
    </row>
    <row r="146" spans="1:32" ht="30" hidden="1" customHeight="1" x14ac:dyDescent="0.35">
      <c r="A146" s="4">
        <v>144</v>
      </c>
      <c r="B146" s="2"/>
      <c r="C146" s="38" t="str">
        <f>IFERROR(VLOOKUP($B146,대상!$B:$AC,MATCH(C$2,대상!$1:$1,0)-1,FALSE),"")</f>
        <v/>
      </c>
      <c r="D146" s="38" t="str">
        <f>IFERROR(VLOOKUP($B146,대상!$B:$AC,MATCH(D$2,대상!$1:$1,0)-1,FALSE),"")</f>
        <v/>
      </c>
      <c r="E146" s="36" t="str">
        <f>IFERROR(VLOOKUP($B146,대상!$B:$AC,MATCH(E$2,대상!$1:$1,0)-1,FALSE),"")</f>
        <v/>
      </c>
      <c r="F146" s="38" t="str">
        <f>IFERROR(VLOOKUP($B146,대상!$B:$AC,MATCH(F$2,대상!$1:$1,0)-1,FALSE),"")</f>
        <v/>
      </c>
      <c r="G146" s="38" t="str">
        <f>IFERROR(VLOOKUP($B146,대상!$B:$AC,MATCH(G$2,대상!$1:$1,0)-1,FALSE),"")</f>
        <v/>
      </c>
      <c r="H146" s="33" t="str">
        <f>IFERROR(VLOOKUP($B146,[1]평가!$B:$Z,MATCH(LEFT(H$2,2),[1]평가!$7:$7,0)-1,FALSE),"")</f>
        <v/>
      </c>
      <c r="I146" s="36" t="str">
        <f>IFERROR(VLOOKUP($B146,[1]평가!$B:$Z,MATCH(LEFT(I$2,2),[1]평가!$7:$7,0)-1,FALSE),"")</f>
        <v/>
      </c>
      <c r="J146" s="36" t="str">
        <f>IFERROR(VLOOKUP($B146,[1]평가!$B:$Z,MATCH(LEFT(J$2,2),[1]평가!$7:$7,0)-1,FALSE),"")</f>
        <v/>
      </c>
      <c r="K146" s="33" t="str">
        <f>IFERROR(VLOOKUP($B146,[2]평가!$B:$Z,MATCH(LEFT(K$2,2),[2]평가!$7:$7,0)-1,FALSE),"")</f>
        <v/>
      </c>
      <c r="L146" s="36" t="str">
        <f>IFERROR(VLOOKUP($B146,[2]평가!$B:$Z,MATCH(LEFT(L$2,2),[2]평가!$7:$7,0)-1,FALSE),"")</f>
        <v/>
      </c>
      <c r="M146" s="39" t="str">
        <f>IFERROR(VLOOKUP($B146,[2]평가!$B:$Z,MATCH(LEFT(M$2,2),[2]평가!$7:$7,0)-1,FALSE),"")</f>
        <v/>
      </c>
      <c r="N146" s="33" t="str">
        <f>IFERROR(VLOOKUP($B146,[3]평가!$B:$Z,MATCH(LEFT(N$2,2),[3]평가!$7:$7,0)-1,FALSE),"")</f>
        <v/>
      </c>
      <c r="O146" s="36" t="str">
        <f>IFERROR(VLOOKUP($B146,[3]평가!$B:$Z,MATCH(LEFT(O$2,2),[3]평가!$7:$7,0)-1,FALSE),"")</f>
        <v/>
      </c>
      <c r="P146" s="39" t="str">
        <f>IFERROR(VLOOKUP($B146,[3]평가!$B:$Z,MATCH(LEFT(P$2,2),[3]평가!$7:$7,0)-1,FALSE),"")</f>
        <v/>
      </c>
      <c r="Q146" s="33" t="str">
        <f>IFERROR(VLOOKUP($B146,[4]평가!$B:$Z,MATCH(LEFT(Q$2,2),[4]평가!$7:$7,0)-1,FALSE),"")</f>
        <v/>
      </c>
      <c r="R146" s="36" t="str">
        <f>IFERROR(VLOOKUP($B146,[4]평가!$B:$Z,MATCH(LEFT(R$2,2),[4]평가!$7:$7,0)-1,FALSE),"")</f>
        <v/>
      </c>
      <c r="S146" s="39" t="str">
        <f>IFERROR(VLOOKUP($B146,[4]평가!$B:$Z,MATCH(LEFT(S$2,2),[4]평가!$7:$7,0)-1,FALSE),"")</f>
        <v/>
      </c>
      <c r="T146" s="33" t="str">
        <f>IFERROR(VLOOKUP($B146,[5]평가!$B:$Z,MATCH(LEFT(T$2,2),[5]평가!$7:$7,0)-1,FALSE),"")</f>
        <v/>
      </c>
      <c r="U146" s="36" t="str">
        <f>IFERROR(VLOOKUP($B146,[5]평가!$B:$Z,MATCH(LEFT(U$2,2),[5]평가!$7:$7,0)-1,FALSE),"")</f>
        <v/>
      </c>
      <c r="V146" s="39" t="str">
        <f>IFERROR(VLOOKUP($B146,[5]평가!$B:$Z,MATCH(LEFT(V$2,2),[5]평가!$7:$7,0)-1,FALSE),"")</f>
        <v/>
      </c>
      <c r="W146" s="33" t="str">
        <f>IFERROR(VLOOKUP($B146,대상!$B:$AD,MATCH(W$2,대상!$1:$1,0)-1,FALSE),"")</f>
        <v/>
      </c>
      <c r="X146" s="20" t="str">
        <f t="shared" si="5"/>
        <v/>
      </c>
      <c r="Y146" s="21" t="e">
        <f t="shared" si="6"/>
        <v>#VALUE!</v>
      </c>
      <c r="Z146" s="40">
        <f>IFERROR(VLOOKUP($B146,대상!$B:$AD,MATCH(Z$2,대상!$1:$1,0)-1,FALSE),0)</f>
        <v>0</v>
      </c>
      <c r="AA146" s="41" t="str">
        <f t="shared" si="7"/>
        <v/>
      </c>
      <c r="AB146" s="35" t="e">
        <f t="shared" si="8"/>
        <v>#VALUE!</v>
      </c>
      <c r="AC146" s="54" t="str">
        <f t="shared" si="9"/>
        <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
      </c>
    </row>
    <row r="147" spans="1:32" ht="30" hidden="1" customHeight="1" x14ac:dyDescent="0.35">
      <c r="A147" s="4">
        <v>145</v>
      </c>
      <c r="B147" s="2"/>
      <c r="C147" s="38" t="str">
        <f>IFERROR(VLOOKUP($B147,대상!$B:$AC,MATCH(C$2,대상!$1:$1,0)-1,FALSE),"")</f>
        <v/>
      </c>
      <c r="D147" s="38" t="str">
        <f>IFERROR(VLOOKUP($B147,대상!$B:$AC,MATCH(D$2,대상!$1:$1,0)-1,FALSE),"")</f>
        <v/>
      </c>
      <c r="E147" s="36" t="str">
        <f>IFERROR(VLOOKUP($B147,대상!$B:$AC,MATCH(E$2,대상!$1:$1,0)-1,FALSE),"")</f>
        <v/>
      </c>
      <c r="F147" s="38" t="str">
        <f>IFERROR(VLOOKUP($B147,대상!$B:$AC,MATCH(F$2,대상!$1:$1,0)-1,FALSE),"")</f>
        <v/>
      </c>
      <c r="G147" s="38" t="str">
        <f>IFERROR(VLOOKUP($B147,대상!$B:$AC,MATCH(G$2,대상!$1:$1,0)-1,FALSE),"")</f>
        <v/>
      </c>
      <c r="H147" s="33" t="str">
        <f>IFERROR(VLOOKUP($B147,[1]평가!$B:$Z,MATCH(LEFT(H$2,2),[1]평가!$7:$7,0)-1,FALSE),"")</f>
        <v/>
      </c>
      <c r="I147" s="36" t="str">
        <f>IFERROR(VLOOKUP($B147,[1]평가!$B:$Z,MATCH(LEFT(I$2,2),[1]평가!$7:$7,0)-1,FALSE),"")</f>
        <v/>
      </c>
      <c r="J147" s="36" t="str">
        <f>IFERROR(VLOOKUP($B147,[1]평가!$B:$Z,MATCH(LEFT(J$2,2),[1]평가!$7:$7,0)-1,FALSE),"")</f>
        <v/>
      </c>
      <c r="K147" s="33" t="str">
        <f>IFERROR(VLOOKUP($B147,[2]평가!$B:$Z,MATCH(LEFT(K$2,2),[2]평가!$7:$7,0)-1,FALSE),"")</f>
        <v/>
      </c>
      <c r="L147" s="36" t="str">
        <f>IFERROR(VLOOKUP($B147,[2]평가!$B:$Z,MATCH(LEFT(L$2,2),[2]평가!$7:$7,0)-1,FALSE),"")</f>
        <v/>
      </c>
      <c r="M147" s="39" t="str">
        <f>IFERROR(VLOOKUP($B147,[2]평가!$B:$Z,MATCH(LEFT(M$2,2),[2]평가!$7:$7,0)-1,FALSE),"")</f>
        <v/>
      </c>
      <c r="N147" s="33" t="str">
        <f>IFERROR(VLOOKUP($B147,[3]평가!$B:$Z,MATCH(LEFT(N$2,2),[3]평가!$7:$7,0)-1,FALSE),"")</f>
        <v/>
      </c>
      <c r="O147" s="36" t="str">
        <f>IFERROR(VLOOKUP($B147,[3]평가!$B:$Z,MATCH(LEFT(O$2,2),[3]평가!$7:$7,0)-1,FALSE),"")</f>
        <v/>
      </c>
      <c r="P147" s="39" t="str">
        <f>IFERROR(VLOOKUP($B147,[3]평가!$B:$Z,MATCH(LEFT(P$2,2),[3]평가!$7:$7,0)-1,FALSE),"")</f>
        <v/>
      </c>
      <c r="Q147" s="33" t="str">
        <f>IFERROR(VLOOKUP($B147,[4]평가!$B:$Z,MATCH(LEFT(Q$2,2),[4]평가!$7:$7,0)-1,FALSE),"")</f>
        <v/>
      </c>
      <c r="R147" s="36" t="str">
        <f>IFERROR(VLOOKUP($B147,[4]평가!$B:$Z,MATCH(LEFT(R$2,2),[4]평가!$7:$7,0)-1,FALSE),"")</f>
        <v/>
      </c>
      <c r="S147" s="39" t="str">
        <f>IFERROR(VLOOKUP($B147,[4]평가!$B:$Z,MATCH(LEFT(S$2,2),[4]평가!$7:$7,0)-1,FALSE),"")</f>
        <v/>
      </c>
      <c r="T147" s="33" t="str">
        <f>IFERROR(VLOOKUP($B147,[5]평가!$B:$Z,MATCH(LEFT(T$2,2),[5]평가!$7:$7,0)-1,FALSE),"")</f>
        <v/>
      </c>
      <c r="U147" s="36" t="str">
        <f>IFERROR(VLOOKUP($B147,[5]평가!$B:$Z,MATCH(LEFT(U$2,2),[5]평가!$7:$7,0)-1,FALSE),"")</f>
        <v/>
      </c>
      <c r="V147" s="39" t="str">
        <f>IFERROR(VLOOKUP($B147,[5]평가!$B:$Z,MATCH(LEFT(V$2,2),[5]평가!$7:$7,0)-1,FALSE),"")</f>
        <v/>
      </c>
      <c r="W147" s="33" t="str">
        <f>IFERROR(VLOOKUP($B147,대상!$B:$AD,MATCH(W$2,대상!$1:$1,0)-1,FALSE),"")</f>
        <v/>
      </c>
      <c r="X147" s="20" t="str">
        <f t="shared" si="5"/>
        <v/>
      </c>
      <c r="Y147" s="21" t="e">
        <f t="shared" si="6"/>
        <v>#VALUE!</v>
      </c>
      <c r="Z147" s="40">
        <f>IFERROR(VLOOKUP($B147,대상!$B:$AD,MATCH(Z$2,대상!$1:$1,0)-1,FALSE),0)</f>
        <v>0</v>
      </c>
      <c r="AA147" s="41" t="str">
        <f t="shared" si="7"/>
        <v/>
      </c>
      <c r="AB147" s="35" t="e">
        <f t="shared" si="8"/>
        <v>#VALUE!</v>
      </c>
      <c r="AC147" s="54" t="str">
        <f t="shared" si="9"/>
        <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
      </c>
    </row>
    <row r="148" spans="1:32" ht="30" hidden="1" customHeight="1" x14ac:dyDescent="0.35">
      <c r="A148" s="4">
        <v>146</v>
      </c>
      <c r="B148" s="2"/>
      <c r="C148" s="38" t="str">
        <f>IFERROR(VLOOKUP($B148,대상!$B:$AC,MATCH(C$2,대상!$1:$1,0)-1,FALSE),"")</f>
        <v/>
      </c>
      <c r="D148" s="38" t="str">
        <f>IFERROR(VLOOKUP($B148,대상!$B:$AC,MATCH(D$2,대상!$1:$1,0)-1,FALSE),"")</f>
        <v/>
      </c>
      <c r="E148" s="36" t="str">
        <f>IFERROR(VLOOKUP($B148,대상!$B:$AC,MATCH(E$2,대상!$1:$1,0)-1,FALSE),"")</f>
        <v/>
      </c>
      <c r="F148" s="38" t="str">
        <f>IFERROR(VLOOKUP($B148,대상!$B:$AC,MATCH(F$2,대상!$1:$1,0)-1,FALSE),"")</f>
        <v/>
      </c>
      <c r="G148" s="38" t="str">
        <f>IFERROR(VLOOKUP($B148,대상!$B:$AC,MATCH(G$2,대상!$1:$1,0)-1,FALSE),"")</f>
        <v/>
      </c>
      <c r="H148" s="33" t="str">
        <f>IFERROR(VLOOKUP($B148,[1]평가!$B:$Z,MATCH(LEFT(H$2,2),[1]평가!$7:$7,0)-1,FALSE),"")</f>
        <v/>
      </c>
      <c r="I148" s="36" t="str">
        <f>IFERROR(VLOOKUP($B148,[1]평가!$B:$Z,MATCH(LEFT(I$2,2),[1]평가!$7:$7,0)-1,FALSE),"")</f>
        <v/>
      </c>
      <c r="J148" s="36" t="str">
        <f>IFERROR(VLOOKUP($B148,[1]평가!$B:$Z,MATCH(LEFT(J$2,2),[1]평가!$7:$7,0)-1,FALSE),"")</f>
        <v/>
      </c>
      <c r="K148" s="33" t="str">
        <f>IFERROR(VLOOKUP($B148,[2]평가!$B:$Z,MATCH(LEFT(K$2,2),[2]평가!$7:$7,0)-1,FALSE),"")</f>
        <v/>
      </c>
      <c r="L148" s="36" t="str">
        <f>IFERROR(VLOOKUP($B148,[2]평가!$B:$Z,MATCH(LEFT(L$2,2),[2]평가!$7:$7,0)-1,FALSE),"")</f>
        <v/>
      </c>
      <c r="M148" s="39" t="str">
        <f>IFERROR(VLOOKUP($B148,[2]평가!$B:$Z,MATCH(LEFT(M$2,2),[2]평가!$7:$7,0)-1,FALSE),"")</f>
        <v/>
      </c>
      <c r="N148" s="33" t="str">
        <f>IFERROR(VLOOKUP($B148,[3]평가!$B:$Z,MATCH(LEFT(N$2,2),[3]평가!$7:$7,0)-1,FALSE),"")</f>
        <v/>
      </c>
      <c r="O148" s="36" t="str">
        <f>IFERROR(VLOOKUP($B148,[3]평가!$B:$Z,MATCH(LEFT(O$2,2),[3]평가!$7:$7,0)-1,FALSE),"")</f>
        <v/>
      </c>
      <c r="P148" s="39" t="str">
        <f>IFERROR(VLOOKUP($B148,[3]평가!$B:$Z,MATCH(LEFT(P$2,2),[3]평가!$7:$7,0)-1,FALSE),"")</f>
        <v/>
      </c>
      <c r="Q148" s="33" t="str">
        <f>IFERROR(VLOOKUP($B148,[4]평가!$B:$Z,MATCH(LEFT(Q$2,2),[4]평가!$7:$7,0)-1,FALSE),"")</f>
        <v/>
      </c>
      <c r="R148" s="36" t="str">
        <f>IFERROR(VLOOKUP($B148,[4]평가!$B:$Z,MATCH(LEFT(R$2,2),[4]평가!$7:$7,0)-1,FALSE),"")</f>
        <v/>
      </c>
      <c r="S148" s="39" t="str">
        <f>IFERROR(VLOOKUP($B148,[4]평가!$B:$Z,MATCH(LEFT(S$2,2),[4]평가!$7:$7,0)-1,FALSE),"")</f>
        <v/>
      </c>
      <c r="T148" s="33" t="str">
        <f>IFERROR(VLOOKUP($B148,[5]평가!$B:$Z,MATCH(LEFT(T$2,2),[5]평가!$7:$7,0)-1,FALSE),"")</f>
        <v/>
      </c>
      <c r="U148" s="36" t="str">
        <f>IFERROR(VLOOKUP($B148,[5]평가!$B:$Z,MATCH(LEFT(U$2,2),[5]평가!$7:$7,0)-1,FALSE),"")</f>
        <v/>
      </c>
      <c r="V148" s="39" t="str">
        <f>IFERROR(VLOOKUP($B148,[5]평가!$B:$Z,MATCH(LEFT(V$2,2),[5]평가!$7:$7,0)-1,FALSE),"")</f>
        <v/>
      </c>
      <c r="W148" s="33" t="str">
        <f>IFERROR(VLOOKUP($B148,대상!$B:$AD,MATCH(W$2,대상!$1:$1,0)-1,FALSE),"")</f>
        <v/>
      </c>
      <c r="X148" s="20" t="str">
        <f t="shared" si="5"/>
        <v/>
      </c>
      <c r="Y148" s="21" t="e">
        <f t="shared" si="6"/>
        <v>#VALUE!</v>
      </c>
      <c r="Z148" s="40">
        <f>IFERROR(VLOOKUP($B148,대상!$B:$AD,MATCH(Z$2,대상!$1:$1,0)-1,FALSE),0)</f>
        <v>0</v>
      </c>
      <c r="AA148" s="41" t="str">
        <f t="shared" si="7"/>
        <v/>
      </c>
      <c r="AB148" s="35" t="e">
        <f t="shared" si="8"/>
        <v>#VALUE!</v>
      </c>
      <c r="AC148" s="54" t="str">
        <f t="shared" si="9"/>
        <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
      </c>
    </row>
    <row r="149" spans="1:32" ht="30" hidden="1" customHeight="1" x14ac:dyDescent="0.35">
      <c r="A149" s="4">
        <v>147</v>
      </c>
      <c r="B149" s="2"/>
      <c r="C149" s="38" t="str">
        <f>IFERROR(VLOOKUP($B149,대상!$B:$AC,MATCH(C$2,대상!$1:$1,0)-1,FALSE),"")</f>
        <v/>
      </c>
      <c r="D149" s="38" t="str">
        <f>IFERROR(VLOOKUP($B149,대상!$B:$AC,MATCH(D$2,대상!$1:$1,0)-1,FALSE),"")</f>
        <v/>
      </c>
      <c r="E149" s="36" t="str">
        <f>IFERROR(VLOOKUP($B149,대상!$B:$AC,MATCH(E$2,대상!$1:$1,0)-1,FALSE),"")</f>
        <v/>
      </c>
      <c r="F149" s="38" t="str">
        <f>IFERROR(VLOOKUP($B149,대상!$B:$AC,MATCH(F$2,대상!$1:$1,0)-1,FALSE),"")</f>
        <v/>
      </c>
      <c r="G149" s="38" t="str">
        <f>IFERROR(VLOOKUP($B149,대상!$B:$AC,MATCH(G$2,대상!$1:$1,0)-1,FALSE),"")</f>
        <v/>
      </c>
      <c r="H149" s="33" t="str">
        <f>IFERROR(VLOOKUP($B149,[1]평가!$B:$Z,MATCH(LEFT(H$2,2),[1]평가!$7:$7,0)-1,FALSE),"")</f>
        <v/>
      </c>
      <c r="I149" s="36" t="str">
        <f>IFERROR(VLOOKUP($B149,[1]평가!$B:$Z,MATCH(LEFT(I$2,2),[1]평가!$7:$7,0)-1,FALSE),"")</f>
        <v/>
      </c>
      <c r="J149" s="36" t="str">
        <f>IFERROR(VLOOKUP($B149,[1]평가!$B:$Z,MATCH(LEFT(J$2,2),[1]평가!$7:$7,0)-1,FALSE),"")</f>
        <v/>
      </c>
      <c r="K149" s="33" t="str">
        <f>IFERROR(VLOOKUP($B149,[2]평가!$B:$Z,MATCH(LEFT(K$2,2),[2]평가!$7:$7,0)-1,FALSE),"")</f>
        <v/>
      </c>
      <c r="L149" s="36" t="str">
        <f>IFERROR(VLOOKUP($B149,[2]평가!$B:$Z,MATCH(LEFT(L$2,2),[2]평가!$7:$7,0)-1,FALSE),"")</f>
        <v/>
      </c>
      <c r="M149" s="39" t="str">
        <f>IFERROR(VLOOKUP($B149,[2]평가!$B:$Z,MATCH(LEFT(M$2,2),[2]평가!$7:$7,0)-1,FALSE),"")</f>
        <v/>
      </c>
      <c r="N149" s="33" t="str">
        <f>IFERROR(VLOOKUP($B149,[3]평가!$B:$Z,MATCH(LEFT(N$2,2),[3]평가!$7:$7,0)-1,FALSE),"")</f>
        <v/>
      </c>
      <c r="O149" s="36" t="str">
        <f>IFERROR(VLOOKUP($B149,[3]평가!$B:$Z,MATCH(LEFT(O$2,2),[3]평가!$7:$7,0)-1,FALSE),"")</f>
        <v/>
      </c>
      <c r="P149" s="39" t="str">
        <f>IFERROR(VLOOKUP($B149,[3]평가!$B:$Z,MATCH(LEFT(P$2,2),[3]평가!$7:$7,0)-1,FALSE),"")</f>
        <v/>
      </c>
      <c r="Q149" s="33" t="str">
        <f>IFERROR(VLOOKUP($B149,[4]평가!$B:$Z,MATCH(LEFT(Q$2,2),[4]평가!$7:$7,0)-1,FALSE),"")</f>
        <v/>
      </c>
      <c r="R149" s="36" t="str">
        <f>IFERROR(VLOOKUP($B149,[4]평가!$B:$Z,MATCH(LEFT(R$2,2),[4]평가!$7:$7,0)-1,FALSE),"")</f>
        <v/>
      </c>
      <c r="S149" s="39" t="str">
        <f>IFERROR(VLOOKUP($B149,[4]평가!$B:$Z,MATCH(LEFT(S$2,2),[4]평가!$7:$7,0)-1,FALSE),"")</f>
        <v/>
      </c>
      <c r="T149" s="33" t="str">
        <f>IFERROR(VLOOKUP($B149,[5]평가!$B:$Z,MATCH(LEFT(T$2,2),[5]평가!$7:$7,0)-1,FALSE),"")</f>
        <v/>
      </c>
      <c r="U149" s="36" t="str">
        <f>IFERROR(VLOOKUP($B149,[5]평가!$B:$Z,MATCH(LEFT(U$2,2),[5]평가!$7:$7,0)-1,FALSE),"")</f>
        <v/>
      </c>
      <c r="V149" s="39" t="str">
        <f>IFERROR(VLOOKUP($B149,[5]평가!$B:$Z,MATCH(LEFT(V$2,2),[5]평가!$7:$7,0)-1,FALSE),"")</f>
        <v/>
      </c>
      <c r="W149" s="33" t="str">
        <f>IFERROR(VLOOKUP($B149,대상!$B:$AD,MATCH(W$2,대상!$1:$1,0)-1,FALSE),"")</f>
        <v/>
      </c>
      <c r="X149" s="20" t="str">
        <f t="shared" si="5"/>
        <v/>
      </c>
      <c r="Y149" s="21" t="e">
        <f t="shared" si="6"/>
        <v>#VALUE!</v>
      </c>
      <c r="Z149" s="40">
        <f>IFERROR(VLOOKUP($B149,대상!$B:$AD,MATCH(Z$2,대상!$1:$1,0)-1,FALSE),0)</f>
        <v>0</v>
      </c>
      <c r="AA149" s="41" t="str">
        <f t="shared" si="7"/>
        <v/>
      </c>
      <c r="AB149" s="35" t="e">
        <f t="shared" si="8"/>
        <v>#VALUE!</v>
      </c>
      <c r="AC149" s="54" t="str">
        <f t="shared" si="9"/>
        <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
      </c>
    </row>
    <row r="150" spans="1:32" ht="30" hidden="1" customHeight="1" x14ac:dyDescent="0.35">
      <c r="A150" s="4">
        <v>148</v>
      </c>
      <c r="B150" s="2"/>
      <c r="C150" s="38" t="str">
        <f>IFERROR(VLOOKUP($B150,대상!$B:$AC,MATCH(C$2,대상!$1:$1,0)-1,FALSE),"")</f>
        <v/>
      </c>
      <c r="D150" s="38" t="str">
        <f>IFERROR(VLOOKUP($B150,대상!$B:$AC,MATCH(D$2,대상!$1:$1,0)-1,FALSE),"")</f>
        <v/>
      </c>
      <c r="E150" s="36" t="str">
        <f>IFERROR(VLOOKUP($B150,대상!$B:$AC,MATCH(E$2,대상!$1:$1,0)-1,FALSE),"")</f>
        <v/>
      </c>
      <c r="F150" s="38" t="str">
        <f>IFERROR(VLOOKUP($B150,대상!$B:$AC,MATCH(F$2,대상!$1:$1,0)-1,FALSE),"")</f>
        <v/>
      </c>
      <c r="G150" s="38" t="str">
        <f>IFERROR(VLOOKUP($B150,대상!$B:$AC,MATCH(G$2,대상!$1:$1,0)-1,FALSE),"")</f>
        <v/>
      </c>
      <c r="H150" s="33" t="str">
        <f>IFERROR(VLOOKUP($B150,[1]평가!$B:$Z,MATCH(LEFT(H$2,2),[1]평가!$7:$7,0)-1,FALSE),"")</f>
        <v/>
      </c>
      <c r="I150" s="36" t="str">
        <f>IFERROR(VLOOKUP($B150,[1]평가!$B:$Z,MATCH(LEFT(I$2,2),[1]평가!$7:$7,0)-1,FALSE),"")</f>
        <v/>
      </c>
      <c r="J150" s="36" t="str">
        <f>IFERROR(VLOOKUP($B150,[1]평가!$B:$Z,MATCH(LEFT(J$2,2),[1]평가!$7:$7,0)-1,FALSE),"")</f>
        <v/>
      </c>
      <c r="K150" s="33" t="str">
        <f>IFERROR(VLOOKUP($B150,[2]평가!$B:$Z,MATCH(LEFT(K$2,2),[2]평가!$7:$7,0)-1,FALSE),"")</f>
        <v/>
      </c>
      <c r="L150" s="36" t="str">
        <f>IFERROR(VLOOKUP($B150,[2]평가!$B:$Z,MATCH(LEFT(L$2,2),[2]평가!$7:$7,0)-1,FALSE),"")</f>
        <v/>
      </c>
      <c r="M150" s="39" t="str">
        <f>IFERROR(VLOOKUP($B150,[2]평가!$B:$Z,MATCH(LEFT(M$2,2),[2]평가!$7:$7,0)-1,FALSE),"")</f>
        <v/>
      </c>
      <c r="N150" s="33" t="str">
        <f>IFERROR(VLOOKUP($B150,[3]평가!$B:$Z,MATCH(LEFT(N$2,2),[3]평가!$7:$7,0)-1,FALSE),"")</f>
        <v/>
      </c>
      <c r="O150" s="36" t="str">
        <f>IFERROR(VLOOKUP($B150,[3]평가!$B:$Z,MATCH(LEFT(O$2,2),[3]평가!$7:$7,0)-1,FALSE),"")</f>
        <v/>
      </c>
      <c r="P150" s="39" t="str">
        <f>IFERROR(VLOOKUP($B150,[3]평가!$B:$Z,MATCH(LEFT(P$2,2),[3]평가!$7:$7,0)-1,FALSE),"")</f>
        <v/>
      </c>
      <c r="Q150" s="33" t="str">
        <f>IFERROR(VLOOKUP($B150,[4]평가!$B:$Z,MATCH(LEFT(Q$2,2),[4]평가!$7:$7,0)-1,FALSE),"")</f>
        <v/>
      </c>
      <c r="R150" s="36" t="str">
        <f>IFERROR(VLOOKUP($B150,[4]평가!$B:$Z,MATCH(LEFT(R$2,2),[4]평가!$7:$7,0)-1,FALSE),"")</f>
        <v/>
      </c>
      <c r="S150" s="39" t="str">
        <f>IFERROR(VLOOKUP($B150,[4]평가!$B:$Z,MATCH(LEFT(S$2,2),[4]평가!$7:$7,0)-1,FALSE),"")</f>
        <v/>
      </c>
      <c r="T150" s="33" t="str">
        <f>IFERROR(VLOOKUP($B150,[5]평가!$B:$Z,MATCH(LEFT(T$2,2),[5]평가!$7:$7,0)-1,FALSE),"")</f>
        <v/>
      </c>
      <c r="U150" s="36" t="str">
        <f>IFERROR(VLOOKUP($B150,[5]평가!$B:$Z,MATCH(LEFT(U$2,2),[5]평가!$7:$7,0)-1,FALSE),"")</f>
        <v/>
      </c>
      <c r="V150" s="39" t="str">
        <f>IFERROR(VLOOKUP($B150,[5]평가!$B:$Z,MATCH(LEFT(V$2,2),[5]평가!$7:$7,0)-1,FALSE),"")</f>
        <v/>
      </c>
      <c r="W150" s="33" t="str">
        <f>IFERROR(VLOOKUP($B150,대상!$B:$AD,MATCH(W$2,대상!$1:$1,0)-1,FALSE),"")</f>
        <v/>
      </c>
      <c r="X150" s="20" t="str">
        <f t="shared" si="5"/>
        <v/>
      </c>
      <c r="Y150" s="21" t="e">
        <f t="shared" si="6"/>
        <v>#VALUE!</v>
      </c>
      <c r="Z150" s="40">
        <f>IFERROR(VLOOKUP($B150,대상!$B:$AD,MATCH(Z$2,대상!$1:$1,0)-1,FALSE),0)</f>
        <v>0</v>
      </c>
      <c r="AA150" s="41" t="str">
        <f t="shared" si="7"/>
        <v/>
      </c>
      <c r="AB150" s="35" t="e">
        <f t="shared" si="8"/>
        <v>#VALUE!</v>
      </c>
      <c r="AC150" s="54" t="str">
        <f t="shared" si="9"/>
        <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
      </c>
    </row>
    <row r="151" spans="1:32" ht="30" hidden="1" customHeight="1" x14ac:dyDescent="0.35">
      <c r="A151" s="4">
        <v>149</v>
      </c>
      <c r="B151" s="2"/>
      <c r="C151" s="38" t="str">
        <f>IFERROR(VLOOKUP($B151,대상!$B:$AC,MATCH(C$2,대상!$1:$1,0)-1,FALSE),"")</f>
        <v/>
      </c>
      <c r="D151" s="38" t="str">
        <f>IFERROR(VLOOKUP($B151,대상!$B:$AC,MATCH(D$2,대상!$1:$1,0)-1,FALSE),"")</f>
        <v/>
      </c>
      <c r="E151" s="36" t="str">
        <f>IFERROR(VLOOKUP($B151,대상!$B:$AC,MATCH(E$2,대상!$1:$1,0)-1,FALSE),"")</f>
        <v/>
      </c>
      <c r="F151" s="38" t="str">
        <f>IFERROR(VLOOKUP($B151,대상!$B:$AC,MATCH(F$2,대상!$1:$1,0)-1,FALSE),"")</f>
        <v/>
      </c>
      <c r="G151" s="38" t="str">
        <f>IFERROR(VLOOKUP($B151,대상!$B:$AC,MATCH(G$2,대상!$1:$1,0)-1,FALSE),"")</f>
        <v/>
      </c>
      <c r="H151" s="33" t="str">
        <f>IFERROR(VLOOKUP($B151,[1]평가!$B:$Z,MATCH(LEFT(H$2,2),[1]평가!$7:$7,0)-1,FALSE),"")</f>
        <v/>
      </c>
      <c r="I151" s="36" t="str">
        <f>IFERROR(VLOOKUP($B151,[1]평가!$B:$Z,MATCH(LEFT(I$2,2),[1]평가!$7:$7,0)-1,FALSE),"")</f>
        <v/>
      </c>
      <c r="J151" s="36" t="str">
        <f>IFERROR(VLOOKUP($B151,[1]평가!$B:$Z,MATCH(LEFT(J$2,2),[1]평가!$7:$7,0)-1,FALSE),"")</f>
        <v/>
      </c>
      <c r="K151" s="33" t="str">
        <f>IFERROR(VLOOKUP($B151,[2]평가!$B:$Z,MATCH(LEFT(K$2,2),[2]평가!$7:$7,0)-1,FALSE),"")</f>
        <v/>
      </c>
      <c r="L151" s="36" t="str">
        <f>IFERROR(VLOOKUP($B151,[2]평가!$B:$Z,MATCH(LEFT(L$2,2),[2]평가!$7:$7,0)-1,FALSE),"")</f>
        <v/>
      </c>
      <c r="M151" s="39" t="str">
        <f>IFERROR(VLOOKUP($B151,[2]평가!$B:$Z,MATCH(LEFT(M$2,2),[2]평가!$7:$7,0)-1,FALSE),"")</f>
        <v/>
      </c>
      <c r="N151" s="33" t="str">
        <f>IFERROR(VLOOKUP($B151,[3]평가!$B:$Z,MATCH(LEFT(N$2,2),[3]평가!$7:$7,0)-1,FALSE),"")</f>
        <v/>
      </c>
      <c r="O151" s="36" t="str">
        <f>IFERROR(VLOOKUP($B151,[3]평가!$B:$Z,MATCH(LEFT(O$2,2),[3]평가!$7:$7,0)-1,FALSE),"")</f>
        <v/>
      </c>
      <c r="P151" s="39" t="str">
        <f>IFERROR(VLOOKUP($B151,[3]평가!$B:$Z,MATCH(LEFT(P$2,2),[3]평가!$7:$7,0)-1,FALSE),"")</f>
        <v/>
      </c>
      <c r="Q151" s="33" t="str">
        <f>IFERROR(VLOOKUP($B151,[4]평가!$B:$Z,MATCH(LEFT(Q$2,2),[4]평가!$7:$7,0)-1,FALSE),"")</f>
        <v/>
      </c>
      <c r="R151" s="36" t="str">
        <f>IFERROR(VLOOKUP($B151,[4]평가!$B:$Z,MATCH(LEFT(R$2,2),[4]평가!$7:$7,0)-1,FALSE),"")</f>
        <v/>
      </c>
      <c r="S151" s="39" t="str">
        <f>IFERROR(VLOOKUP($B151,[4]평가!$B:$Z,MATCH(LEFT(S$2,2),[4]평가!$7:$7,0)-1,FALSE),"")</f>
        <v/>
      </c>
      <c r="T151" s="33" t="str">
        <f>IFERROR(VLOOKUP($B151,[5]평가!$B:$Z,MATCH(LEFT(T$2,2),[5]평가!$7:$7,0)-1,FALSE),"")</f>
        <v/>
      </c>
      <c r="U151" s="36" t="str">
        <f>IFERROR(VLOOKUP($B151,[5]평가!$B:$Z,MATCH(LEFT(U$2,2),[5]평가!$7:$7,0)-1,FALSE),"")</f>
        <v/>
      </c>
      <c r="V151" s="39" t="str">
        <f>IFERROR(VLOOKUP($B151,[5]평가!$B:$Z,MATCH(LEFT(V$2,2),[5]평가!$7:$7,0)-1,FALSE),"")</f>
        <v/>
      </c>
      <c r="W151" s="33" t="str">
        <f>IFERROR(VLOOKUP($B151,대상!$B:$AD,MATCH(W$2,대상!$1:$1,0)-1,FALSE),"")</f>
        <v/>
      </c>
      <c r="X151" s="20" t="str">
        <f t="shared" si="5"/>
        <v/>
      </c>
      <c r="Y151" s="21" t="e">
        <f t="shared" si="6"/>
        <v>#VALUE!</v>
      </c>
      <c r="Z151" s="40">
        <f>IFERROR(VLOOKUP($B151,대상!$B:$AD,MATCH(Z$2,대상!$1:$1,0)-1,FALSE),0)</f>
        <v>0</v>
      </c>
      <c r="AA151" s="41" t="str">
        <f t="shared" si="7"/>
        <v/>
      </c>
      <c r="AB151" s="35" t="e">
        <f t="shared" si="8"/>
        <v>#VALUE!</v>
      </c>
      <c r="AC151" s="54" t="str">
        <f t="shared" si="9"/>
        <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
      </c>
    </row>
    <row r="152" spans="1:32" ht="30" hidden="1" customHeight="1" x14ac:dyDescent="0.35">
      <c r="A152" s="4">
        <v>150</v>
      </c>
      <c r="B152" s="2"/>
      <c r="C152" s="38" t="str">
        <f>IFERROR(VLOOKUP($B152,대상!$B:$AC,MATCH(C$2,대상!$1:$1,0)-1,FALSE),"")</f>
        <v/>
      </c>
      <c r="D152" s="38" t="str">
        <f>IFERROR(VLOOKUP($B152,대상!$B:$AC,MATCH(D$2,대상!$1:$1,0)-1,FALSE),"")</f>
        <v/>
      </c>
      <c r="E152" s="36" t="str">
        <f>IFERROR(VLOOKUP($B152,대상!$B:$AC,MATCH(E$2,대상!$1:$1,0)-1,FALSE),"")</f>
        <v/>
      </c>
      <c r="F152" s="38" t="str">
        <f>IFERROR(VLOOKUP($B152,대상!$B:$AC,MATCH(F$2,대상!$1:$1,0)-1,FALSE),"")</f>
        <v/>
      </c>
      <c r="G152" s="38" t="str">
        <f>IFERROR(VLOOKUP($B152,대상!$B:$AC,MATCH(G$2,대상!$1:$1,0)-1,FALSE),"")</f>
        <v/>
      </c>
      <c r="H152" s="33" t="str">
        <f>IFERROR(VLOOKUP($B152,[1]평가!$B:$Z,MATCH(LEFT(H$2,2),[1]평가!$7:$7,0)-1,FALSE),"")</f>
        <v/>
      </c>
      <c r="I152" s="36" t="str">
        <f>IFERROR(VLOOKUP($B152,[1]평가!$B:$Z,MATCH(LEFT(I$2,2),[1]평가!$7:$7,0)-1,FALSE),"")</f>
        <v/>
      </c>
      <c r="J152" s="36" t="str">
        <f>IFERROR(VLOOKUP($B152,[1]평가!$B:$Z,MATCH(LEFT(J$2,2),[1]평가!$7:$7,0)-1,FALSE),"")</f>
        <v/>
      </c>
      <c r="K152" s="33" t="str">
        <f>IFERROR(VLOOKUP($B152,[2]평가!$B:$Z,MATCH(LEFT(K$2,2),[2]평가!$7:$7,0)-1,FALSE),"")</f>
        <v/>
      </c>
      <c r="L152" s="36" t="str">
        <f>IFERROR(VLOOKUP($B152,[2]평가!$B:$Z,MATCH(LEFT(L$2,2),[2]평가!$7:$7,0)-1,FALSE),"")</f>
        <v/>
      </c>
      <c r="M152" s="39" t="str">
        <f>IFERROR(VLOOKUP($B152,[2]평가!$B:$Z,MATCH(LEFT(M$2,2),[2]평가!$7:$7,0)-1,FALSE),"")</f>
        <v/>
      </c>
      <c r="N152" s="33" t="str">
        <f>IFERROR(VLOOKUP($B152,[3]평가!$B:$Z,MATCH(LEFT(N$2,2),[3]평가!$7:$7,0)-1,FALSE),"")</f>
        <v/>
      </c>
      <c r="O152" s="36" t="str">
        <f>IFERROR(VLOOKUP($B152,[3]평가!$B:$Z,MATCH(LEFT(O$2,2),[3]평가!$7:$7,0)-1,FALSE),"")</f>
        <v/>
      </c>
      <c r="P152" s="39" t="str">
        <f>IFERROR(VLOOKUP($B152,[3]평가!$B:$Z,MATCH(LEFT(P$2,2),[3]평가!$7:$7,0)-1,FALSE),"")</f>
        <v/>
      </c>
      <c r="Q152" s="33" t="str">
        <f>IFERROR(VLOOKUP($B152,[4]평가!$B:$Z,MATCH(LEFT(Q$2,2),[4]평가!$7:$7,0)-1,FALSE),"")</f>
        <v/>
      </c>
      <c r="R152" s="36" t="str">
        <f>IFERROR(VLOOKUP($B152,[4]평가!$B:$Z,MATCH(LEFT(R$2,2),[4]평가!$7:$7,0)-1,FALSE),"")</f>
        <v/>
      </c>
      <c r="S152" s="39" t="str">
        <f>IFERROR(VLOOKUP($B152,[4]평가!$B:$Z,MATCH(LEFT(S$2,2),[4]평가!$7:$7,0)-1,FALSE),"")</f>
        <v/>
      </c>
      <c r="T152" s="33" t="str">
        <f>IFERROR(VLOOKUP($B152,[5]평가!$B:$Z,MATCH(LEFT(T$2,2),[5]평가!$7:$7,0)-1,FALSE),"")</f>
        <v/>
      </c>
      <c r="U152" s="36" t="str">
        <f>IFERROR(VLOOKUP($B152,[5]평가!$B:$Z,MATCH(LEFT(U$2,2),[5]평가!$7:$7,0)-1,FALSE),"")</f>
        <v/>
      </c>
      <c r="V152" s="39" t="str">
        <f>IFERROR(VLOOKUP($B152,[5]평가!$B:$Z,MATCH(LEFT(V$2,2),[5]평가!$7:$7,0)-1,FALSE),"")</f>
        <v/>
      </c>
      <c r="W152" s="33" t="str">
        <f>IFERROR(VLOOKUP($B152,대상!$B:$AD,MATCH(W$2,대상!$1:$1,0)-1,FALSE),"")</f>
        <v/>
      </c>
      <c r="X152" s="20" t="str">
        <f t="shared" si="5"/>
        <v/>
      </c>
      <c r="Y152" s="21" t="e">
        <f t="shared" si="6"/>
        <v>#VALUE!</v>
      </c>
      <c r="Z152" s="40">
        <f>IFERROR(VLOOKUP($B152,대상!$B:$AD,MATCH(Z$2,대상!$1:$1,0)-1,FALSE),0)</f>
        <v>0</v>
      </c>
      <c r="AA152" s="41" t="str">
        <f t="shared" si="7"/>
        <v/>
      </c>
      <c r="AB152" s="35" t="e">
        <f t="shared" si="8"/>
        <v>#VALUE!</v>
      </c>
      <c r="AC152" s="54" t="str">
        <f t="shared" si="9"/>
        <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
      </c>
    </row>
    <row r="153" spans="1:32" ht="30" hidden="1" customHeight="1" x14ac:dyDescent="0.35">
      <c r="A153" s="4">
        <v>151</v>
      </c>
      <c r="B153" s="2"/>
      <c r="C153" s="38" t="str">
        <f>IFERROR(VLOOKUP($B153,대상!$B:$AC,MATCH(C$2,대상!$1:$1,0)-1,FALSE),"")</f>
        <v/>
      </c>
      <c r="D153" s="38" t="str">
        <f>IFERROR(VLOOKUP($B153,대상!$B:$AC,MATCH(D$2,대상!$1:$1,0)-1,FALSE),"")</f>
        <v/>
      </c>
      <c r="E153" s="36" t="str">
        <f>IFERROR(VLOOKUP($B153,대상!$B:$AC,MATCH(E$2,대상!$1:$1,0)-1,FALSE),"")</f>
        <v/>
      </c>
      <c r="F153" s="38" t="str">
        <f>IFERROR(VLOOKUP($B153,대상!$B:$AC,MATCH(F$2,대상!$1:$1,0)-1,FALSE),"")</f>
        <v/>
      </c>
      <c r="G153" s="38" t="str">
        <f>IFERROR(VLOOKUP($B153,대상!$B:$AC,MATCH(G$2,대상!$1:$1,0)-1,FALSE),"")</f>
        <v/>
      </c>
      <c r="H153" s="33" t="str">
        <f>IFERROR(VLOOKUP($B153,[1]평가!$B:$Z,MATCH(LEFT(H$2,2),[1]평가!$7:$7,0)-1,FALSE),"")</f>
        <v/>
      </c>
      <c r="I153" s="36" t="str">
        <f>IFERROR(VLOOKUP($B153,[1]평가!$B:$Z,MATCH(LEFT(I$2,2),[1]평가!$7:$7,0)-1,FALSE),"")</f>
        <v/>
      </c>
      <c r="J153" s="36" t="str">
        <f>IFERROR(VLOOKUP($B153,[1]평가!$B:$Z,MATCH(LEFT(J$2,2),[1]평가!$7:$7,0)-1,FALSE),"")</f>
        <v/>
      </c>
      <c r="K153" s="33" t="str">
        <f>IFERROR(VLOOKUP($B153,[2]평가!$B:$Z,MATCH(LEFT(K$2,2),[2]평가!$7:$7,0)-1,FALSE),"")</f>
        <v/>
      </c>
      <c r="L153" s="36" t="str">
        <f>IFERROR(VLOOKUP($B153,[2]평가!$B:$Z,MATCH(LEFT(L$2,2),[2]평가!$7:$7,0)-1,FALSE),"")</f>
        <v/>
      </c>
      <c r="M153" s="39" t="str">
        <f>IFERROR(VLOOKUP($B153,[2]평가!$B:$Z,MATCH(LEFT(M$2,2),[2]평가!$7:$7,0)-1,FALSE),"")</f>
        <v/>
      </c>
      <c r="N153" s="33" t="str">
        <f>IFERROR(VLOOKUP($B153,[3]평가!$B:$Z,MATCH(LEFT(N$2,2),[3]평가!$7:$7,0)-1,FALSE),"")</f>
        <v/>
      </c>
      <c r="O153" s="36" t="str">
        <f>IFERROR(VLOOKUP($B153,[3]평가!$B:$Z,MATCH(LEFT(O$2,2),[3]평가!$7:$7,0)-1,FALSE),"")</f>
        <v/>
      </c>
      <c r="P153" s="39" t="str">
        <f>IFERROR(VLOOKUP($B153,[3]평가!$B:$Z,MATCH(LEFT(P$2,2),[3]평가!$7:$7,0)-1,FALSE),"")</f>
        <v/>
      </c>
      <c r="Q153" s="33" t="str">
        <f>IFERROR(VLOOKUP($B153,[4]평가!$B:$Z,MATCH(LEFT(Q$2,2),[4]평가!$7:$7,0)-1,FALSE),"")</f>
        <v/>
      </c>
      <c r="R153" s="36" t="str">
        <f>IFERROR(VLOOKUP($B153,[4]평가!$B:$Z,MATCH(LEFT(R$2,2),[4]평가!$7:$7,0)-1,FALSE),"")</f>
        <v/>
      </c>
      <c r="S153" s="39" t="str">
        <f>IFERROR(VLOOKUP($B153,[4]평가!$B:$Z,MATCH(LEFT(S$2,2),[4]평가!$7:$7,0)-1,FALSE),"")</f>
        <v/>
      </c>
      <c r="T153" s="33" t="str">
        <f>IFERROR(VLOOKUP($B153,[5]평가!$B:$Z,MATCH(LEFT(T$2,2),[5]평가!$7:$7,0)-1,FALSE),"")</f>
        <v/>
      </c>
      <c r="U153" s="36" t="str">
        <f>IFERROR(VLOOKUP($B153,[5]평가!$B:$Z,MATCH(LEFT(U$2,2),[5]평가!$7:$7,0)-1,FALSE),"")</f>
        <v/>
      </c>
      <c r="V153" s="39" t="str">
        <f>IFERROR(VLOOKUP($B153,[5]평가!$B:$Z,MATCH(LEFT(V$2,2),[5]평가!$7:$7,0)-1,FALSE),"")</f>
        <v/>
      </c>
      <c r="W153" s="33" t="str">
        <f>IFERROR(VLOOKUP($B153,대상!$B:$AD,MATCH(W$2,대상!$1:$1,0)-1,FALSE),"")</f>
        <v/>
      </c>
      <c r="X153" s="20" t="str">
        <f t="shared" si="5"/>
        <v/>
      </c>
      <c r="Y153" s="21" t="e">
        <f t="shared" si="6"/>
        <v>#VALUE!</v>
      </c>
      <c r="Z153" s="40">
        <f>IFERROR(VLOOKUP($B153,대상!$B:$AD,MATCH(Z$2,대상!$1:$1,0)-1,FALSE),0)</f>
        <v>0</v>
      </c>
      <c r="AA153" s="41" t="str">
        <f t="shared" si="7"/>
        <v/>
      </c>
      <c r="AB153" s="35" t="e">
        <f t="shared" si="8"/>
        <v>#VALUE!</v>
      </c>
      <c r="AC153" s="54" t="str">
        <f t="shared" si="9"/>
        <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
      </c>
    </row>
    <row r="154" spans="1:32" ht="30" hidden="1" customHeight="1" x14ac:dyDescent="0.35">
      <c r="A154" s="4">
        <v>152</v>
      </c>
      <c r="B154" s="2"/>
      <c r="C154" s="38" t="str">
        <f>IFERROR(VLOOKUP($B154,대상!$B:$AC,MATCH(C$2,대상!$1:$1,0)-1,FALSE),"")</f>
        <v/>
      </c>
      <c r="D154" s="38" t="str">
        <f>IFERROR(VLOOKUP($B154,대상!$B:$AC,MATCH(D$2,대상!$1:$1,0)-1,FALSE),"")</f>
        <v/>
      </c>
      <c r="E154" s="36" t="str">
        <f>IFERROR(VLOOKUP($B154,대상!$B:$AC,MATCH(E$2,대상!$1:$1,0)-1,FALSE),"")</f>
        <v/>
      </c>
      <c r="F154" s="38" t="str">
        <f>IFERROR(VLOOKUP($B154,대상!$B:$AC,MATCH(F$2,대상!$1:$1,0)-1,FALSE),"")</f>
        <v/>
      </c>
      <c r="G154" s="38" t="str">
        <f>IFERROR(VLOOKUP($B154,대상!$B:$AC,MATCH(G$2,대상!$1:$1,0)-1,FALSE),"")</f>
        <v/>
      </c>
      <c r="H154" s="33" t="str">
        <f>IFERROR(VLOOKUP($B154,[1]평가!$B:$Z,MATCH(LEFT(H$2,2),[1]평가!$7:$7,0)-1,FALSE),"")</f>
        <v/>
      </c>
      <c r="I154" s="36" t="str">
        <f>IFERROR(VLOOKUP($B154,[1]평가!$B:$Z,MATCH(LEFT(I$2,2),[1]평가!$7:$7,0)-1,FALSE),"")</f>
        <v/>
      </c>
      <c r="J154" s="36" t="str">
        <f>IFERROR(VLOOKUP($B154,[1]평가!$B:$Z,MATCH(LEFT(J$2,2),[1]평가!$7:$7,0)-1,FALSE),"")</f>
        <v/>
      </c>
      <c r="K154" s="33" t="str">
        <f>IFERROR(VLOOKUP($B154,[2]평가!$B:$Z,MATCH(LEFT(K$2,2),[2]평가!$7:$7,0)-1,FALSE),"")</f>
        <v/>
      </c>
      <c r="L154" s="36" t="str">
        <f>IFERROR(VLOOKUP($B154,[2]평가!$B:$Z,MATCH(LEFT(L$2,2),[2]평가!$7:$7,0)-1,FALSE),"")</f>
        <v/>
      </c>
      <c r="M154" s="39" t="str">
        <f>IFERROR(VLOOKUP($B154,[2]평가!$B:$Z,MATCH(LEFT(M$2,2),[2]평가!$7:$7,0)-1,FALSE),"")</f>
        <v/>
      </c>
      <c r="N154" s="33" t="str">
        <f>IFERROR(VLOOKUP($B154,[3]평가!$B:$Z,MATCH(LEFT(N$2,2),[3]평가!$7:$7,0)-1,FALSE),"")</f>
        <v/>
      </c>
      <c r="O154" s="36" t="str">
        <f>IFERROR(VLOOKUP($B154,[3]평가!$B:$Z,MATCH(LEFT(O$2,2),[3]평가!$7:$7,0)-1,FALSE),"")</f>
        <v/>
      </c>
      <c r="P154" s="39" t="str">
        <f>IFERROR(VLOOKUP($B154,[3]평가!$B:$Z,MATCH(LEFT(P$2,2),[3]평가!$7:$7,0)-1,FALSE),"")</f>
        <v/>
      </c>
      <c r="Q154" s="33" t="str">
        <f>IFERROR(VLOOKUP($B154,[4]평가!$B:$Z,MATCH(LEFT(Q$2,2),[4]평가!$7:$7,0)-1,FALSE),"")</f>
        <v/>
      </c>
      <c r="R154" s="36" t="str">
        <f>IFERROR(VLOOKUP($B154,[4]평가!$B:$Z,MATCH(LEFT(R$2,2),[4]평가!$7:$7,0)-1,FALSE),"")</f>
        <v/>
      </c>
      <c r="S154" s="39" t="str">
        <f>IFERROR(VLOOKUP($B154,[4]평가!$B:$Z,MATCH(LEFT(S$2,2),[4]평가!$7:$7,0)-1,FALSE),"")</f>
        <v/>
      </c>
      <c r="T154" s="33" t="str">
        <f>IFERROR(VLOOKUP($B154,[5]평가!$B:$Z,MATCH(LEFT(T$2,2),[5]평가!$7:$7,0)-1,FALSE),"")</f>
        <v/>
      </c>
      <c r="U154" s="36" t="str">
        <f>IFERROR(VLOOKUP($B154,[5]평가!$B:$Z,MATCH(LEFT(U$2,2),[5]평가!$7:$7,0)-1,FALSE),"")</f>
        <v/>
      </c>
      <c r="V154" s="39" t="str">
        <f>IFERROR(VLOOKUP($B154,[5]평가!$B:$Z,MATCH(LEFT(V$2,2),[5]평가!$7:$7,0)-1,FALSE),"")</f>
        <v/>
      </c>
      <c r="W154" s="33" t="str">
        <f>IFERROR(VLOOKUP($B154,대상!$B:$AD,MATCH(W$2,대상!$1:$1,0)-1,FALSE),"")</f>
        <v/>
      </c>
      <c r="X154" s="20" t="str">
        <f t="shared" si="5"/>
        <v/>
      </c>
      <c r="Y154" s="21" t="e">
        <f t="shared" si="6"/>
        <v>#VALUE!</v>
      </c>
      <c r="Z154" s="40">
        <f>IFERROR(VLOOKUP($B154,대상!$B:$AD,MATCH(Z$2,대상!$1:$1,0)-1,FALSE),0)</f>
        <v>0</v>
      </c>
      <c r="AA154" s="41" t="str">
        <f t="shared" si="7"/>
        <v/>
      </c>
      <c r="AB154" s="35" t="e">
        <f t="shared" si="8"/>
        <v>#VALUE!</v>
      </c>
      <c r="AC154" s="54" t="str">
        <f t="shared" si="9"/>
        <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
      </c>
    </row>
    <row r="155" spans="1:32" ht="30" hidden="1" customHeight="1" x14ac:dyDescent="0.35">
      <c r="A155" s="4">
        <v>153</v>
      </c>
      <c r="B155" s="2"/>
      <c r="C155" s="38" t="str">
        <f>IFERROR(VLOOKUP($B155,대상!$B:$AC,MATCH(C$2,대상!$1:$1,0)-1,FALSE),"")</f>
        <v/>
      </c>
      <c r="D155" s="38" t="str">
        <f>IFERROR(VLOOKUP($B155,대상!$B:$AC,MATCH(D$2,대상!$1:$1,0)-1,FALSE),"")</f>
        <v/>
      </c>
      <c r="E155" s="36" t="str">
        <f>IFERROR(VLOOKUP($B155,대상!$B:$AC,MATCH(E$2,대상!$1:$1,0)-1,FALSE),"")</f>
        <v/>
      </c>
      <c r="F155" s="38" t="str">
        <f>IFERROR(VLOOKUP($B155,대상!$B:$AC,MATCH(F$2,대상!$1:$1,0)-1,FALSE),"")</f>
        <v/>
      </c>
      <c r="G155" s="38" t="str">
        <f>IFERROR(VLOOKUP($B155,대상!$B:$AC,MATCH(G$2,대상!$1:$1,0)-1,FALSE),"")</f>
        <v/>
      </c>
      <c r="H155" s="33" t="str">
        <f>IFERROR(VLOOKUP($B155,[1]평가!$B:$Z,MATCH(LEFT(H$2,2),[1]평가!$7:$7,0)-1,FALSE),"")</f>
        <v/>
      </c>
      <c r="I155" s="36" t="str">
        <f>IFERROR(VLOOKUP($B155,[1]평가!$B:$Z,MATCH(LEFT(I$2,2),[1]평가!$7:$7,0)-1,FALSE),"")</f>
        <v/>
      </c>
      <c r="J155" s="36" t="str">
        <f>IFERROR(VLOOKUP($B155,[1]평가!$B:$Z,MATCH(LEFT(J$2,2),[1]평가!$7:$7,0)-1,FALSE),"")</f>
        <v/>
      </c>
      <c r="K155" s="33" t="str">
        <f>IFERROR(VLOOKUP($B155,[2]평가!$B:$Z,MATCH(LEFT(K$2,2),[2]평가!$7:$7,0)-1,FALSE),"")</f>
        <v/>
      </c>
      <c r="L155" s="36" t="str">
        <f>IFERROR(VLOOKUP($B155,[2]평가!$B:$Z,MATCH(LEFT(L$2,2),[2]평가!$7:$7,0)-1,FALSE),"")</f>
        <v/>
      </c>
      <c r="M155" s="39" t="str">
        <f>IFERROR(VLOOKUP($B155,[2]평가!$B:$Z,MATCH(LEFT(M$2,2),[2]평가!$7:$7,0)-1,FALSE),"")</f>
        <v/>
      </c>
      <c r="N155" s="33" t="str">
        <f>IFERROR(VLOOKUP($B155,[3]평가!$B:$Z,MATCH(LEFT(N$2,2),[3]평가!$7:$7,0)-1,FALSE),"")</f>
        <v/>
      </c>
      <c r="O155" s="36" t="str">
        <f>IFERROR(VLOOKUP($B155,[3]평가!$B:$Z,MATCH(LEFT(O$2,2),[3]평가!$7:$7,0)-1,FALSE),"")</f>
        <v/>
      </c>
      <c r="P155" s="39" t="str">
        <f>IFERROR(VLOOKUP($B155,[3]평가!$B:$Z,MATCH(LEFT(P$2,2),[3]평가!$7:$7,0)-1,FALSE),"")</f>
        <v/>
      </c>
      <c r="Q155" s="33" t="str">
        <f>IFERROR(VLOOKUP($B155,[4]평가!$B:$Z,MATCH(LEFT(Q$2,2),[4]평가!$7:$7,0)-1,FALSE),"")</f>
        <v/>
      </c>
      <c r="R155" s="36" t="str">
        <f>IFERROR(VLOOKUP($B155,[4]평가!$B:$Z,MATCH(LEFT(R$2,2),[4]평가!$7:$7,0)-1,FALSE),"")</f>
        <v/>
      </c>
      <c r="S155" s="39" t="str">
        <f>IFERROR(VLOOKUP($B155,[4]평가!$B:$Z,MATCH(LEFT(S$2,2),[4]평가!$7:$7,0)-1,FALSE),"")</f>
        <v/>
      </c>
      <c r="T155" s="33" t="str">
        <f>IFERROR(VLOOKUP($B155,[5]평가!$B:$Z,MATCH(LEFT(T$2,2),[5]평가!$7:$7,0)-1,FALSE),"")</f>
        <v/>
      </c>
      <c r="U155" s="36" t="str">
        <f>IFERROR(VLOOKUP($B155,[5]평가!$B:$Z,MATCH(LEFT(U$2,2),[5]평가!$7:$7,0)-1,FALSE),"")</f>
        <v/>
      </c>
      <c r="V155" s="39" t="str">
        <f>IFERROR(VLOOKUP($B155,[5]평가!$B:$Z,MATCH(LEFT(V$2,2),[5]평가!$7:$7,0)-1,FALSE),"")</f>
        <v/>
      </c>
      <c r="W155" s="33" t="str">
        <f>IFERROR(VLOOKUP($B155,대상!$B:$AD,MATCH(W$2,대상!$1:$1,0)-1,FALSE),"")</f>
        <v/>
      </c>
      <c r="X155" s="20" t="str">
        <f t="shared" si="5"/>
        <v/>
      </c>
      <c r="Y155" s="21" t="e">
        <f t="shared" si="6"/>
        <v>#VALUE!</v>
      </c>
      <c r="Z155" s="40">
        <f>IFERROR(VLOOKUP($B155,대상!$B:$AD,MATCH(Z$2,대상!$1:$1,0)-1,FALSE),0)</f>
        <v>0</v>
      </c>
      <c r="AA155" s="41" t="str">
        <f t="shared" si="7"/>
        <v/>
      </c>
      <c r="AB155" s="35" t="e">
        <f t="shared" si="8"/>
        <v>#VALUE!</v>
      </c>
      <c r="AC155" s="54" t="str">
        <f t="shared" si="9"/>
        <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
      </c>
    </row>
    <row r="156" spans="1:32" ht="30" hidden="1" customHeight="1" x14ac:dyDescent="0.35">
      <c r="A156" s="4">
        <v>154</v>
      </c>
      <c r="B156" s="2"/>
      <c r="C156" s="38" t="str">
        <f>IFERROR(VLOOKUP($B156,대상!$B:$AC,MATCH(C$2,대상!$1:$1,0)-1,FALSE),"")</f>
        <v/>
      </c>
      <c r="D156" s="38" t="str">
        <f>IFERROR(VLOOKUP($B156,대상!$B:$AC,MATCH(D$2,대상!$1:$1,0)-1,FALSE),"")</f>
        <v/>
      </c>
      <c r="E156" s="36" t="str">
        <f>IFERROR(VLOOKUP($B156,대상!$B:$AC,MATCH(E$2,대상!$1:$1,0)-1,FALSE),"")</f>
        <v/>
      </c>
      <c r="F156" s="38" t="str">
        <f>IFERROR(VLOOKUP($B156,대상!$B:$AC,MATCH(F$2,대상!$1:$1,0)-1,FALSE),"")</f>
        <v/>
      </c>
      <c r="G156" s="38" t="str">
        <f>IFERROR(VLOOKUP($B156,대상!$B:$AC,MATCH(G$2,대상!$1:$1,0)-1,FALSE),"")</f>
        <v/>
      </c>
      <c r="H156" s="33" t="str">
        <f>IFERROR(VLOOKUP($B156,[1]평가!$B:$Z,MATCH(LEFT(H$2,2),[1]평가!$7:$7,0)-1,FALSE),"")</f>
        <v/>
      </c>
      <c r="I156" s="36" t="str">
        <f>IFERROR(VLOOKUP($B156,[1]평가!$B:$Z,MATCH(LEFT(I$2,2),[1]평가!$7:$7,0)-1,FALSE),"")</f>
        <v/>
      </c>
      <c r="J156" s="36" t="str">
        <f>IFERROR(VLOOKUP($B156,[1]평가!$B:$Z,MATCH(LEFT(J$2,2),[1]평가!$7:$7,0)-1,FALSE),"")</f>
        <v/>
      </c>
      <c r="K156" s="33" t="str">
        <f>IFERROR(VLOOKUP($B156,[2]평가!$B:$Z,MATCH(LEFT(K$2,2),[2]평가!$7:$7,0)-1,FALSE),"")</f>
        <v/>
      </c>
      <c r="L156" s="36" t="str">
        <f>IFERROR(VLOOKUP($B156,[2]평가!$B:$Z,MATCH(LEFT(L$2,2),[2]평가!$7:$7,0)-1,FALSE),"")</f>
        <v/>
      </c>
      <c r="M156" s="39" t="str">
        <f>IFERROR(VLOOKUP($B156,[2]평가!$B:$Z,MATCH(LEFT(M$2,2),[2]평가!$7:$7,0)-1,FALSE),"")</f>
        <v/>
      </c>
      <c r="N156" s="33" t="str">
        <f>IFERROR(VLOOKUP($B156,[3]평가!$B:$Z,MATCH(LEFT(N$2,2),[3]평가!$7:$7,0)-1,FALSE),"")</f>
        <v/>
      </c>
      <c r="O156" s="36" t="str">
        <f>IFERROR(VLOOKUP($B156,[3]평가!$B:$Z,MATCH(LEFT(O$2,2),[3]평가!$7:$7,0)-1,FALSE),"")</f>
        <v/>
      </c>
      <c r="P156" s="39" t="str">
        <f>IFERROR(VLOOKUP($B156,[3]평가!$B:$Z,MATCH(LEFT(P$2,2),[3]평가!$7:$7,0)-1,FALSE),"")</f>
        <v/>
      </c>
      <c r="Q156" s="33" t="str">
        <f>IFERROR(VLOOKUP($B156,[4]평가!$B:$Z,MATCH(LEFT(Q$2,2),[4]평가!$7:$7,0)-1,FALSE),"")</f>
        <v/>
      </c>
      <c r="R156" s="36" t="str">
        <f>IFERROR(VLOOKUP($B156,[4]평가!$B:$Z,MATCH(LEFT(R$2,2),[4]평가!$7:$7,0)-1,FALSE),"")</f>
        <v/>
      </c>
      <c r="S156" s="39" t="str">
        <f>IFERROR(VLOOKUP($B156,[4]평가!$B:$Z,MATCH(LEFT(S$2,2),[4]평가!$7:$7,0)-1,FALSE),"")</f>
        <v/>
      </c>
      <c r="T156" s="33" t="str">
        <f>IFERROR(VLOOKUP($B156,[5]평가!$B:$Z,MATCH(LEFT(T$2,2),[5]평가!$7:$7,0)-1,FALSE),"")</f>
        <v/>
      </c>
      <c r="U156" s="36" t="str">
        <f>IFERROR(VLOOKUP($B156,[5]평가!$B:$Z,MATCH(LEFT(U$2,2),[5]평가!$7:$7,0)-1,FALSE),"")</f>
        <v/>
      </c>
      <c r="V156" s="39" t="str">
        <f>IFERROR(VLOOKUP($B156,[5]평가!$B:$Z,MATCH(LEFT(V$2,2),[5]평가!$7:$7,0)-1,FALSE),"")</f>
        <v/>
      </c>
      <c r="W156" s="33" t="str">
        <f>IFERROR(VLOOKUP($B156,대상!$B:$AD,MATCH(W$2,대상!$1:$1,0)-1,FALSE),"")</f>
        <v/>
      </c>
      <c r="X156" s="20" t="str">
        <f t="shared" si="5"/>
        <v/>
      </c>
      <c r="Y156" s="21" t="e">
        <f t="shared" si="6"/>
        <v>#VALUE!</v>
      </c>
      <c r="Z156" s="40">
        <f>IFERROR(VLOOKUP($B156,대상!$B:$AD,MATCH(Z$2,대상!$1:$1,0)-1,FALSE),0)</f>
        <v>0</v>
      </c>
      <c r="AA156" s="41" t="str">
        <f t="shared" si="7"/>
        <v/>
      </c>
      <c r="AB156" s="35" t="e">
        <f t="shared" si="8"/>
        <v>#VALUE!</v>
      </c>
      <c r="AC156" s="54" t="str">
        <f t="shared" si="9"/>
        <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
      </c>
    </row>
    <row r="157" spans="1:32" ht="30" hidden="1" customHeight="1" x14ac:dyDescent="0.35">
      <c r="A157" s="4">
        <v>155</v>
      </c>
      <c r="B157" s="2"/>
      <c r="C157" s="38" t="str">
        <f>IFERROR(VLOOKUP($B157,대상!$B:$AC,MATCH(C$2,대상!$1:$1,0)-1,FALSE),"")</f>
        <v/>
      </c>
      <c r="D157" s="38" t="str">
        <f>IFERROR(VLOOKUP($B157,대상!$B:$AC,MATCH(D$2,대상!$1:$1,0)-1,FALSE),"")</f>
        <v/>
      </c>
      <c r="E157" s="36" t="str">
        <f>IFERROR(VLOOKUP($B157,대상!$B:$AC,MATCH(E$2,대상!$1:$1,0)-1,FALSE),"")</f>
        <v/>
      </c>
      <c r="F157" s="38" t="str">
        <f>IFERROR(VLOOKUP($B157,대상!$B:$AC,MATCH(F$2,대상!$1:$1,0)-1,FALSE),"")</f>
        <v/>
      </c>
      <c r="G157" s="38" t="str">
        <f>IFERROR(VLOOKUP($B157,대상!$B:$AC,MATCH(G$2,대상!$1:$1,0)-1,FALSE),"")</f>
        <v/>
      </c>
      <c r="H157" s="33" t="str">
        <f>IFERROR(VLOOKUP($B157,[1]평가!$B:$Z,MATCH(LEFT(H$2,2),[1]평가!$7:$7,0)-1,FALSE),"")</f>
        <v/>
      </c>
      <c r="I157" s="36" t="str">
        <f>IFERROR(VLOOKUP($B157,[1]평가!$B:$Z,MATCH(LEFT(I$2,2),[1]평가!$7:$7,0)-1,FALSE),"")</f>
        <v/>
      </c>
      <c r="J157" s="36" t="str">
        <f>IFERROR(VLOOKUP($B157,[1]평가!$B:$Z,MATCH(LEFT(J$2,2),[1]평가!$7:$7,0)-1,FALSE),"")</f>
        <v/>
      </c>
      <c r="K157" s="33" t="str">
        <f>IFERROR(VLOOKUP($B157,[2]평가!$B:$Z,MATCH(LEFT(K$2,2),[2]평가!$7:$7,0)-1,FALSE),"")</f>
        <v/>
      </c>
      <c r="L157" s="36" t="str">
        <f>IFERROR(VLOOKUP($B157,[2]평가!$B:$Z,MATCH(LEFT(L$2,2),[2]평가!$7:$7,0)-1,FALSE),"")</f>
        <v/>
      </c>
      <c r="M157" s="39" t="str">
        <f>IFERROR(VLOOKUP($B157,[2]평가!$B:$Z,MATCH(LEFT(M$2,2),[2]평가!$7:$7,0)-1,FALSE),"")</f>
        <v/>
      </c>
      <c r="N157" s="33" t="str">
        <f>IFERROR(VLOOKUP($B157,[3]평가!$B:$Z,MATCH(LEFT(N$2,2),[3]평가!$7:$7,0)-1,FALSE),"")</f>
        <v/>
      </c>
      <c r="O157" s="36" t="str">
        <f>IFERROR(VLOOKUP($B157,[3]평가!$B:$Z,MATCH(LEFT(O$2,2),[3]평가!$7:$7,0)-1,FALSE),"")</f>
        <v/>
      </c>
      <c r="P157" s="39" t="str">
        <f>IFERROR(VLOOKUP($B157,[3]평가!$B:$Z,MATCH(LEFT(P$2,2),[3]평가!$7:$7,0)-1,FALSE),"")</f>
        <v/>
      </c>
      <c r="Q157" s="33" t="str">
        <f>IFERROR(VLOOKUP($B157,[4]평가!$B:$Z,MATCH(LEFT(Q$2,2),[4]평가!$7:$7,0)-1,FALSE),"")</f>
        <v/>
      </c>
      <c r="R157" s="36" t="str">
        <f>IFERROR(VLOOKUP($B157,[4]평가!$B:$Z,MATCH(LEFT(R$2,2),[4]평가!$7:$7,0)-1,FALSE),"")</f>
        <v/>
      </c>
      <c r="S157" s="39" t="str">
        <f>IFERROR(VLOOKUP($B157,[4]평가!$B:$Z,MATCH(LEFT(S$2,2),[4]평가!$7:$7,0)-1,FALSE),"")</f>
        <v/>
      </c>
      <c r="T157" s="33" t="str">
        <f>IFERROR(VLOOKUP($B157,[5]평가!$B:$Z,MATCH(LEFT(T$2,2),[5]평가!$7:$7,0)-1,FALSE),"")</f>
        <v/>
      </c>
      <c r="U157" s="36" t="str">
        <f>IFERROR(VLOOKUP($B157,[5]평가!$B:$Z,MATCH(LEFT(U$2,2),[5]평가!$7:$7,0)-1,FALSE),"")</f>
        <v/>
      </c>
      <c r="V157" s="39" t="str">
        <f>IFERROR(VLOOKUP($B157,[5]평가!$B:$Z,MATCH(LEFT(V$2,2),[5]평가!$7:$7,0)-1,FALSE),"")</f>
        <v/>
      </c>
      <c r="W157" s="33" t="str">
        <f>IFERROR(VLOOKUP($B157,대상!$B:$AD,MATCH(W$2,대상!$1:$1,0)-1,FALSE),"")</f>
        <v/>
      </c>
      <c r="X157" s="20" t="str">
        <f t="shared" si="5"/>
        <v/>
      </c>
      <c r="Y157" s="21" t="e">
        <f t="shared" si="6"/>
        <v>#VALUE!</v>
      </c>
      <c r="Z157" s="40">
        <f>IFERROR(VLOOKUP($B157,대상!$B:$AD,MATCH(Z$2,대상!$1:$1,0)-1,FALSE),0)</f>
        <v>0</v>
      </c>
      <c r="AA157" s="41" t="str">
        <f t="shared" si="7"/>
        <v/>
      </c>
      <c r="AB157" s="35" t="e">
        <f t="shared" si="8"/>
        <v>#VALUE!</v>
      </c>
      <c r="AC157" s="54" t="str">
        <f t="shared" si="9"/>
        <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
      </c>
    </row>
    <row r="158" spans="1:32" ht="30" hidden="1" customHeight="1" x14ac:dyDescent="0.35">
      <c r="A158" s="4">
        <v>156</v>
      </c>
      <c r="B158" s="2"/>
      <c r="C158" s="38" t="str">
        <f>IFERROR(VLOOKUP($B158,대상!$B:$AC,MATCH(C$2,대상!$1:$1,0)-1,FALSE),"")</f>
        <v/>
      </c>
      <c r="D158" s="38" t="str">
        <f>IFERROR(VLOOKUP($B158,대상!$B:$AC,MATCH(D$2,대상!$1:$1,0)-1,FALSE),"")</f>
        <v/>
      </c>
      <c r="E158" s="36" t="str">
        <f>IFERROR(VLOOKUP($B158,대상!$B:$AC,MATCH(E$2,대상!$1:$1,0)-1,FALSE),"")</f>
        <v/>
      </c>
      <c r="F158" s="38" t="str">
        <f>IFERROR(VLOOKUP($B158,대상!$B:$AC,MATCH(F$2,대상!$1:$1,0)-1,FALSE),"")</f>
        <v/>
      </c>
      <c r="G158" s="38" t="str">
        <f>IFERROR(VLOOKUP($B158,대상!$B:$AC,MATCH(G$2,대상!$1:$1,0)-1,FALSE),"")</f>
        <v/>
      </c>
      <c r="H158" s="33" t="str">
        <f>IFERROR(VLOOKUP($B158,[1]평가!$B:$Z,MATCH(LEFT(H$2,2),[1]평가!$7:$7,0)-1,FALSE),"")</f>
        <v/>
      </c>
      <c r="I158" s="36" t="str">
        <f>IFERROR(VLOOKUP($B158,[1]평가!$B:$Z,MATCH(LEFT(I$2,2),[1]평가!$7:$7,0)-1,FALSE),"")</f>
        <v/>
      </c>
      <c r="J158" s="36" t="str">
        <f>IFERROR(VLOOKUP($B158,[1]평가!$B:$Z,MATCH(LEFT(J$2,2),[1]평가!$7:$7,0)-1,FALSE),"")</f>
        <v/>
      </c>
      <c r="K158" s="33" t="str">
        <f>IFERROR(VLOOKUP($B158,[2]평가!$B:$Z,MATCH(LEFT(K$2,2),[2]평가!$7:$7,0)-1,FALSE),"")</f>
        <v/>
      </c>
      <c r="L158" s="36" t="str">
        <f>IFERROR(VLOOKUP($B158,[2]평가!$B:$Z,MATCH(LEFT(L$2,2),[2]평가!$7:$7,0)-1,FALSE),"")</f>
        <v/>
      </c>
      <c r="M158" s="39" t="str">
        <f>IFERROR(VLOOKUP($B158,[2]평가!$B:$Z,MATCH(LEFT(M$2,2),[2]평가!$7:$7,0)-1,FALSE),"")</f>
        <v/>
      </c>
      <c r="N158" s="33" t="str">
        <f>IFERROR(VLOOKUP($B158,[3]평가!$B:$Z,MATCH(LEFT(N$2,2),[3]평가!$7:$7,0)-1,FALSE),"")</f>
        <v/>
      </c>
      <c r="O158" s="36" t="str">
        <f>IFERROR(VLOOKUP($B158,[3]평가!$B:$Z,MATCH(LEFT(O$2,2),[3]평가!$7:$7,0)-1,FALSE),"")</f>
        <v/>
      </c>
      <c r="P158" s="39" t="str">
        <f>IFERROR(VLOOKUP($B158,[3]평가!$B:$Z,MATCH(LEFT(P$2,2),[3]평가!$7:$7,0)-1,FALSE),"")</f>
        <v/>
      </c>
      <c r="Q158" s="33" t="str">
        <f>IFERROR(VLOOKUP($B158,[4]평가!$B:$Z,MATCH(LEFT(Q$2,2),[4]평가!$7:$7,0)-1,FALSE),"")</f>
        <v/>
      </c>
      <c r="R158" s="36" t="str">
        <f>IFERROR(VLOOKUP($B158,[4]평가!$B:$Z,MATCH(LEFT(R$2,2),[4]평가!$7:$7,0)-1,FALSE),"")</f>
        <v/>
      </c>
      <c r="S158" s="39" t="str">
        <f>IFERROR(VLOOKUP($B158,[4]평가!$B:$Z,MATCH(LEFT(S$2,2),[4]평가!$7:$7,0)-1,FALSE),"")</f>
        <v/>
      </c>
      <c r="T158" s="33" t="str">
        <f>IFERROR(VLOOKUP($B158,[5]평가!$B:$Z,MATCH(LEFT(T$2,2),[5]평가!$7:$7,0)-1,FALSE),"")</f>
        <v/>
      </c>
      <c r="U158" s="36" t="str">
        <f>IFERROR(VLOOKUP($B158,[5]평가!$B:$Z,MATCH(LEFT(U$2,2),[5]평가!$7:$7,0)-1,FALSE),"")</f>
        <v/>
      </c>
      <c r="V158" s="39" t="str">
        <f>IFERROR(VLOOKUP($B158,[5]평가!$B:$Z,MATCH(LEFT(V$2,2),[5]평가!$7:$7,0)-1,FALSE),"")</f>
        <v/>
      </c>
      <c r="W158" s="33" t="str">
        <f>IFERROR(VLOOKUP($B158,대상!$B:$AD,MATCH(W$2,대상!$1:$1,0)-1,FALSE),"")</f>
        <v/>
      </c>
      <c r="X158" s="20" t="str">
        <f t="shared" si="5"/>
        <v/>
      </c>
      <c r="Y158" s="21" t="e">
        <f t="shared" si="6"/>
        <v>#VALUE!</v>
      </c>
      <c r="Z158" s="40">
        <f>IFERROR(VLOOKUP($B158,대상!$B:$AD,MATCH(Z$2,대상!$1:$1,0)-1,FALSE),0)</f>
        <v>0</v>
      </c>
      <c r="AA158" s="41" t="str">
        <f t="shared" si="7"/>
        <v/>
      </c>
      <c r="AB158" s="35" t="e">
        <f t="shared" si="8"/>
        <v>#VALUE!</v>
      </c>
      <c r="AC158" s="54" t="str">
        <f t="shared" si="9"/>
        <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
      </c>
    </row>
    <row r="159" spans="1:32" ht="30" hidden="1" customHeight="1" x14ac:dyDescent="0.35">
      <c r="A159" s="4">
        <v>157</v>
      </c>
      <c r="B159" s="2"/>
      <c r="C159" s="38" t="str">
        <f>IFERROR(VLOOKUP($B159,대상!$B:$AC,MATCH(C$2,대상!$1:$1,0)-1,FALSE),"")</f>
        <v/>
      </c>
      <c r="D159" s="38" t="str">
        <f>IFERROR(VLOOKUP($B159,대상!$B:$AC,MATCH(D$2,대상!$1:$1,0)-1,FALSE),"")</f>
        <v/>
      </c>
      <c r="E159" s="36" t="str">
        <f>IFERROR(VLOOKUP($B159,대상!$B:$AC,MATCH(E$2,대상!$1:$1,0)-1,FALSE),"")</f>
        <v/>
      </c>
      <c r="F159" s="38" t="str">
        <f>IFERROR(VLOOKUP($B159,대상!$B:$AC,MATCH(F$2,대상!$1:$1,0)-1,FALSE),"")</f>
        <v/>
      </c>
      <c r="G159" s="38" t="str">
        <f>IFERROR(VLOOKUP($B159,대상!$B:$AC,MATCH(G$2,대상!$1:$1,0)-1,FALSE),"")</f>
        <v/>
      </c>
      <c r="H159" s="33" t="str">
        <f>IFERROR(VLOOKUP($B159,[1]평가!$B:$Z,MATCH(LEFT(H$2,2),[1]평가!$7:$7,0)-1,FALSE),"")</f>
        <v/>
      </c>
      <c r="I159" s="36" t="str">
        <f>IFERROR(VLOOKUP($B159,[1]평가!$B:$Z,MATCH(LEFT(I$2,2),[1]평가!$7:$7,0)-1,FALSE),"")</f>
        <v/>
      </c>
      <c r="J159" s="36" t="str">
        <f>IFERROR(VLOOKUP($B159,[1]평가!$B:$Z,MATCH(LEFT(J$2,2),[1]평가!$7:$7,0)-1,FALSE),"")</f>
        <v/>
      </c>
      <c r="K159" s="33" t="str">
        <f>IFERROR(VLOOKUP($B159,[2]평가!$B:$Z,MATCH(LEFT(K$2,2),[2]평가!$7:$7,0)-1,FALSE),"")</f>
        <v/>
      </c>
      <c r="L159" s="36" t="str">
        <f>IFERROR(VLOOKUP($B159,[2]평가!$B:$Z,MATCH(LEFT(L$2,2),[2]평가!$7:$7,0)-1,FALSE),"")</f>
        <v/>
      </c>
      <c r="M159" s="39" t="str">
        <f>IFERROR(VLOOKUP($B159,[2]평가!$B:$Z,MATCH(LEFT(M$2,2),[2]평가!$7:$7,0)-1,FALSE),"")</f>
        <v/>
      </c>
      <c r="N159" s="33" t="str">
        <f>IFERROR(VLOOKUP($B159,[3]평가!$B:$Z,MATCH(LEFT(N$2,2),[3]평가!$7:$7,0)-1,FALSE),"")</f>
        <v/>
      </c>
      <c r="O159" s="36" t="str">
        <f>IFERROR(VLOOKUP($B159,[3]평가!$B:$Z,MATCH(LEFT(O$2,2),[3]평가!$7:$7,0)-1,FALSE),"")</f>
        <v/>
      </c>
      <c r="P159" s="39" t="str">
        <f>IFERROR(VLOOKUP($B159,[3]평가!$B:$Z,MATCH(LEFT(P$2,2),[3]평가!$7:$7,0)-1,FALSE),"")</f>
        <v/>
      </c>
      <c r="Q159" s="33" t="str">
        <f>IFERROR(VLOOKUP($B159,[4]평가!$B:$Z,MATCH(LEFT(Q$2,2),[4]평가!$7:$7,0)-1,FALSE),"")</f>
        <v/>
      </c>
      <c r="R159" s="36" t="str">
        <f>IFERROR(VLOOKUP($B159,[4]평가!$B:$Z,MATCH(LEFT(R$2,2),[4]평가!$7:$7,0)-1,FALSE),"")</f>
        <v/>
      </c>
      <c r="S159" s="39" t="str">
        <f>IFERROR(VLOOKUP($B159,[4]평가!$B:$Z,MATCH(LEFT(S$2,2),[4]평가!$7:$7,0)-1,FALSE),"")</f>
        <v/>
      </c>
      <c r="T159" s="33" t="str">
        <f>IFERROR(VLOOKUP($B159,[5]평가!$B:$Z,MATCH(LEFT(T$2,2),[5]평가!$7:$7,0)-1,FALSE),"")</f>
        <v/>
      </c>
      <c r="U159" s="36" t="str">
        <f>IFERROR(VLOOKUP($B159,[5]평가!$B:$Z,MATCH(LEFT(U$2,2),[5]평가!$7:$7,0)-1,FALSE),"")</f>
        <v/>
      </c>
      <c r="V159" s="39" t="str">
        <f>IFERROR(VLOOKUP($B159,[5]평가!$B:$Z,MATCH(LEFT(V$2,2),[5]평가!$7:$7,0)-1,FALSE),"")</f>
        <v/>
      </c>
      <c r="W159" s="33" t="str">
        <f>IFERROR(VLOOKUP($B159,대상!$B:$AD,MATCH(W$2,대상!$1:$1,0)-1,FALSE),"")</f>
        <v/>
      </c>
      <c r="X159" s="20" t="str">
        <f t="shared" si="5"/>
        <v/>
      </c>
      <c r="Y159" s="21" t="e">
        <f t="shared" si="6"/>
        <v>#VALUE!</v>
      </c>
      <c r="Z159" s="40">
        <f>IFERROR(VLOOKUP($B159,대상!$B:$AD,MATCH(Z$2,대상!$1:$1,0)-1,FALSE),0)</f>
        <v>0</v>
      </c>
      <c r="AA159" s="41" t="str">
        <f t="shared" si="7"/>
        <v/>
      </c>
      <c r="AB159" s="35" t="e">
        <f t="shared" si="8"/>
        <v>#VALUE!</v>
      </c>
      <c r="AC159" s="54" t="str">
        <f t="shared" si="9"/>
        <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
      </c>
    </row>
    <row r="160" spans="1:32" ht="30" hidden="1" customHeight="1" x14ac:dyDescent="0.35">
      <c r="A160" s="4">
        <v>158</v>
      </c>
      <c r="B160" s="2"/>
      <c r="C160" s="38" t="str">
        <f>IFERROR(VLOOKUP($B160,대상!$B:$AC,MATCH(C$2,대상!$1:$1,0)-1,FALSE),"")</f>
        <v/>
      </c>
      <c r="D160" s="38" t="str">
        <f>IFERROR(VLOOKUP($B160,대상!$B:$AC,MATCH(D$2,대상!$1:$1,0)-1,FALSE),"")</f>
        <v/>
      </c>
      <c r="E160" s="36" t="str">
        <f>IFERROR(VLOOKUP($B160,대상!$B:$AC,MATCH(E$2,대상!$1:$1,0)-1,FALSE),"")</f>
        <v/>
      </c>
      <c r="F160" s="38" t="str">
        <f>IFERROR(VLOOKUP($B160,대상!$B:$AC,MATCH(F$2,대상!$1:$1,0)-1,FALSE),"")</f>
        <v/>
      </c>
      <c r="G160" s="38" t="str">
        <f>IFERROR(VLOOKUP($B160,대상!$B:$AC,MATCH(G$2,대상!$1:$1,0)-1,FALSE),"")</f>
        <v/>
      </c>
      <c r="H160" s="33" t="str">
        <f>IFERROR(VLOOKUP($B160,[1]평가!$B:$Z,MATCH(LEFT(H$2,2),[1]평가!$7:$7,0)-1,FALSE),"")</f>
        <v/>
      </c>
      <c r="I160" s="36" t="str">
        <f>IFERROR(VLOOKUP($B160,[1]평가!$B:$Z,MATCH(LEFT(I$2,2),[1]평가!$7:$7,0)-1,FALSE),"")</f>
        <v/>
      </c>
      <c r="J160" s="36" t="str">
        <f>IFERROR(VLOOKUP($B160,[1]평가!$B:$Z,MATCH(LEFT(J$2,2),[1]평가!$7:$7,0)-1,FALSE),"")</f>
        <v/>
      </c>
      <c r="K160" s="33" t="str">
        <f>IFERROR(VLOOKUP($B160,[2]평가!$B:$Z,MATCH(LEFT(K$2,2),[2]평가!$7:$7,0)-1,FALSE),"")</f>
        <v/>
      </c>
      <c r="L160" s="36" t="str">
        <f>IFERROR(VLOOKUP($B160,[2]평가!$B:$Z,MATCH(LEFT(L$2,2),[2]평가!$7:$7,0)-1,FALSE),"")</f>
        <v/>
      </c>
      <c r="M160" s="39" t="str">
        <f>IFERROR(VLOOKUP($B160,[2]평가!$B:$Z,MATCH(LEFT(M$2,2),[2]평가!$7:$7,0)-1,FALSE),"")</f>
        <v/>
      </c>
      <c r="N160" s="33" t="str">
        <f>IFERROR(VLOOKUP($B160,[3]평가!$B:$Z,MATCH(LEFT(N$2,2),[3]평가!$7:$7,0)-1,FALSE),"")</f>
        <v/>
      </c>
      <c r="O160" s="36" t="str">
        <f>IFERROR(VLOOKUP($B160,[3]평가!$B:$Z,MATCH(LEFT(O$2,2),[3]평가!$7:$7,0)-1,FALSE),"")</f>
        <v/>
      </c>
      <c r="P160" s="39" t="str">
        <f>IFERROR(VLOOKUP($B160,[3]평가!$B:$Z,MATCH(LEFT(P$2,2),[3]평가!$7:$7,0)-1,FALSE),"")</f>
        <v/>
      </c>
      <c r="Q160" s="33" t="str">
        <f>IFERROR(VLOOKUP($B160,[4]평가!$B:$Z,MATCH(LEFT(Q$2,2),[4]평가!$7:$7,0)-1,FALSE),"")</f>
        <v/>
      </c>
      <c r="R160" s="36" t="str">
        <f>IFERROR(VLOOKUP($B160,[4]평가!$B:$Z,MATCH(LEFT(R$2,2),[4]평가!$7:$7,0)-1,FALSE),"")</f>
        <v/>
      </c>
      <c r="S160" s="39" t="str">
        <f>IFERROR(VLOOKUP($B160,[4]평가!$B:$Z,MATCH(LEFT(S$2,2),[4]평가!$7:$7,0)-1,FALSE),"")</f>
        <v/>
      </c>
      <c r="T160" s="33" t="str">
        <f>IFERROR(VLOOKUP($B160,[5]평가!$B:$Z,MATCH(LEFT(T$2,2),[5]평가!$7:$7,0)-1,FALSE),"")</f>
        <v/>
      </c>
      <c r="U160" s="36" t="str">
        <f>IFERROR(VLOOKUP($B160,[5]평가!$B:$Z,MATCH(LEFT(U$2,2),[5]평가!$7:$7,0)-1,FALSE),"")</f>
        <v/>
      </c>
      <c r="V160" s="39" t="str">
        <f>IFERROR(VLOOKUP($B160,[5]평가!$B:$Z,MATCH(LEFT(V$2,2),[5]평가!$7:$7,0)-1,FALSE),"")</f>
        <v/>
      </c>
      <c r="W160" s="33" t="str">
        <f>IFERROR(VLOOKUP($B160,대상!$B:$AD,MATCH(W$2,대상!$1:$1,0)-1,FALSE),"")</f>
        <v/>
      </c>
      <c r="X160" s="20" t="str">
        <f t="shared" si="5"/>
        <v/>
      </c>
      <c r="Y160" s="21" t="e">
        <f t="shared" si="6"/>
        <v>#VALUE!</v>
      </c>
      <c r="Z160" s="40">
        <f>IFERROR(VLOOKUP($B160,대상!$B:$AD,MATCH(Z$2,대상!$1:$1,0)-1,FALSE),0)</f>
        <v>0</v>
      </c>
      <c r="AA160" s="41" t="str">
        <f t="shared" si="7"/>
        <v/>
      </c>
      <c r="AB160" s="35" t="e">
        <f t="shared" si="8"/>
        <v>#VALUE!</v>
      </c>
      <c r="AC160" s="54" t="str">
        <f t="shared" si="9"/>
        <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
      </c>
    </row>
    <row r="161" spans="1:32" ht="30" hidden="1" customHeight="1" x14ac:dyDescent="0.35">
      <c r="A161" s="4">
        <v>159</v>
      </c>
      <c r="B161" s="2"/>
      <c r="C161" s="38" t="str">
        <f>IFERROR(VLOOKUP($B161,대상!$B:$AC,MATCH(C$2,대상!$1:$1,0)-1,FALSE),"")</f>
        <v/>
      </c>
      <c r="D161" s="38" t="str">
        <f>IFERROR(VLOOKUP($B161,대상!$B:$AC,MATCH(D$2,대상!$1:$1,0)-1,FALSE),"")</f>
        <v/>
      </c>
      <c r="E161" s="36" t="str">
        <f>IFERROR(VLOOKUP($B161,대상!$B:$AC,MATCH(E$2,대상!$1:$1,0)-1,FALSE),"")</f>
        <v/>
      </c>
      <c r="F161" s="38" t="str">
        <f>IFERROR(VLOOKUP($B161,대상!$B:$AC,MATCH(F$2,대상!$1:$1,0)-1,FALSE),"")</f>
        <v/>
      </c>
      <c r="G161" s="38" t="str">
        <f>IFERROR(VLOOKUP($B161,대상!$B:$AC,MATCH(G$2,대상!$1:$1,0)-1,FALSE),"")</f>
        <v/>
      </c>
      <c r="H161" s="33" t="str">
        <f>IFERROR(VLOOKUP($B161,[1]평가!$B:$Z,MATCH(LEFT(H$2,2),[1]평가!$7:$7,0)-1,FALSE),"")</f>
        <v/>
      </c>
      <c r="I161" s="36" t="str">
        <f>IFERROR(VLOOKUP($B161,[1]평가!$B:$Z,MATCH(LEFT(I$2,2),[1]평가!$7:$7,0)-1,FALSE),"")</f>
        <v/>
      </c>
      <c r="J161" s="36" t="str">
        <f>IFERROR(VLOOKUP($B161,[1]평가!$B:$Z,MATCH(LEFT(J$2,2),[1]평가!$7:$7,0)-1,FALSE),"")</f>
        <v/>
      </c>
      <c r="K161" s="33" t="str">
        <f>IFERROR(VLOOKUP($B161,[2]평가!$B:$Z,MATCH(LEFT(K$2,2),[2]평가!$7:$7,0)-1,FALSE),"")</f>
        <v/>
      </c>
      <c r="L161" s="36" t="str">
        <f>IFERROR(VLOOKUP($B161,[2]평가!$B:$Z,MATCH(LEFT(L$2,2),[2]평가!$7:$7,0)-1,FALSE),"")</f>
        <v/>
      </c>
      <c r="M161" s="39" t="str">
        <f>IFERROR(VLOOKUP($B161,[2]평가!$B:$Z,MATCH(LEFT(M$2,2),[2]평가!$7:$7,0)-1,FALSE),"")</f>
        <v/>
      </c>
      <c r="N161" s="33" t="str">
        <f>IFERROR(VLOOKUP($B161,[3]평가!$B:$Z,MATCH(LEFT(N$2,2),[3]평가!$7:$7,0)-1,FALSE),"")</f>
        <v/>
      </c>
      <c r="O161" s="36" t="str">
        <f>IFERROR(VLOOKUP($B161,[3]평가!$B:$Z,MATCH(LEFT(O$2,2),[3]평가!$7:$7,0)-1,FALSE),"")</f>
        <v/>
      </c>
      <c r="P161" s="39" t="str">
        <f>IFERROR(VLOOKUP($B161,[3]평가!$B:$Z,MATCH(LEFT(P$2,2),[3]평가!$7:$7,0)-1,FALSE),"")</f>
        <v/>
      </c>
      <c r="Q161" s="33" t="str">
        <f>IFERROR(VLOOKUP($B161,[4]평가!$B:$Z,MATCH(LEFT(Q$2,2),[4]평가!$7:$7,0)-1,FALSE),"")</f>
        <v/>
      </c>
      <c r="R161" s="36" t="str">
        <f>IFERROR(VLOOKUP($B161,[4]평가!$B:$Z,MATCH(LEFT(R$2,2),[4]평가!$7:$7,0)-1,FALSE),"")</f>
        <v/>
      </c>
      <c r="S161" s="39" t="str">
        <f>IFERROR(VLOOKUP($B161,[4]평가!$B:$Z,MATCH(LEFT(S$2,2),[4]평가!$7:$7,0)-1,FALSE),"")</f>
        <v/>
      </c>
      <c r="T161" s="33" t="str">
        <f>IFERROR(VLOOKUP($B161,[5]평가!$B:$Z,MATCH(LEFT(T$2,2),[5]평가!$7:$7,0)-1,FALSE),"")</f>
        <v/>
      </c>
      <c r="U161" s="36" t="str">
        <f>IFERROR(VLOOKUP($B161,[5]평가!$B:$Z,MATCH(LEFT(U$2,2),[5]평가!$7:$7,0)-1,FALSE),"")</f>
        <v/>
      </c>
      <c r="V161" s="39" t="str">
        <f>IFERROR(VLOOKUP($B161,[5]평가!$B:$Z,MATCH(LEFT(V$2,2),[5]평가!$7:$7,0)-1,FALSE),"")</f>
        <v/>
      </c>
      <c r="W161" s="33" t="str">
        <f>IFERROR(VLOOKUP($B161,대상!$B:$AD,MATCH(W$2,대상!$1:$1,0)-1,FALSE),"")</f>
        <v/>
      </c>
      <c r="X161" s="20" t="str">
        <f t="shared" si="5"/>
        <v/>
      </c>
      <c r="Y161" s="21" t="e">
        <f t="shared" si="6"/>
        <v>#VALUE!</v>
      </c>
      <c r="Z161" s="40">
        <f>IFERROR(VLOOKUP($B161,대상!$B:$AD,MATCH(Z$2,대상!$1:$1,0)-1,FALSE),0)</f>
        <v>0</v>
      </c>
      <c r="AA161" s="41" t="str">
        <f t="shared" si="7"/>
        <v/>
      </c>
      <c r="AB161" s="35" t="e">
        <f t="shared" si="8"/>
        <v>#VALUE!</v>
      </c>
      <c r="AC161" s="54" t="str">
        <f t="shared" si="9"/>
        <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
      </c>
    </row>
    <row r="162" spans="1:32" ht="30" hidden="1" customHeight="1" x14ac:dyDescent="0.35">
      <c r="A162" s="4">
        <v>160</v>
      </c>
      <c r="B162" s="2"/>
      <c r="C162" s="38" t="str">
        <f>IFERROR(VLOOKUP($B162,대상!$B:$AC,MATCH(C$2,대상!$1:$1,0)-1,FALSE),"")</f>
        <v/>
      </c>
      <c r="D162" s="38" t="str">
        <f>IFERROR(VLOOKUP($B162,대상!$B:$AC,MATCH(D$2,대상!$1:$1,0)-1,FALSE),"")</f>
        <v/>
      </c>
      <c r="E162" s="36" t="str">
        <f>IFERROR(VLOOKUP($B162,대상!$B:$AC,MATCH(E$2,대상!$1:$1,0)-1,FALSE),"")</f>
        <v/>
      </c>
      <c r="F162" s="38" t="str">
        <f>IFERROR(VLOOKUP($B162,대상!$B:$AC,MATCH(F$2,대상!$1:$1,0)-1,FALSE),"")</f>
        <v/>
      </c>
      <c r="G162" s="38" t="str">
        <f>IFERROR(VLOOKUP($B162,대상!$B:$AC,MATCH(G$2,대상!$1:$1,0)-1,FALSE),"")</f>
        <v/>
      </c>
      <c r="H162" s="33" t="str">
        <f>IFERROR(VLOOKUP($B162,[1]평가!$B:$Z,MATCH(LEFT(H$2,2),[1]평가!$7:$7,0)-1,FALSE),"")</f>
        <v/>
      </c>
      <c r="I162" s="36" t="str">
        <f>IFERROR(VLOOKUP($B162,[1]평가!$B:$Z,MATCH(LEFT(I$2,2),[1]평가!$7:$7,0)-1,FALSE),"")</f>
        <v/>
      </c>
      <c r="J162" s="36" t="str">
        <f>IFERROR(VLOOKUP($B162,[1]평가!$B:$Z,MATCH(LEFT(J$2,2),[1]평가!$7:$7,0)-1,FALSE),"")</f>
        <v/>
      </c>
      <c r="K162" s="33" t="str">
        <f>IFERROR(VLOOKUP($B162,[2]평가!$B:$Z,MATCH(LEFT(K$2,2),[2]평가!$7:$7,0)-1,FALSE),"")</f>
        <v/>
      </c>
      <c r="L162" s="36" t="str">
        <f>IFERROR(VLOOKUP($B162,[2]평가!$B:$Z,MATCH(LEFT(L$2,2),[2]평가!$7:$7,0)-1,FALSE),"")</f>
        <v/>
      </c>
      <c r="M162" s="39" t="str">
        <f>IFERROR(VLOOKUP($B162,[2]평가!$B:$Z,MATCH(LEFT(M$2,2),[2]평가!$7:$7,0)-1,FALSE),"")</f>
        <v/>
      </c>
      <c r="N162" s="33" t="str">
        <f>IFERROR(VLOOKUP($B162,[3]평가!$B:$Z,MATCH(LEFT(N$2,2),[3]평가!$7:$7,0)-1,FALSE),"")</f>
        <v/>
      </c>
      <c r="O162" s="36" t="str">
        <f>IFERROR(VLOOKUP($B162,[3]평가!$B:$Z,MATCH(LEFT(O$2,2),[3]평가!$7:$7,0)-1,FALSE),"")</f>
        <v/>
      </c>
      <c r="P162" s="39" t="str">
        <f>IFERROR(VLOOKUP($B162,[3]평가!$B:$Z,MATCH(LEFT(P$2,2),[3]평가!$7:$7,0)-1,FALSE),"")</f>
        <v/>
      </c>
      <c r="Q162" s="33" t="str">
        <f>IFERROR(VLOOKUP($B162,[4]평가!$B:$Z,MATCH(LEFT(Q$2,2),[4]평가!$7:$7,0)-1,FALSE),"")</f>
        <v/>
      </c>
      <c r="R162" s="36" t="str">
        <f>IFERROR(VLOOKUP($B162,[4]평가!$B:$Z,MATCH(LEFT(R$2,2),[4]평가!$7:$7,0)-1,FALSE),"")</f>
        <v/>
      </c>
      <c r="S162" s="39" t="str">
        <f>IFERROR(VLOOKUP($B162,[4]평가!$B:$Z,MATCH(LEFT(S$2,2),[4]평가!$7:$7,0)-1,FALSE),"")</f>
        <v/>
      </c>
      <c r="T162" s="33" t="str">
        <f>IFERROR(VLOOKUP($B162,[5]평가!$B:$Z,MATCH(LEFT(T$2,2),[5]평가!$7:$7,0)-1,FALSE),"")</f>
        <v/>
      </c>
      <c r="U162" s="36" t="str">
        <f>IFERROR(VLOOKUP($B162,[5]평가!$B:$Z,MATCH(LEFT(U$2,2),[5]평가!$7:$7,0)-1,FALSE),"")</f>
        <v/>
      </c>
      <c r="V162" s="39" t="str">
        <f>IFERROR(VLOOKUP($B162,[5]평가!$B:$Z,MATCH(LEFT(V$2,2),[5]평가!$7:$7,0)-1,FALSE),"")</f>
        <v/>
      </c>
      <c r="W162" s="33" t="str">
        <f>IFERROR(VLOOKUP($B162,대상!$B:$AD,MATCH(W$2,대상!$1:$1,0)-1,FALSE),"")</f>
        <v/>
      </c>
      <c r="X162" s="20" t="str">
        <f t="shared" si="5"/>
        <v/>
      </c>
      <c r="Y162" s="21" t="e">
        <f t="shared" si="6"/>
        <v>#VALUE!</v>
      </c>
      <c r="Z162" s="40">
        <f>IFERROR(VLOOKUP($B162,대상!$B:$AD,MATCH(Z$2,대상!$1:$1,0)-1,FALSE),0)</f>
        <v>0</v>
      </c>
      <c r="AA162" s="41" t="str">
        <f t="shared" si="7"/>
        <v/>
      </c>
      <c r="AB162" s="35" t="e">
        <f t="shared" si="8"/>
        <v>#VALUE!</v>
      </c>
      <c r="AC162" s="54" t="str">
        <f t="shared" si="9"/>
        <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
      </c>
    </row>
    <row r="163" spans="1:32" ht="30" hidden="1" customHeight="1" x14ac:dyDescent="0.35">
      <c r="A163" s="4">
        <v>161</v>
      </c>
      <c r="B163" s="2"/>
      <c r="C163" s="38" t="str">
        <f>IFERROR(VLOOKUP($B163,대상!$B:$AC,MATCH(C$2,대상!$1:$1,0)-1,FALSE),"")</f>
        <v/>
      </c>
      <c r="D163" s="38" t="str">
        <f>IFERROR(VLOOKUP($B163,대상!$B:$AC,MATCH(D$2,대상!$1:$1,0)-1,FALSE),"")</f>
        <v/>
      </c>
      <c r="E163" s="36" t="str">
        <f>IFERROR(VLOOKUP($B163,대상!$B:$AC,MATCH(E$2,대상!$1:$1,0)-1,FALSE),"")</f>
        <v/>
      </c>
      <c r="F163" s="38" t="str">
        <f>IFERROR(VLOOKUP($B163,대상!$B:$AC,MATCH(F$2,대상!$1:$1,0)-1,FALSE),"")</f>
        <v/>
      </c>
      <c r="G163" s="38" t="str">
        <f>IFERROR(VLOOKUP($B163,대상!$B:$AC,MATCH(G$2,대상!$1:$1,0)-1,FALSE),"")</f>
        <v/>
      </c>
      <c r="H163" s="33" t="str">
        <f>IFERROR(VLOOKUP($B163,[1]평가!$B:$Z,MATCH(LEFT(H$2,2),[1]평가!$7:$7,0)-1,FALSE),"")</f>
        <v/>
      </c>
      <c r="I163" s="36" t="str">
        <f>IFERROR(VLOOKUP($B163,[1]평가!$B:$Z,MATCH(LEFT(I$2,2),[1]평가!$7:$7,0)-1,FALSE),"")</f>
        <v/>
      </c>
      <c r="J163" s="36" t="str">
        <f>IFERROR(VLOOKUP($B163,[1]평가!$B:$Z,MATCH(LEFT(J$2,2),[1]평가!$7:$7,0)-1,FALSE),"")</f>
        <v/>
      </c>
      <c r="K163" s="33" t="str">
        <f>IFERROR(VLOOKUP($B163,[2]평가!$B:$Z,MATCH(LEFT(K$2,2),[2]평가!$7:$7,0)-1,FALSE),"")</f>
        <v/>
      </c>
      <c r="L163" s="36" t="str">
        <f>IFERROR(VLOOKUP($B163,[2]평가!$B:$Z,MATCH(LEFT(L$2,2),[2]평가!$7:$7,0)-1,FALSE),"")</f>
        <v/>
      </c>
      <c r="M163" s="39" t="str">
        <f>IFERROR(VLOOKUP($B163,[2]평가!$B:$Z,MATCH(LEFT(M$2,2),[2]평가!$7:$7,0)-1,FALSE),"")</f>
        <v/>
      </c>
      <c r="N163" s="33" t="str">
        <f>IFERROR(VLOOKUP($B163,[3]평가!$B:$Z,MATCH(LEFT(N$2,2),[3]평가!$7:$7,0)-1,FALSE),"")</f>
        <v/>
      </c>
      <c r="O163" s="36" t="str">
        <f>IFERROR(VLOOKUP($B163,[3]평가!$B:$Z,MATCH(LEFT(O$2,2),[3]평가!$7:$7,0)-1,FALSE),"")</f>
        <v/>
      </c>
      <c r="P163" s="39" t="str">
        <f>IFERROR(VLOOKUP($B163,[3]평가!$B:$Z,MATCH(LEFT(P$2,2),[3]평가!$7:$7,0)-1,FALSE),"")</f>
        <v/>
      </c>
      <c r="Q163" s="33" t="str">
        <f>IFERROR(VLOOKUP($B163,[4]평가!$B:$Z,MATCH(LEFT(Q$2,2),[4]평가!$7:$7,0)-1,FALSE),"")</f>
        <v/>
      </c>
      <c r="R163" s="36" t="str">
        <f>IFERROR(VLOOKUP($B163,[4]평가!$B:$Z,MATCH(LEFT(R$2,2),[4]평가!$7:$7,0)-1,FALSE),"")</f>
        <v/>
      </c>
      <c r="S163" s="39" t="str">
        <f>IFERROR(VLOOKUP($B163,[4]평가!$B:$Z,MATCH(LEFT(S$2,2),[4]평가!$7:$7,0)-1,FALSE),"")</f>
        <v/>
      </c>
      <c r="T163" s="33" t="str">
        <f>IFERROR(VLOOKUP($B163,[5]평가!$B:$Z,MATCH(LEFT(T$2,2),[5]평가!$7:$7,0)-1,FALSE),"")</f>
        <v/>
      </c>
      <c r="U163" s="36" t="str">
        <f>IFERROR(VLOOKUP($B163,[5]평가!$B:$Z,MATCH(LEFT(U$2,2),[5]평가!$7:$7,0)-1,FALSE),"")</f>
        <v/>
      </c>
      <c r="V163" s="39" t="str">
        <f>IFERROR(VLOOKUP($B163,[5]평가!$B:$Z,MATCH(LEFT(V$2,2),[5]평가!$7:$7,0)-1,FALSE),"")</f>
        <v/>
      </c>
      <c r="W163" s="33" t="str">
        <f>IFERROR(VLOOKUP($B163,대상!$B:$AD,MATCH(W$2,대상!$1:$1,0)-1,FALSE),"")</f>
        <v/>
      </c>
      <c r="X163" s="20" t="str">
        <f t="shared" si="5"/>
        <v/>
      </c>
      <c r="Y163" s="21" t="e">
        <f t="shared" si="6"/>
        <v>#VALUE!</v>
      </c>
      <c r="Z163" s="40">
        <f>IFERROR(VLOOKUP($B163,대상!$B:$AD,MATCH(Z$2,대상!$1:$1,0)-1,FALSE),0)</f>
        <v>0</v>
      </c>
      <c r="AA163" s="41" t="str">
        <f t="shared" si="7"/>
        <v/>
      </c>
      <c r="AB163" s="35" t="e">
        <f t="shared" si="8"/>
        <v>#VALUE!</v>
      </c>
      <c r="AC163" s="54" t="str">
        <f t="shared" si="9"/>
        <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
      </c>
    </row>
    <row r="164" spans="1:32" ht="30" hidden="1" customHeight="1" x14ac:dyDescent="0.35">
      <c r="A164" s="4">
        <v>162</v>
      </c>
      <c r="B164" s="2"/>
      <c r="C164" s="38" t="str">
        <f>IFERROR(VLOOKUP($B164,대상!$B:$AC,MATCH(C$2,대상!$1:$1,0)-1,FALSE),"")</f>
        <v/>
      </c>
      <c r="D164" s="38" t="str">
        <f>IFERROR(VLOOKUP($B164,대상!$B:$AC,MATCH(D$2,대상!$1:$1,0)-1,FALSE),"")</f>
        <v/>
      </c>
      <c r="E164" s="36" t="str">
        <f>IFERROR(VLOOKUP($B164,대상!$B:$AC,MATCH(E$2,대상!$1:$1,0)-1,FALSE),"")</f>
        <v/>
      </c>
      <c r="F164" s="38" t="str">
        <f>IFERROR(VLOOKUP($B164,대상!$B:$AC,MATCH(F$2,대상!$1:$1,0)-1,FALSE),"")</f>
        <v/>
      </c>
      <c r="G164" s="38" t="str">
        <f>IFERROR(VLOOKUP($B164,대상!$B:$AC,MATCH(G$2,대상!$1:$1,0)-1,FALSE),"")</f>
        <v/>
      </c>
      <c r="H164" s="33" t="str">
        <f>IFERROR(VLOOKUP($B164,[1]평가!$B:$Z,MATCH(LEFT(H$2,2),[1]평가!$7:$7,0)-1,FALSE),"")</f>
        <v/>
      </c>
      <c r="I164" s="36" t="str">
        <f>IFERROR(VLOOKUP($B164,[1]평가!$B:$Z,MATCH(LEFT(I$2,2),[1]평가!$7:$7,0)-1,FALSE),"")</f>
        <v/>
      </c>
      <c r="J164" s="36" t="str">
        <f>IFERROR(VLOOKUP($B164,[1]평가!$B:$Z,MATCH(LEFT(J$2,2),[1]평가!$7:$7,0)-1,FALSE),"")</f>
        <v/>
      </c>
      <c r="K164" s="33" t="str">
        <f>IFERROR(VLOOKUP($B164,[2]평가!$B:$Z,MATCH(LEFT(K$2,2),[2]평가!$7:$7,0)-1,FALSE),"")</f>
        <v/>
      </c>
      <c r="L164" s="36" t="str">
        <f>IFERROR(VLOOKUP($B164,[2]평가!$B:$Z,MATCH(LEFT(L$2,2),[2]평가!$7:$7,0)-1,FALSE),"")</f>
        <v/>
      </c>
      <c r="M164" s="39" t="str">
        <f>IFERROR(VLOOKUP($B164,[2]평가!$B:$Z,MATCH(LEFT(M$2,2),[2]평가!$7:$7,0)-1,FALSE),"")</f>
        <v/>
      </c>
      <c r="N164" s="33" t="str">
        <f>IFERROR(VLOOKUP($B164,[3]평가!$B:$Z,MATCH(LEFT(N$2,2),[3]평가!$7:$7,0)-1,FALSE),"")</f>
        <v/>
      </c>
      <c r="O164" s="36" t="str">
        <f>IFERROR(VLOOKUP($B164,[3]평가!$B:$Z,MATCH(LEFT(O$2,2),[3]평가!$7:$7,0)-1,FALSE),"")</f>
        <v/>
      </c>
      <c r="P164" s="39" t="str">
        <f>IFERROR(VLOOKUP($B164,[3]평가!$B:$Z,MATCH(LEFT(P$2,2),[3]평가!$7:$7,0)-1,FALSE),"")</f>
        <v/>
      </c>
      <c r="Q164" s="33" t="str">
        <f>IFERROR(VLOOKUP($B164,[4]평가!$B:$Z,MATCH(LEFT(Q$2,2),[4]평가!$7:$7,0)-1,FALSE),"")</f>
        <v/>
      </c>
      <c r="R164" s="36" t="str">
        <f>IFERROR(VLOOKUP($B164,[4]평가!$B:$Z,MATCH(LEFT(R$2,2),[4]평가!$7:$7,0)-1,FALSE),"")</f>
        <v/>
      </c>
      <c r="S164" s="39" t="str">
        <f>IFERROR(VLOOKUP($B164,[4]평가!$B:$Z,MATCH(LEFT(S$2,2),[4]평가!$7:$7,0)-1,FALSE),"")</f>
        <v/>
      </c>
      <c r="T164" s="33" t="str">
        <f>IFERROR(VLOOKUP($B164,[5]평가!$B:$Z,MATCH(LEFT(T$2,2),[5]평가!$7:$7,0)-1,FALSE),"")</f>
        <v/>
      </c>
      <c r="U164" s="36" t="str">
        <f>IFERROR(VLOOKUP($B164,[5]평가!$B:$Z,MATCH(LEFT(U$2,2),[5]평가!$7:$7,0)-1,FALSE),"")</f>
        <v/>
      </c>
      <c r="V164" s="39" t="str">
        <f>IFERROR(VLOOKUP($B164,[5]평가!$B:$Z,MATCH(LEFT(V$2,2),[5]평가!$7:$7,0)-1,FALSE),"")</f>
        <v/>
      </c>
      <c r="W164" s="33" t="str">
        <f>IFERROR(VLOOKUP($B164,대상!$B:$AD,MATCH(W$2,대상!$1:$1,0)-1,FALSE),"")</f>
        <v/>
      </c>
      <c r="X164" s="20" t="str">
        <f t="shared" si="5"/>
        <v/>
      </c>
      <c r="Y164" s="21" t="e">
        <f t="shared" si="6"/>
        <v>#VALUE!</v>
      </c>
      <c r="Z164" s="40">
        <f>IFERROR(VLOOKUP($B164,대상!$B:$AD,MATCH(Z$2,대상!$1:$1,0)-1,FALSE),0)</f>
        <v>0</v>
      </c>
      <c r="AA164" s="41" t="str">
        <f t="shared" si="7"/>
        <v/>
      </c>
      <c r="AB164" s="35" t="e">
        <f t="shared" si="8"/>
        <v>#VALUE!</v>
      </c>
      <c r="AC164" s="54" t="str">
        <f t="shared" si="9"/>
        <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
      </c>
    </row>
    <row r="165" spans="1:32" ht="30" hidden="1" customHeight="1" x14ac:dyDescent="0.35">
      <c r="A165" s="4">
        <v>163</v>
      </c>
      <c r="B165" s="2"/>
      <c r="C165" s="38" t="str">
        <f>IFERROR(VLOOKUP($B165,대상!$B:$AC,MATCH(C$2,대상!$1:$1,0)-1,FALSE),"")</f>
        <v/>
      </c>
      <c r="D165" s="38" t="str">
        <f>IFERROR(VLOOKUP($B165,대상!$B:$AC,MATCH(D$2,대상!$1:$1,0)-1,FALSE),"")</f>
        <v/>
      </c>
      <c r="E165" s="36" t="str">
        <f>IFERROR(VLOOKUP($B165,대상!$B:$AC,MATCH(E$2,대상!$1:$1,0)-1,FALSE),"")</f>
        <v/>
      </c>
      <c r="F165" s="38" t="str">
        <f>IFERROR(VLOOKUP($B165,대상!$B:$AC,MATCH(F$2,대상!$1:$1,0)-1,FALSE),"")</f>
        <v/>
      </c>
      <c r="G165" s="38" t="str">
        <f>IFERROR(VLOOKUP($B165,대상!$B:$AC,MATCH(G$2,대상!$1:$1,0)-1,FALSE),"")</f>
        <v/>
      </c>
      <c r="H165" s="33" t="str">
        <f>IFERROR(VLOOKUP($B165,[1]평가!$B:$Z,MATCH(LEFT(H$2,2),[1]평가!$7:$7,0)-1,FALSE),"")</f>
        <v/>
      </c>
      <c r="I165" s="36" t="str">
        <f>IFERROR(VLOOKUP($B165,[1]평가!$B:$Z,MATCH(LEFT(I$2,2),[1]평가!$7:$7,0)-1,FALSE),"")</f>
        <v/>
      </c>
      <c r="J165" s="36" t="str">
        <f>IFERROR(VLOOKUP($B165,[1]평가!$B:$Z,MATCH(LEFT(J$2,2),[1]평가!$7:$7,0)-1,FALSE),"")</f>
        <v/>
      </c>
      <c r="K165" s="33" t="str">
        <f>IFERROR(VLOOKUP($B165,[2]평가!$B:$Z,MATCH(LEFT(K$2,2),[2]평가!$7:$7,0)-1,FALSE),"")</f>
        <v/>
      </c>
      <c r="L165" s="36" t="str">
        <f>IFERROR(VLOOKUP($B165,[2]평가!$B:$Z,MATCH(LEFT(L$2,2),[2]평가!$7:$7,0)-1,FALSE),"")</f>
        <v/>
      </c>
      <c r="M165" s="39" t="str">
        <f>IFERROR(VLOOKUP($B165,[2]평가!$B:$Z,MATCH(LEFT(M$2,2),[2]평가!$7:$7,0)-1,FALSE),"")</f>
        <v/>
      </c>
      <c r="N165" s="33" t="str">
        <f>IFERROR(VLOOKUP($B165,[3]평가!$B:$Z,MATCH(LEFT(N$2,2),[3]평가!$7:$7,0)-1,FALSE),"")</f>
        <v/>
      </c>
      <c r="O165" s="36" t="str">
        <f>IFERROR(VLOOKUP($B165,[3]평가!$B:$Z,MATCH(LEFT(O$2,2),[3]평가!$7:$7,0)-1,FALSE),"")</f>
        <v/>
      </c>
      <c r="P165" s="39" t="str">
        <f>IFERROR(VLOOKUP($B165,[3]평가!$B:$Z,MATCH(LEFT(P$2,2),[3]평가!$7:$7,0)-1,FALSE),"")</f>
        <v/>
      </c>
      <c r="Q165" s="33" t="str">
        <f>IFERROR(VLOOKUP($B165,[4]평가!$B:$Z,MATCH(LEFT(Q$2,2),[4]평가!$7:$7,0)-1,FALSE),"")</f>
        <v/>
      </c>
      <c r="R165" s="36" t="str">
        <f>IFERROR(VLOOKUP($B165,[4]평가!$B:$Z,MATCH(LEFT(R$2,2),[4]평가!$7:$7,0)-1,FALSE),"")</f>
        <v/>
      </c>
      <c r="S165" s="39" t="str">
        <f>IFERROR(VLOOKUP($B165,[4]평가!$B:$Z,MATCH(LEFT(S$2,2),[4]평가!$7:$7,0)-1,FALSE),"")</f>
        <v/>
      </c>
      <c r="T165" s="33" t="str">
        <f>IFERROR(VLOOKUP($B165,[5]평가!$B:$Z,MATCH(LEFT(T$2,2),[5]평가!$7:$7,0)-1,FALSE),"")</f>
        <v/>
      </c>
      <c r="U165" s="36" t="str">
        <f>IFERROR(VLOOKUP($B165,[5]평가!$B:$Z,MATCH(LEFT(U$2,2),[5]평가!$7:$7,0)-1,FALSE),"")</f>
        <v/>
      </c>
      <c r="V165" s="39" t="str">
        <f>IFERROR(VLOOKUP($B165,[5]평가!$B:$Z,MATCH(LEFT(V$2,2),[5]평가!$7:$7,0)-1,FALSE),"")</f>
        <v/>
      </c>
      <c r="W165" s="33" t="str">
        <f>IFERROR(VLOOKUP($B165,대상!$B:$AD,MATCH(W$2,대상!$1:$1,0)-1,FALSE),"")</f>
        <v/>
      </c>
      <c r="X165" s="20" t="str">
        <f t="shared" si="5"/>
        <v/>
      </c>
      <c r="Y165" s="21" t="e">
        <f t="shared" si="6"/>
        <v>#VALUE!</v>
      </c>
      <c r="Z165" s="40">
        <f>IFERROR(VLOOKUP($B165,대상!$B:$AD,MATCH(Z$2,대상!$1:$1,0)-1,FALSE),0)</f>
        <v>0</v>
      </c>
      <c r="AA165" s="41" t="str">
        <f t="shared" si="7"/>
        <v/>
      </c>
      <c r="AB165" s="35" t="e">
        <f t="shared" si="8"/>
        <v>#VALUE!</v>
      </c>
      <c r="AC165" s="54" t="str">
        <f t="shared" si="9"/>
        <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
      </c>
    </row>
    <row r="166" spans="1:32" ht="30" hidden="1" customHeight="1" x14ac:dyDescent="0.35">
      <c r="A166" s="4">
        <v>164</v>
      </c>
      <c r="B166" s="2"/>
      <c r="C166" s="38" t="str">
        <f>IFERROR(VLOOKUP($B166,대상!$B:$AC,MATCH(C$2,대상!$1:$1,0)-1,FALSE),"")</f>
        <v/>
      </c>
      <c r="D166" s="38" t="str">
        <f>IFERROR(VLOOKUP($B166,대상!$B:$AC,MATCH(D$2,대상!$1:$1,0)-1,FALSE),"")</f>
        <v/>
      </c>
      <c r="E166" s="36" t="str">
        <f>IFERROR(VLOOKUP($B166,대상!$B:$AC,MATCH(E$2,대상!$1:$1,0)-1,FALSE),"")</f>
        <v/>
      </c>
      <c r="F166" s="38" t="str">
        <f>IFERROR(VLOOKUP($B166,대상!$B:$AC,MATCH(F$2,대상!$1:$1,0)-1,FALSE),"")</f>
        <v/>
      </c>
      <c r="G166" s="38" t="str">
        <f>IFERROR(VLOOKUP($B166,대상!$B:$AC,MATCH(G$2,대상!$1:$1,0)-1,FALSE),"")</f>
        <v/>
      </c>
      <c r="H166" s="33" t="str">
        <f>IFERROR(VLOOKUP($B166,[1]평가!$B:$Z,MATCH(LEFT(H$2,2),[1]평가!$7:$7,0)-1,FALSE),"")</f>
        <v/>
      </c>
      <c r="I166" s="36" t="str">
        <f>IFERROR(VLOOKUP($B166,[1]평가!$B:$Z,MATCH(LEFT(I$2,2),[1]평가!$7:$7,0)-1,FALSE),"")</f>
        <v/>
      </c>
      <c r="J166" s="36" t="str">
        <f>IFERROR(VLOOKUP($B166,[1]평가!$B:$Z,MATCH(LEFT(J$2,2),[1]평가!$7:$7,0)-1,FALSE),"")</f>
        <v/>
      </c>
      <c r="K166" s="33" t="str">
        <f>IFERROR(VLOOKUP($B166,[2]평가!$B:$Z,MATCH(LEFT(K$2,2),[2]평가!$7:$7,0)-1,FALSE),"")</f>
        <v/>
      </c>
      <c r="L166" s="36" t="str">
        <f>IFERROR(VLOOKUP($B166,[2]평가!$B:$Z,MATCH(LEFT(L$2,2),[2]평가!$7:$7,0)-1,FALSE),"")</f>
        <v/>
      </c>
      <c r="M166" s="39" t="str">
        <f>IFERROR(VLOOKUP($B166,[2]평가!$B:$Z,MATCH(LEFT(M$2,2),[2]평가!$7:$7,0)-1,FALSE),"")</f>
        <v/>
      </c>
      <c r="N166" s="33" t="str">
        <f>IFERROR(VLOOKUP($B166,[3]평가!$B:$Z,MATCH(LEFT(N$2,2),[3]평가!$7:$7,0)-1,FALSE),"")</f>
        <v/>
      </c>
      <c r="O166" s="36" t="str">
        <f>IFERROR(VLOOKUP($B166,[3]평가!$B:$Z,MATCH(LEFT(O$2,2),[3]평가!$7:$7,0)-1,FALSE),"")</f>
        <v/>
      </c>
      <c r="P166" s="39" t="str">
        <f>IFERROR(VLOOKUP($B166,[3]평가!$B:$Z,MATCH(LEFT(P$2,2),[3]평가!$7:$7,0)-1,FALSE),"")</f>
        <v/>
      </c>
      <c r="Q166" s="33" t="str">
        <f>IFERROR(VLOOKUP($B166,[4]평가!$B:$Z,MATCH(LEFT(Q$2,2),[4]평가!$7:$7,0)-1,FALSE),"")</f>
        <v/>
      </c>
      <c r="R166" s="36" t="str">
        <f>IFERROR(VLOOKUP($B166,[4]평가!$B:$Z,MATCH(LEFT(R$2,2),[4]평가!$7:$7,0)-1,FALSE),"")</f>
        <v/>
      </c>
      <c r="S166" s="39" t="str">
        <f>IFERROR(VLOOKUP($B166,[4]평가!$B:$Z,MATCH(LEFT(S$2,2),[4]평가!$7:$7,0)-1,FALSE),"")</f>
        <v/>
      </c>
      <c r="T166" s="33" t="str">
        <f>IFERROR(VLOOKUP($B166,[5]평가!$B:$Z,MATCH(LEFT(T$2,2),[5]평가!$7:$7,0)-1,FALSE),"")</f>
        <v/>
      </c>
      <c r="U166" s="36" t="str">
        <f>IFERROR(VLOOKUP($B166,[5]평가!$B:$Z,MATCH(LEFT(U$2,2),[5]평가!$7:$7,0)-1,FALSE),"")</f>
        <v/>
      </c>
      <c r="V166" s="39" t="str">
        <f>IFERROR(VLOOKUP($B166,[5]평가!$B:$Z,MATCH(LEFT(V$2,2),[5]평가!$7:$7,0)-1,FALSE),"")</f>
        <v/>
      </c>
      <c r="W166" s="33" t="str">
        <f>IFERROR(VLOOKUP($B166,대상!$B:$AD,MATCH(W$2,대상!$1:$1,0)-1,FALSE),"")</f>
        <v/>
      </c>
      <c r="X166" s="20" t="str">
        <f t="shared" si="5"/>
        <v/>
      </c>
      <c r="Y166" s="21" t="e">
        <f t="shared" si="6"/>
        <v>#VALUE!</v>
      </c>
      <c r="Z166" s="40">
        <f>IFERROR(VLOOKUP($B166,대상!$B:$AD,MATCH(Z$2,대상!$1:$1,0)-1,FALSE),0)</f>
        <v>0</v>
      </c>
      <c r="AA166" s="41" t="str">
        <f t="shared" si="7"/>
        <v/>
      </c>
      <c r="AB166" s="35" t="e">
        <f t="shared" si="8"/>
        <v>#VALUE!</v>
      </c>
      <c r="AC166" s="54" t="str">
        <f t="shared" si="9"/>
        <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
      </c>
    </row>
    <row r="167" spans="1:32" ht="30" hidden="1" customHeight="1" x14ac:dyDescent="0.35">
      <c r="A167" s="4">
        <v>165</v>
      </c>
      <c r="B167" s="2"/>
      <c r="C167" s="38" t="str">
        <f>IFERROR(VLOOKUP($B167,대상!$B:$AC,MATCH(C$2,대상!$1:$1,0)-1,FALSE),"")</f>
        <v/>
      </c>
      <c r="D167" s="38" t="str">
        <f>IFERROR(VLOOKUP($B167,대상!$B:$AC,MATCH(D$2,대상!$1:$1,0)-1,FALSE),"")</f>
        <v/>
      </c>
      <c r="E167" s="36" t="str">
        <f>IFERROR(VLOOKUP($B167,대상!$B:$AC,MATCH(E$2,대상!$1:$1,0)-1,FALSE),"")</f>
        <v/>
      </c>
      <c r="F167" s="38" t="str">
        <f>IFERROR(VLOOKUP($B167,대상!$B:$AC,MATCH(F$2,대상!$1:$1,0)-1,FALSE),"")</f>
        <v/>
      </c>
      <c r="G167" s="38" t="str">
        <f>IFERROR(VLOOKUP($B167,대상!$B:$AC,MATCH(G$2,대상!$1:$1,0)-1,FALSE),"")</f>
        <v/>
      </c>
      <c r="H167" s="33" t="str">
        <f>IFERROR(VLOOKUP($B167,[1]평가!$B:$Z,MATCH(LEFT(H$2,2),[1]평가!$7:$7,0)-1,FALSE),"")</f>
        <v/>
      </c>
      <c r="I167" s="36" t="str">
        <f>IFERROR(VLOOKUP($B167,[1]평가!$B:$Z,MATCH(LEFT(I$2,2),[1]평가!$7:$7,0)-1,FALSE),"")</f>
        <v/>
      </c>
      <c r="J167" s="36" t="str">
        <f>IFERROR(VLOOKUP($B167,[1]평가!$B:$Z,MATCH(LEFT(J$2,2),[1]평가!$7:$7,0)-1,FALSE),"")</f>
        <v/>
      </c>
      <c r="K167" s="33" t="str">
        <f>IFERROR(VLOOKUP($B167,[2]평가!$B:$Z,MATCH(LEFT(K$2,2),[2]평가!$7:$7,0)-1,FALSE),"")</f>
        <v/>
      </c>
      <c r="L167" s="36" t="str">
        <f>IFERROR(VLOOKUP($B167,[2]평가!$B:$Z,MATCH(LEFT(L$2,2),[2]평가!$7:$7,0)-1,FALSE),"")</f>
        <v/>
      </c>
      <c r="M167" s="39" t="str">
        <f>IFERROR(VLOOKUP($B167,[2]평가!$B:$Z,MATCH(LEFT(M$2,2),[2]평가!$7:$7,0)-1,FALSE),"")</f>
        <v/>
      </c>
      <c r="N167" s="33" t="str">
        <f>IFERROR(VLOOKUP($B167,[3]평가!$B:$Z,MATCH(LEFT(N$2,2),[3]평가!$7:$7,0)-1,FALSE),"")</f>
        <v/>
      </c>
      <c r="O167" s="36" t="str">
        <f>IFERROR(VLOOKUP($B167,[3]평가!$B:$Z,MATCH(LEFT(O$2,2),[3]평가!$7:$7,0)-1,FALSE),"")</f>
        <v/>
      </c>
      <c r="P167" s="39" t="str">
        <f>IFERROR(VLOOKUP($B167,[3]평가!$B:$Z,MATCH(LEFT(P$2,2),[3]평가!$7:$7,0)-1,FALSE),"")</f>
        <v/>
      </c>
      <c r="Q167" s="33" t="str">
        <f>IFERROR(VLOOKUP($B167,[4]평가!$B:$Z,MATCH(LEFT(Q$2,2),[4]평가!$7:$7,0)-1,FALSE),"")</f>
        <v/>
      </c>
      <c r="R167" s="36" t="str">
        <f>IFERROR(VLOOKUP($B167,[4]평가!$B:$Z,MATCH(LEFT(R$2,2),[4]평가!$7:$7,0)-1,FALSE),"")</f>
        <v/>
      </c>
      <c r="S167" s="39" t="str">
        <f>IFERROR(VLOOKUP($B167,[4]평가!$B:$Z,MATCH(LEFT(S$2,2),[4]평가!$7:$7,0)-1,FALSE),"")</f>
        <v/>
      </c>
      <c r="T167" s="33" t="str">
        <f>IFERROR(VLOOKUP($B167,[5]평가!$B:$Z,MATCH(LEFT(T$2,2),[5]평가!$7:$7,0)-1,FALSE),"")</f>
        <v/>
      </c>
      <c r="U167" s="36" t="str">
        <f>IFERROR(VLOOKUP($B167,[5]평가!$B:$Z,MATCH(LEFT(U$2,2),[5]평가!$7:$7,0)-1,FALSE),"")</f>
        <v/>
      </c>
      <c r="V167" s="39" t="str">
        <f>IFERROR(VLOOKUP($B167,[5]평가!$B:$Z,MATCH(LEFT(V$2,2),[5]평가!$7:$7,0)-1,FALSE),"")</f>
        <v/>
      </c>
      <c r="W167" s="33" t="str">
        <f>IFERROR(VLOOKUP($B167,대상!$B:$AD,MATCH(W$2,대상!$1:$1,0)-1,FALSE),"")</f>
        <v/>
      </c>
      <c r="X167" s="20" t="str">
        <f t="shared" si="5"/>
        <v/>
      </c>
      <c r="Y167" s="21" t="e">
        <f t="shared" si="6"/>
        <v>#VALUE!</v>
      </c>
      <c r="Z167" s="40">
        <f>IFERROR(VLOOKUP($B167,대상!$B:$AD,MATCH(Z$2,대상!$1:$1,0)-1,FALSE),0)</f>
        <v>0</v>
      </c>
      <c r="AA167" s="41" t="str">
        <f t="shared" si="7"/>
        <v/>
      </c>
      <c r="AB167" s="35" t="e">
        <f t="shared" si="8"/>
        <v>#VALUE!</v>
      </c>
      <c r="AC167" s="54" t="str">
        <f t="shared" si="9"/>
        <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
      </c>
    </row>
    <row r="168" spans="1:32" ht="30" hidden="1" customHeight="1" x14ac:dyDescent="0.35">
      <c r="A168" s="4">
        <v>166</v>
      </c>
      <c r="B168" s="2"/>
      <c r="C168" s="38" t="str">
        <f>IFERROR(VLOOKUP($B168,대상!$B:$AC,MATCH(C$2,대상!$1:$1,0)-1,FALSE),"")</f>
        <v/>
      </c>
      <c r="D168" s="38" t="str">
        <f>IFERROR(VLOOKUP($B168,대상!$B:$AC,MATCH(D$2,대상!$1:$1,0)-1,FALSE),"")</f>
        <v/>
      </c>
      <c r="E168" s="36" t="str">
        <f>IFERROR(VLOOKUP($B168,대상!$B:$AC,MATCH(E$2,대상!$1:$1,0)-1,FALSE),"")</f>
        <v/>
      </c>
      <c r="F168" s="38" t="str">
        <f>IFERROR(VLOOKUP($B168,대상!$B:$AC,MATCH(F$2,대상!$1:$1,0)-1,FALSE),"")</f>
        <v/>
      </c>
      <c r="G168" s="38" t="str">
        <f>IFERROR(VLOOKUP($B168,대상!$B:$AC,MATCH(G$2,대상!$1:$1,0)-1,FALSE),"")</f>
        <v/>
      </c>
      <c r="H168" s="33" t="str">
        <f>IFERROR(VLOOKUP($B168,[1]평가!$B:$Z,MATCH(LEFT(H$2,2),[1]평가!$7:$7,0)-1,FALSE),"")</f>
        <v/>
      </c>
      <c r="I168" s="36" t="str">
        <f>IFERROR(VLOOKUP($B168,[1]평가!$B:$Z,MATCH(LEFT(I$2,2),[1]평가!$7:$7,0)-1,FALSE),"")</f>
        <v/>
      </c>
      <c r="J168" s="36" t="str">
        <f>IFERROR(VLOOKUP($B168,[1]평가!$B:$Z,MATCH(LEFT(J$2,2),[1]평가!$7:$7,0)-1,FALSE),"")</f>
        <v/>
      </c>
      <c r="K168" s="33" t="str">
        <f>IFERROR(VLOOKUP($B168,[2]평가!$B:$Z,MATCH(LEFT(K$2,2),[2]평가!$7:$7,0)-1,FALSE),"")</f>
        <v/>
      </c>
      <c r="L168" s="36" t="str">
        <f>IFERROR(VLOOKUP($B168,[2]평가!$B:$Z,MATCH(LEFT(L$2,2),[2]평가!$7:$7,0)-1,FALSE),"")</f>
        <v/>
      </c>
      <c r="M168" s="39" t="str">
        <f>IFERROR(VLOOKUP($B168,[2]평가!$B:$Z,MATCH(LEFT(M$2,2),[2]평가!$7:$7,0)-1,FALSE),"")</f>
        <v/>
      </c>
      <c r="N168" s="33" t="str">
        <f>IFERROR(VLOOKUP($B168,[3]평가!$B:$Z,MATCH(LEFT(N$2,2),[3]평가!$7:$7,0)-1,FALSE),"")</f>
        <v/>
      </c>
      <c r="O168" s="36" t="str">
        <f>IFERROR(VLOOKUP($B168,[3]평가!$B:$Z,MATCH(LEFT(O$2,2),[3]평가!$7:$7,0)-1,FALSE),"")</f>
        <v/>
      </c>
      <c r="P168" s="39" t="str">
        <f>IFERROR(VLOOKUP($B168,[3]평가!$B:$Z,MATCH(LEFT(P$2,2),[3]평가!$7:$7,0)-1,FALSE),"")</f>
        <v/>
      </c>
      <c r="Q168" s="33" t="str">
        <f>IFERROR(VLOOKUP($B168,[4]평가!$B:$Z,MATCH(LEFT(Q$2,2),[4]평가!$7:$7,0)-1,FALSE),"")</f>
        <v/>
      </c>
      <c r="R168" s="36" t="str">
        <f>IFERROR(VLOOKUP($B168,[4]평가!$B:$Z,MATCH(LEFT(R$2,2),[4]평가!$7:$7,0)-1,FALSE),"")</f>
        <v/>
      </c>
      <c r="S168" s="39" t="str">
        <f>IFERROR(VLOOKUP($B168,[4]평가!$B:$Z,MATCH(LEFT(S$2,2),[4]평가!$7:$7,0)-1,FALSE),"")</f>
        <v/>
      </c>
      <c r="T168" s="33" t="str">
        <f>IFERROR(VLOOKUP($B168,[5]평가!$B:$Z,MATCH(LEFT(T$2,2),[5]평가!$7:$7,0)-1,FALSE),"")</f>
        <v/>
      </c>
      <c r="U168" s="36" t="str">
        <f>IFERROR(VLOOKUP($B168,[5]평가!$B:$Z,MATCH(LEFT(U$2,2),[5]평가!$7:$7,0)-1,FALSE),"")</f>
        <v/>
      </c>
      <c r="V168" s="39" t="str">
        <f>IFERROR(VLOOKUP($B168,[5]평가!$B:$Z,MATCH(LEFT(V$2,2),[5]평가!$7:$7,0)-1,FALSE),"")</f>
        <v/>
      </c>
      <c r="W168" s="33" t="str">
        <f>IFERROR(VLOOKUP($B168,대상!$B:$AD,MATCH(W$2,대상!$1:$1,0)-1,FALSE),"")</f>
        <v/>
      </c>
      <c r="X168" s="20" t="str">
        <f t="shared" si="5"/>
        <v/>
      </c>
      <c r="Y168" s="21" t="e">
        <f t="shared" si="6"/>
        <v>#VALUE!</v>
      </c>
      <c r="Z168" s="40">
        <f>IFERROR(VLOOKUP($B168,대상!$B:$AD,MATCH(Z$2,대상!$1:$1,0)-1,FALSE),0)</f>
        <v>0</v>
      </c>
      <c r="AA168" s="41" t="str">
        <f t="shared" si="7"/>
        <v/>
      </c>
      <c r="AB168" s="35" t="e">
        <f t="shared" si="8"/>
        <v>#VALUE!</v>
      </c>
      <c r="AC168" s="54" t="str">
        <f t="shared" si="9"/>
        <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
      </c>
    </row>
    <row r="169" spans="1:32" ht="30" hidden="1" customHeight="1" x14ac:dyDescent="0.35">
      <c r="A169" s="4">
        <v>167</v>
      </c>
      <c r="B169" s="2"/>
      <c r="C169" s="38" t="str">
        <f>IFERROR(VLOOKUP($B169,대상!$B:$AC,MATCH(C$2,대상!$1:$1,0)-1,FALSE),"")</f>
        <v/>
      </c>
      <c r="D169" s="38" t="str">
        <f>IFERROR(VLOOKUP($B169,대상!$B:$AC,MATCH(D$2,대상!$1:$1,0)-1,FALSE),"")</f>
        <v/>
      </c>
      <c r="E169" s="36" t="str">
        <f>IFERROR(VLOOKUP($B169,대상!$B:$AC,MATCH(E$2,대상!$1:$1,0)-1,FALSE),"")</f>
        <v/>
      </c>
      <c r="F169" s="38" t="str">
        <f>IFERROR(VLOOKUP($B169,대상!$B:$AC,MATCH(F$2,대상!$1:$1,0)-1,FALSE),"")</f>
        <v/>
      </c>
      <c r="G169" s="38" t="str">
        <f>IFERROR(VLOOKUP($B169,대상!$B:$AC,MATCH(G$2,대상!$1:$1,0)-1,FALSE),"")</f>
        <v/>
      </c>
      <c r="H169" s="33" t="str">
        <f>IFERROR(VLOOKUP($B169,[1]평가!$B:$Z,MATCH(LEFT(H$2,2),[1]평가!$7:$7,0)-1,FALSE),"")</f>
        <v/>
      </c>
      <c r="I169" s="36" t="str">
        <f>IFERROR(VLOOKUP($B169,[1]평가!$B:$Z,MATCH(LEFT(I$2,2),[1]평가!$7:$7,0)-1,FALSE),"")</f>
        <v/>
      </c>
      <c r="J169" s="36" t="str">
        <f>IFERROR(VLOOKUP($B169,[1]평가!$B:$Z,MATCH(LEFT(J$2,2),[1]평가!$7:$7,0)-1,FALSE),"")</f>
        <v/>
      </c>
      <c r="K169" s="33" t="str">
        <f>IFERROR(VLOOKUP($B169,[2]평가!$B:$Z,MATCH(LEFT(K$2,2),[2]평가!$7:$7,0)-1,FALSE),"")</f>
        <v/>
      </c>
      <c r="L169" s="36" t="str">
        <f>IFERROR(VLOOKUP($B169,[2]평가!$B:$Z,MATCH(LEFT(L$2,2),[2]평가!$7:$7,0)-1,FALSE),"")</f>
        <v/>
      </c>
      <c r="M169" s="39" t="str">
        <f>IFERROR(VLOOKUP($B169,[2]평가!$B:$Z,MATCH(LEFT(M$2,2),[2]평가!$7:$7,0)-1,FALSE),"")</f>
        <v/>
      </c>
      <c r="N169" s="33" t="str">
        <f>IFERROR(VLOOKUP($B169,[3]평가!$B:$Z,MATCH(LEFT(N$2,2),[3]평가!$7:$7,0)-1,FALSE),"")</f>
        <v/>
      </c>
      <c r="O169" s="36" t="str">
        <f>IFERROR(VLOOKUP($B169,[3]평가!$B:$Z,MATCH(LEFT(O$2,2),[3]평가!$7:$7,0)-1,FALSE),"")</f>
        <v/>
      </c>
      <c r="P169" s="39" t="str">
        <f>IFERROR(VLOOKUP($B169,[3]평가!$B:$Z,MATCH(LEFT(P$2,2),[3]평가!$7:$7,0)-1,FALSE),"")</f>
        <v/>
      </c>
      <c r="Q169" s="33" t="str">
        <f>IFERROR(VLOOKUP($B169,[4]평가!$B:$Z,MATCH(LEFT(Q$2,2),[4]평가!$7:$7,0)-1,FALSE),"")</f>
        <v/>
      </c>
      <c r="R169" s="36" t="str">
        <f>IFERROR(VLOOKUP($B169,[4]평가!$B:$Z,MATCH(LEFT(R$2,2),[4]평가!$7:$7,0)-1,FALSE),"")</f>
        <v/>
      </c>
      <c r="S169" s="39" t="str">
        <f>IFERROR(VLOOKUP($B169,[4]평가!$B:$Z,MATCH(LEFT(S$2,2),[4]평가!$7:$7,0)-1,FALSE),"")</f>
        <v/>
      </c>
      <c r="T169" s="33" t="str">
        <f>IFERROR(VLOOKUP($B169,[5]평가!$B:$Z,MATCH(LEFT(T$2,2),[5]평가!$7:$7,0)-1,FALSE),"")</f>
        <v/>
      </c>
      <c r="U169" s="36" t="str">
        <f>IFERROR(VLOOKUP($B169,[5]평가!$B:$Z,MATCH(LEFT(U$2,2),[5]평가!$7:$7,0)-1,FALSE),"")</f>
        <v/>
      </c>
      <c r="V169" s="39" t="str">
        <f>IFERROR(VLOOKUP($B169,[5]평가!$B:$Z,MATCH(LEFT(V$2,2),[5]평가!$7:$7,0)-1,FALSE),"")</f>
        <v/>
      </c>
      <c r="W169" s="33" t="str">
        <f>IFERROR(VLOOKUP($B169,대상!$B:$AD,MATCH(W$2,대상!$1:$1,0)-1,FALSE),"")</f>
        <v/>
      </c>
      <c r="X169" s="20" t="str">
        <f t="shared" si="5"/>
        <v/>
      </c>
      <c r="Y169" s="21" t="e">
        <f t="shared" si="6"/>
        <v>#VALUE!</v>
      </c>
      <c r="Z169" s="40">
        <f>IFERROR(VLOOKUP($B169,대상!$B:$AD,MATCH(Z$2,대상!$1:$1,0)-1,FALSE),0)</f>
        <v>0</v>
      </c>
      <c r="AA169" s="41" t="str">
        <f t="shared" si="7"/>
        <v/>
      </c>
      <c r="AB169" s="35" t="e">
        <f t="shared" si="8"/>
        <v>#VALUE!</v>
      </c>
      <c r="AC169" s="54" t="str">
        <f t="shared" si="9"/>
        <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
      </c>
    </row>
    <row r="170" spans="1:32" ht="30" hidden="1" customHeight="1" x14ac:dyDescent="0.35">
      <c r="A170" s="4">
        <v>168</v>
      </c>
      <c r="B170" s="2"/>
      <c r="C170" s="38" t="str">
        <f>IFERROR(VLOOKUP($B170,대상!$B:$AC,MATCH(C$2,대상!$1:$1,0)-1,FALSE),"")</f>
        <v/>
      </c>
      <c r="D170" s="38" t="str">
        <f>IFERROR(VLOOKUP($B170,대상!$B:$AC,MATCH(D$2,대상!$1:$1,0)-1,FALSE),"")</f>
        <v/>
      </c>
      <c r="E170" s="36" t="str">
        <f>IFERROR(VLOOKUP($B170,대상!$B:$AC,MATCH(E$2,대상!$1:$1,0)-1,FALSE),"")</f>
        <v/>
      </c>
      <c r="F170" s="38" t="str">
        <f>IFERROR(VLOOKUP($B170,대상!$B:$AC,MATCH(F$2,대상!$1:$1,0)-1,FALSE),"")</f>
        <v/>
      </c>
      <c r="G170" s="38" t="str">
        <f>IFERROR(VLOOKUP($B170,대상!$B:$AC,MATCH(G$2,대상!$1:$1,0)-1,FALSE),"")</f>
        <v/>
      </c>
      <c r="H170" s="33" t="str">
        <f>IFERROR(VLOOKUP($B170,[1]평가!$B:$Z,MATCH(LEFT(H$2,2),[1]평가!$7:$7,0)-1,FALSE),"")</f>
        <v/>
      </c>
      <c r="I170" s="36" t="str">
        <f>IFERROR(VLOOKUP($B170,[1]평가!$B:$Z,MATCH(LEFT(I$2,2),[1]평가!$7:$7,0)-1,FALSE),"")</f>
        <v/>
      </c>
      <c r="J170" s="36" t="str">
        <f>IFERROR(VLOOKUP($B170,[1]평가!$B:$Z,MATCH(LEFT(J$2,2),[1]평가!$7:$7,0)-1,FALSE),"")</f>
        <v/>
      </c>
      <c r="K170" s="33" t="str">
        <f>IFERROR(VLOOKUP($B170,[2]평가!$B:$Z,MATCH(LEFT(K$2,2),[2]평가!$7:$7,0)-1,FALSE),"")</f>
        <v/>
      </c>
      <c r="L170" s="36" t="str">
        <f>IFERROR(VLOOKUP($B170,[2]평가!$B:$Z,MATCH(LEFT(L$2,2),[2]평가!$7:$7,0)-1,FALSE),"")</f>
        <v/>
      </c>
      <c r="M170" s="39" t="str">
        <f>IFERROR(VLOOKUP($B170,[2]평가!$B:$Z,MATCH(LEFT(M$2,2),[2]평가!$7:$7,0)-1,FALSE),"")</f>
        <v/>
      </c>
      <c r="N170" s="33" t="str">
        <f>IFERROR(VLOOKUP($B170,[3]평가!$B:$Z,MATCH(LEFT(N$2,2),[3]평가!$7:$7,0)-1,FALSE),"")</f>
        <v/>
      </c>
      <c r="O170" s="36" t="str">
        <f>IFERROR(VLOOKUP($B170,[3]평가!$B:$Z,MATCH(LEFT(O$2,2),[3]평가!$7:$7,0)-1,FALSE),"")</f>
        <v/>
      </c>
      <c r="P170" s="39" t="str">
        <f>IFERROR(VLOOKUP($B170,[3]평가!$B:$Z,MATCH(LEFT(P$2,2),[3]평가!$7:$7,0)-1,FALSE),"")</f>
        <v/>
      </c>
      <c r="Q170" s="33" t="str">
        <f>IFERROR(VLOOKUP($B170,[4]평가!$B:$Z,MATCH(LEFT(Q$2,2),[4]평가!$7:$7,0)-1,FALSE),"")</f>
        <v/>
      </c>
      <c r="R170" s="36" t="str">
        <f>IFERROR(VLOOKUP($B170,[4]평가!$B:$Z,MATCH(LEFT(R$2,2),[4]평가!$7:$7,0)-1,FALSE),"")</f>
        <v/>
      </c>
      <c r="S170" s="39" t="str">
        <f>IFERROR(VLOOKUP($B170,[4]평가!$B:$Z,MATCH(LEFT(S$2,2),[4]평가!$7:$7,0)-1,FALSE),"")</f>
        <v/>
      </c>
      <c r="T170" s="33" t="str">
        <f>IFERROR(VLOOKUP($B170,[5]평가!$B:$Z,MATCH(LEFT(T$2,2),[5]평가!$7:$7,0)-1,FALSE),"")</f>
        <v/>
      </c>
      <c r="U170" s="36" t="str">
        <f>IFERROR(VLOOKUP($B170,[5]평가!$B:$Z,MATCH(LEFT(U$2,2),[5]평가!$7:$7,0)-1,FALSE),"")</f>
        <v/>
      </c>
      <c r="V170" s="39" t="str">
        <f>IFERROR(VLOOKUP($B170,[5]평가!$B:$Z,MATCH(LEFT(V$2,2),[5]평가!$7:$7,0)-1,FALSE),"")</f>
        <v/>
      </c>
      <c r="W170" s="33" t="str">
        <f>IFERROR(VLOOKUP($B170,대상!$B:$AD,MATCH(W$2,대상!$1:$1,0)-1,FALSE),"")</f>
        <v/>
      </c>
      <c r="X170" s="20" t="str">
        <f t="shared" si="5"/>
        <v/>
      </c>
      <c r="Y170" s="21" t="e">
        <f t="shared" si="6"/>
        <v>#VALUE!</v>
      </c>
      <c r="Z170" s="40">
        <f>IFERROR(VLOOKUP($B170,대상!$B:$AD,MATCH(Z$2,대상!$1:$1,0)-1,FALSE),0)</f>
        <v>0</v>
      </c>
      <c r="AA170" s="41" t="str">
        <f t="shared" si="7"/>
        <v/>
      </c>
      <c r="AB170" s="35" t="e">
        <f t="shared" si="8"/>
        <v>#VALUE!</v>
      </c>
      <c r="AC170" s="54" t="str">
        <f t="shared" si="9"/>
        <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
      </c>
    </row>
    <row r="171" spans="1:32" ht="30" hidden="1" customHeight="1" x14ac:dyDescent="0.35">
      <c r="A171" s="4">
        <v>169</v>
      </c>
      <c r="B171" s="2"/>
      <c r="C171" s="38" t="str">
        <f>IFERROR(VLOOKUP($B171,대상!$B:$AC,MATCH(C$2,대상!$1:$1,0)-1,FALSE),"")</f>
        <v/>
      </c>
      <c r="D171" s="38" t="str">
        <f>IFERROR(VLOOKUP($B171,대상!$B:$AC,MATCH(D$2,대상!$1:$1,0)-1,FALSE),"")</f>
        <v/>
      </c>
      <c r="E171" s="36" t="str">
        <f>IFERROR(VLOOKUP($B171,대상!$B:$AC,MATCH(E$2,대상!$1:$1,0)-1,FALSE),"")</f>
        <v/>
      </c>
      <c r="F171" s="38" t="str">
        <f>IFERROR(VLOOKUP($B171,대상!$B:$AC,MATCH(F$2,대상!$1:$1,0)-1,FALSE),"")</f>
        <v/>
      </c>
      <c r="G171" s="38" t="str">
        <f>IFERROR(VLOOKUP($B171,대상!$B:$AC,MATCH(G$2,대상!$1:$1,0)-1,FALSE),"")</f>
        <v/>
      </c>
      <c r="H171" s="33" t="str">
        <f>IFERROR(VLOOKUP($B171,[1]평가!$B:$Z,MATCH(LEFT(H$2,2),[1]평가!$7:$7,0)-1,FALSE),"")</f>
        <v/>
      </c>
      <c r="I171" s="36" t="str">
        <f>IFERROR(VLOOKUP($B171,[1]평가!$B:$Z,MATCH(LEFT(I$2,2),[1]평가!$7:$7,0)-1,FALSE),"")</f>
        <v/>
      </c>
      <c r="J171" s="36" t="str">
        <f>IFERROR(VLOOKUP($B171,[1]평가!$B:$Z,MATCH(LEFT(J$2,2),[1]평가!$7:$7,0)-1,FALSE),"")</f>
        <v/>
      </c>
      <c r="K171" s="33" t="str">
        <f>IFERROR(VLOOKUP($B171,[2]평가!$B:$Z,MATCH(LEFT(K$2,2),[2]평가!$7:$7,0)-1,FALSE),"")</f>
        <v/>
      </c>
      <c r="L171" s="36" t="str">
        <f>IFERROR(VLOOKUP($B171,[2]평가!$B:$Z,MATCH(LEFT(L$2,2),[2]평가!$7:$7,0)-1,FALSE),"")</f>
        <v/>
      </c>
      <c r="M171" s="39" t="str">
        <f>IFERROR(VLOOKUP($B171,[2]평가!$B:$Z,MATCH(LEFT(M$2,2),[2]평가!$7:$7,0)-1,FALSE),"")</f>
        <v/>
      </c>
      <c r="N171" s="33" t="str">
        <f>IFERROR(VLOOKUP($B171,[3]평가!$B:$Z,MATCH(LEFT(N$2,2),[3]평가!$7:$7,0)-1,FALSE),"")</f>
        <v/>
      </c>
      <c r="O171" s="36" t="str">
        <f>IFERROR(VLOOKUP($B171,[3]평가!$B:$Z,MATCH(LEFT(O$2,2),[3]평가!$7:$7,0)-1,FALSE),"")</f>
        <v/>
      </c>
      <c r="P171" s="39" t="str">
        <f>IFERROR(VLOOKUP($B171,[3]평가!$B:$Z,MATCH(LEFT(P$2,2),[3]평가!$7:$7,0)-1,FALSE),"")</f>
        <v/>
      </c>
      <c r="Q171" s="33" t="str">
        <f>IFERROR(VLOOKUP($B171,[4]평가!$B:$Z,MATCH(LEFT(Q$2,2),[4]평가!$7:$7,0)-1,FALSE),"")</f>
        <v/>
      </c>
      <c r="R171" s="36" t="str">
        <f>IFERROR(VLOOKUP($B171,[4]평가!$B:$Z,MATCH(LEFT(R$2,2),[4]평가!$7:$7,0)-1,FALSE),"")</f>
        <v/>
      </c>
      <c r="S171" s="39" t="str">
        <f>IFERROR(VLOOKUP($B171,[4]평가!$B:$Z,MATCH(LEFT(S$2,2),[4]평가!$7:$7,0)-1,FALSE),"")</f>
        <v/>
      </c>
      <c r="T171" s="33" t="str">
        <f>IFERROR(VLOOKUP($B171,[5]평가!$B:$Z,MATCH(LEFT(T$2,2),[5]평가!$7:$7,0)-1,FALSE),"")</f>
        <v/>
      </c>
      <c r="U171" s="36" t="str">
        <f>IFERROR(VLOOKUP($B171,[5]평가!$B:$Z,MATCH(LEFT(U$2,2),[5]평가!$7:$7,0)-1,FALSE),"")</f>
        <v/>
      </c>
      <c r="V171" s="39" t="str">
        <f>IFERROR(VLOOKUP($B171,[5]평가!$B:$Z,MATCH(LEFT(V$2,2),[5]평가!$7:$7,0)-1,FALSE),"")</f>
        <v/>
      </c>
      <c r="W171" s="33" t="str">
        <f>IFERROR(VLOOKUP($B171,대상!$B:$AD,MATCH(W$2,대상!$1:$1,0)-1,FALSE),"")</f>
        <v/>
      </c>
      <c r="X171" s="20" t="str">
        <f t="shared" si="5"/>
        <v/>
      </c>
      <c r="Y171" s="21" t="e">
        <f t="shared" si="6"/>
        <v>#VALUE!</v>
      </c>
      <c r="Z171" s="40">
        <f>IFERROR(VLOOKUP($B171,대상!$B:$AD,MATCH(Z$2,대상!$1:$1,0)-1,FALSE),0)</f>
        <v>0</v>
      </c>
      <c r="AA171" s="41" t="str">
        <f t="shared" si="7"/>
        <v/>
      </c>
      <c r="AB171" s="35" t="e">
        <f t="shared" si="8"/>
        <v>#VALUE!</v>
      </c>
      <c r="AC171" s="54" t="str">
        <f t="shared" si="9"/>
        <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
      </c>
    </row>
    <row r="172" spans="1:32" ht="30" hidden="1" customHeight="1" x14ac:dyDescent="0.35">
      <c r="A172" s="4">
        <v>170</v>
      </c>
      <c r="B172" s="2"/>
      <c r="C172" s="38" t="str">
        <f>IFERROR(VLOOKUP($B172,대상!$B:$AC,MATCH(C$2,대상!$1:$1,0)-1,FALSE),"")</f>
        <v/>
      </c>
      <c r="D172" s="38" t="str">
        <f>IFERROR(VLOOKUP($B172,대상!$B:$AC,MATCH(D$2,대상!$1:$1,0)-1,FALSE),"")</f>
        <v/>
      </c>
      <c r="E172" s="36" t="str">
        <f>IFERROR(VLOOKUP($B172,대상!$B:$AC,MATCH(E$2,대상!$1:$1,0)-1,FALSE),"")</f>
        <v/>
      </c>
      <c r="F172" s="38" t="str">
        <f>IFERROR(VLOOKUP($B172,대상!$B:$AC,MATCH(F$2,대상!$1:$1,0)-1,FALSE),"")</f>
        <v/>
      </c>
      <c r="G172" s="38" t="str">
        <f>IFERROR(VLOOKUP($B172,대상!$B:$AC,MATCH(G$2,대상!$1:$1,0)-1,FALSE),"")</f>
        <v/>
      </c>
      <c r="H172" s="33" t="str">
        <f>IFERROR(VLOOKUP($B172,[1]평가!$B:$Z,MATCH(LEFT(H$2,2),[1]평가!$7:$7,0)-1,FALSE),"")</f>
        <v/>
      </c>
      <c r="I172" s="36" t="str">
        <f>IFERROR(VLOOKUP($B172,[1]평가!$B:$Z,MATCH(LEFT(I$2,2),[1]평가!$7:$7,0)-1,FALSE),"")</f>
        <v/>
      </c>
      <c r="J172" s="36" t="str">
        <f>IFERROR(VLOOKUP($B172,[1]평가!$B:$Z,MATCH(LEFT(J$2,2),[1]평가!$7:$7,0)-1,FALSE),"")</f>
        <v/>
      </c>
      <c r="K172" s="33" t="str">
        <f>IFERROR(VLOOKUP($B172,[2]평가!$B:$Z,MATCH(LEFT(K$2,2),[2]평가!$7:$7,0)-1,FALSE),"")</f>
        <v/>
      </c>
      <c r="L172" s="36" t="str">
        <f>IFERROR(VLOOKUP($B172,[2]평가!$B:$Z,MATCH(LEFT(L$2,2),[2]평가!$7:$7,0)-1,FALSE),"")</f>
        <v/>
      </c>
      <c r="M172" s="39" t="str">
        <f>IFERROR(VLOOKUP($B172,[2]평가!$B:$Z,MATCH(LEFT(M$2,2),[2]평가!$7:$7,0)-1,FALSE),"")</f>
        <v/>
      </c>
      <c r="N172" s="33" t="str">
        <f>IFERROR(VLOOKUP($B172,[3]평가!$B:$Z,MATCH(LEFT(N$2,2),[3]평가!$7:$7,0)-1,FALSE),"")</f>
        <v/>
      </c>
      <c r="O172" s="36" t="str">
        <f>IFERROR(VLOOKUP($B172,[3]평가!$B:$Z,MATCH(LEFT(O$2,2),[3]평가!$7:$7,0)-1,FALSE),"")</f>
        <v/>
      </c>
      <c r="P172" s="39" t="str">
        <f>IFERROR(VLOOKUP($B172,[3]평가!$B:$Z,MATCH(LEFT(P$2,2),[3]평가!$7:$7,0)-1,FALSE),"")</f>
        <v/>
      </c>
      <c r="Q172" s="33" t="str">
        <f>IFERROR(VLOOKUP($B172,[4]평가!$B:$Z,MATCH(LEFT(Q$2,2),[4]평가!$7:$7,0)-1,FALSE),"")</f>
        <v/>
      </c>
      <c r="R172" s="36" t="str">
        <f>IFERROR(VLOOKUP($B172,[4]평가!$B:$Z,MATCH(LEFT(R$2,2),[4]평가!$7:$7,0)-1,FALSE),"")</f>
        <v/>
      </c>
      <c r="S172" s="39" t="str">
        <f>IFERROR(VLOOKUP($B172,[4]평가!$B:$Z,MATCH(LEFT(S$2,2),[4]평가!$7:$7,0)-1,FALSE),"")</f>
        <v/>
      </c>
      <c r="T172" s="33" t="str">
        <f>IFERROR(VLOOKUP($B172,[5]평가!$B:$Z,MATCH(LEFT(T$2,2),[5]평가!$7:$7,0)-1,FALSE),"")</f>
        <v/>
      </c>
      <c r="U172" s="36" t="str">
        <f>IFERROR(VLOOKUP($B172,[5]평가!$B:$Z,MATCH(LEFT(U$2,2),[5]평가!$7:$7,0)-1,FALSE),"")</f>
        <v/>
      </c>
      <c r="V172" s="39" t="str">
        <f>IFERROR(VLOOKUP($B172,[5]평가!$B:$Z,MATCH(LEFT(V$2,2),[5]평가!$7:$7,0)-1,FALSE),"")</f>
        <v/>
      </c>
      <c r="W172" s="33" t="str">
        <f>IFERROR(VLOOKUP($B172,대상!$B:$AD,MATCH(W$2,대상!$1:$1,0)-1,FALSE),"")</f>
        <v/>
      </c>
      <c r="X172" s="20" t="str">
        <f t="shared" si="5"/>
        <v/>
      </c>
      <c r="Y172" s="21" t="e">
        <f t="shared" si="6"/>
        <v>#VALUE!</v>
      </c>
      <c r="Z172" s="40">
        <f>IFERROR(VLOOKUP($B172,대상!$B:$AD,MATCH(Z$2,대상!$1:$1,0)-1,FALSE),0)</f>
        <v>0</v>
      </c>
      <c r="AA172" s="41" t="str">
        <f t="shared" si="7"/>
        <v/>
      </c>
      <c r="AB172" s="35" t="e">
        <f t="shared" si="8"/>
        <v>#VALUE!</v>
      </c>
      <c r="AC172" s="54" t="str">
        <f t="shared" si="9"/>
        <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
      </c>
    </row>
    <row r="173" spans="1:32" ht="30" hidden="1" customHeight="1" x14ac:dyDescent="0.35">
      <c r="A173" s="4">
        <v>171</v>
      </c>
      <c r="B173" s="2"/>
      <c r="C173" s="38" t="str">
        <f>IFERROR(VLOOKUP($B173,대상!$B:$AC,MATCH(C$2,대상!$1:$1,0)-1,FALSE),"")</f>
        <v/>
      </c>
      <c r="D173" s="38" t="str">
        <f>IFERROR(VLOOKUP($B173,대상!$B:$AC,MATCH(D$2,대상!$1:$1,0)-1,FALSE),"")</f>
        <v/>
      </c>
      <c r="E173" s="36" t="str">
        <f>IFERROR(VLOOKUP($B173,대상!$B:$AC,MATCH(E$2,대상!$1:$1,0)-1,FALSE),"")</f>
        <v/>
      </c>
      <c r="F173" s="38" t="str">
        <f>IFERROR(VLOOKUP($B173,대상!$B:$AC,MATCH(F$2,대상!$1:$1,0)-1,FALSE),"")</f>
        <v/>
      </c>
      <c r="G173" s="38" t="str">
        <f>IFERROR(VLOOKUP($B173,대상!$B:$AC,MATCH(G$2,대상!$1:$1,0)-1,FALSE),"")</f>
        <v/>
      </c>
      <c r="H173" s="33" t="str">
        <f>IFERROR(VLOOKUP($B173,[1]평가!$B:$Z,MATCH(LEFT(H$2,2),[1]평가!$7:$7,0)-1,FALSE),"")</f>
        <v/>
      </c>
      <c r="I173" s="36" t="str">
        <f>IFERROR(VLOOKUP($B173,[1]평가!$B:$Z,MATCH(LEFT(I$2,2),[1]평가!$7:$7,0)-1,FALSE),"")</f>
        <v/>
      </c>
      <c r="J173" s="36" t="str">
        <f>IFERROR(VLOOKUP($B173,[1]평가!$B:$Z,MATCH(LEFT(J$2,2),[1]평가!$7:$7,0)-1,FALSE),"")</f>
        <v/>
      </c>
      <c r="K173" s="33" t="str">
        <f>IFERROR(VLOOKUP($B173,[2]평가!$B:$Z,MATCH(LEFT(K$2,2),[2]평가!$7:$7,0)-1,FALSE),"")</f>
        <v/>
      </c>
      <c r="L173" s="36" t="str">
        <f>IFERROR(VLOOKUP($B173,[2]평가!$B:$Z,MATCH(LEFT(L$2,2),[2]평가!$7:$7,0)-1,FALSE),"")</f>
        <v/>
      </c>
      <c r="M173" s="39" t="str">
        <f>IFERROR(VLOOKUP($B173,[2]평가!$B:$Z,MATCH(LEFT(M$2,2),[2]평가!$7:$7,0)-1,FALSE),"")</f>
        <v/>
      </c>
      <c r="N173" s="33" t="str">
        <f>IFERROR(VLOOKUP($B173,[3]평가!$B:$Z,MATCH(LEFT(N$2,2),[3]평가!$7:$7,0)-1,FALSE),"")</f>
        <v/>
      </c>
      <c r="O173" s="36" t="str">
        <f>IFERROR(VLOOKUP($B173,[3]평가!$B:$Z,MATCH(LEFT(O$2,2),[3]평가!$7:$7,0)-1,FALSE),"")</f>
        <v/>
      </c>
      <c r="P173" s="39" t="str">
        <f>IFERROR(VLOOKUP($B173,[3]평가!$B:$Z,MATCH(LEFT(P$2,2),[3]평가!$7:$7,0)-1,FALSE),"")</f>
        <v/>
      </c>
      <c r="Q173" s="33" t="str">
        <f>IFERROR(VLOOKUP($B173,[4]평가!$B:$Z,MATCH(LEFT(Q$2,2),[4]평가!$7:$7,0)-1,FALSE),"")</f>
        <v/>
      </c>
      <c r="R173" s="36" t="str">
        <f>IFERROR(VLOOKUP($B173,[4]평가!$B:$Z,MATCH(LEFT(R$2,2),[4]평가!$7:$7,0)-1,FALSE),"")</f>
        <v/>
      </c>
      <c r="S173" s="39" t="str">
        <f>IFERROR(VLOOKUP($B173,[4]평가!$B:$Z,MATCH(LEFT(S$2,2),[4]평가!$7:$7,0)-1,FALSE),"")</f>
        <v/>
      </c>
      <c r="T173" s="33" t="str">
        <f>IFERROR(VLOOKUP($B173,[5]평가!$B:$Z,MATCH(LEFT(T$2,2),[5]평가!$7:$7,0)-1,FALSE),"")</f>
        <v/>
      </c>
      <c r="U173" s="36" t="str">
        <f>IFERROR(VLOOKUP($B173,[5]평가!$B:$Z,MATCH(LEFT(U$2,2),[5]평가!$7:$7,0)-1,FALSE),"")</f>
        <v/>
      </c>
      <c r="V173" s="39" t="str">
        <f>IFERROR(VLOOKUP($B173,[5]평가!$B:$Z,MATCH(LEFT(V$2,2),[5]평가!$7:$7,0)-1,FALSE),"")</f>
        <v/>
      </c>
      <c r="W173" s="33" t="str">
        <f>IFERROR(VLOOKUP($B173,대상!$B:$AD,MATCH(W$2,대상!$1:$1,0)-1,FALSE),"")</f>
        <v/>
      </c>
      <c r="X173" s="20" t="str">
        <f t="shared" si="5"/>
        <v/>
      </c>
      <c r="Y173" s="21" t="e">
        <f t="shared" si="6"/>
        <v>#VALUE!</v>
      </c>
      <c r="Z173" s="40">
        <f>IFERROR(VLOOKUP($B173,대상!$B:$AD,MATCH(Z$2,대상!$1:$1,0)-1,FALSE),0)</f>
        <v>0</v>
      </c>
      <c r="AA173" s="41" t="str">
        <f t="shared" si="7"/>
        <v/>
      </c>
      <c r="AB173" s="35" t="e">
        <f t="shared" si="8"/>
        <v>#VALUE!</v>
      </c>
      <c r="AC173" s="54" t="str">
        <f t="shared" si="9"/>
        <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
      </c>
    </row>
    <row r="174" spans="1:32" ht="30" hidden="1" customHeight="1" x14ac:dyDescent="0.35">
      <c r="A174" s="4">
        <v>172</v>
      </c>
      <c r="B174" s="2"/>
      <c r="C174" s="38" t="str">
        <f>IFERROR(VLOOKUP($B174,대상!$B:$AC,MATCH(C$2,대상!$1:$1,0)-1,FALSE),"")</f>
        <v/>
      </c>
      <c r="D174" s="38" t="str">
        <f>IFERROR(VLOOKUP($B174,대상!$B:$AC,MATCH(D$2,대상!$1:$1,0)-1,FALSE),"")</f>
        <v/>
      </c>
      <c r="E174" s="36" t="str">
        <f>IFERROR(VLOOKUP($B174,대상!$B:$AC,MATCH(E$2,대상!$1:$1,0)-1,FALSE),"")</f>
        <v/>
      </c>
      <c r="F174" s="38" t="str">
        <f>IFERROR(VLOOKUP($B174,대상!$B:$AC,MATCH(F$2,대상!$1:$1,0)-1,FALSE),"")</f>
        <v/>
      </c>
      <c r="G174" s="38" t="str">
        <f>IFERROR(VLOOKUP($B174,대상!$B:$AC,MATCH(G$2,대상!$1:$1,0)-1,FALSE),"")</f>
        <v/>
      </c>
      <c r="H174" s="33" t="str">
        <f>IFERROR(VLOOKUP($B174,[1]평가!$B:$Z,MATCH(LEFT(H$2,2),[1]평가!$7:$7,0)-1,FALSE),"")</f>
        <v/>
      </c>
      <c r="I174" s="36" t="str">
        <f>IFERROR(VLOOKUP($B174,[1]평가!$B:$Z,MATCH(LEFT(I$2,2),[1]평가!$7:$7,0)-1,FALSE),"")</f>
        <v/>
      </c>
      <c r="J174" s="36" t="str">
        <f>IFERROR(VLOOKUP($B174,[1]평가!$B:$Z,MATCH(LEFT(J$2,2),[1]평가!$7:$7,0)-1,FALSE),"")</f>
        <v/>
      </c>
      <c r="K174" s="33" t="str">
        <f>IFERROR(VLOOKUP($B174,[2]평가!$B:$Z,MATCH(LEFT(K$2,2),[2]평가!$7:$7,0)-1,FALSE),"")</f>
        <v/>
      </c>
      <c r="L174" s="36" t="str">
        <f>IFERROR(VLOOKUP($B174,[2]평가!$B:$Z,MATCH(LEFT(L$2,2),[2]평가!$7:$7,0)-1,FALSE),"")</f>
        <v/>
      </c>
      <c r="M174" s="39" t="str">
        <f>IFERROR(VLOOKUP($B174,[2]평가!$B:$Z,MATCH(LEFT(M$2,2),[2]평가!$7:$7,0)-1,FALSE),"")</f>
        <v/>
      </c>
      <c r="N174" s="33" t="str">
        <f>IFERROR(VLOOKUP($B174,[3]평가!$B:$Z,MATCH(LEFT(N$2,2),[3]평가!$7:$7,0)-1,FALSE),"")</f>
        <v/>
      </c>
      <c r="O174" s="36" t="str">
        <f>IFERROR(VLOOKUP($B174,[3]평가!$B:$Z,MATCH(LEFT(O$2,2),[3]평가!$7:$7,0)-1,FALSE),"")</f>
        <v/>
      </c>
      <c r="P174" s="39" t="str">
        <f>IFERROR(VLOOKUP($B174,[3]평가!$B:$Z,MATCH(LEFT(P$2,2),[3]평가!$7:$7,0)-1,FALSE),"")</f>
        <v/>
      </c>
      <c r="Q174" s="33" t="str">
        <f>IFERROR(VLOOKUP($B174,[4]평가!$B:$Z,MATCH(LEFT(Q$2,2),[4]평가!$7:$7,0)-1,FALSE),"")</f>
        <v/>
      </c>
      <c r="R174" s="36" t="str">
        <f>IFERROR(VLOOKUP($B174,[4]평가!$B:$Z,MATCH(LEFT(R$2,2),[4]평가!$7:$7,0)-1,FALSE),"")</f>
        <v/>
      </c>
      <c r="S174" s="39" t="str">
        <f>IFERROR(VLOOKUP($B174,[4]평가!$B:$Z,MATCH(LEFT(S$2,2),[4]평가!$7:$7,0)-1,FALSE),"")</f>
        <v/>
      </c>
      <c r="T174" s="33" t="str">
        <f>IFERROR(VLOOKUP($B174,[5]평가!$B:$Z,MATCH(LEFT(T$2,2),[5]평가!$7:$7,0)-1,FALSE),"")</f>
        <v/>
      </c>
      <c r="U174" s="36" t="str">
        <f>IFERROR(VLOOKUP($B174,[5]평가!$B:$Z,MATCH(LEFT(U$2,2),[5]평가!$7:$7,0)-1,FALSE),"")</f>
        <v/>
      </c>
      <c r="V174" s="39" t="str">
        <f>IFERROR(VLOOKUP($B174,[5]평가!$B:$Z,MATCH(LEFT(V$2,2),[5]평가!$7:$7,0)-1,FALSE),"")</f>
        <v/>
      </c>
      <c r="W174" s="33" t="str">
        <f>IFERROR(VLOOKUP($B174,대상!$B:$AD,MATCH(W$2,대상!$1:$1,0)-1,FALSE),"")</f>
        <v/>
      </c>
      <c r="X174" s="20" t="str">
        <f t="shared" si="5"/>
        <v/>
      </c>
      <c r="Y174" s="21" t="e">
        <f t="shared" si="6"/>
        <v>#VALUE!</v>
      </c>
      <c r="Z174" s="40">
        <f>IFERROR(VLOOKUP($B174,대상!$B:$AD,MATCH(Z$2,대상!$1:$1,0)-1,FALSE),0)</f>
        <v>0</v>
      </c>
      <c r="AA174" s="41" t="str">
        <f t="shared" si="7"/>
        <v/>
      </c>
      <c r="AB174" s="35" t="e">
        <f t="shared" si="8"/>
        <v>#VALUE!</v>
      </c>
      <c r="AC174" s="54" t="str">
        <f t="shared" si="9"/>
        <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
      </c>
    </row>
    <row r="175" spans="1:32" ht="30" hidden="1" customHeight="1" x14ac:dyDescent="0.35">
      <c r="A175" s="4">
        <v>173</v>
      </c>
      <c r="B175" s="2"/>
      <c r="C175" s="38" t="str">
        <f>IFERROR(VLOOKUP($B175,대상!$B:$AC,MATCH(C$2,대상!$1:$1,0)-1,FALSE),"")</f>
        <v/>
      </c>
      <c r="D175" s="38" t="str">
        <f>IFERROR(VLOOKUP($B175,대상!$B:$AC,MATCH(D$2,대상!$1:$1,0)-1,FALSE),"")</f>
        <v/>
      </c>
      <c r="E175" s="36" t="str">
        <f>IFERROR(VLOOKUP($B175,대상!$B:$AC,MATCH(E$2,대상!$1:$1,0)-1,FALSE),"")</f>
        <v/>
      </c>
      <c r="F175" s="38" t="str">
        <f>IFERROR(VLOOKUP($B175,대상!$B:$AC,MATCH(F$2,대상!$1:$1,0)-1,FALSE),"")</f>
        <v/>
      </c>
      <c r="G175" s="38" t="str">
        <f>IFERROR(VLOOKUP($B175,대상!$B:$AC,MATCH(G$2,대상!$1:$1,0)-1,FALSE),"")</f>
        <v/>
      </c>
      <c r="H175" s="33" t="str">
        <f>IFERROR(VLOOKUP($B175,[1]평가!$B:$Z,MATCH(LEFT(H$2,2),[1]평가!$7:$7,0)-1,FALSE),"")</f>
        <v/>
      </c>
      <c r="I175" s="36" t="str">
        <f>IFERROR(VLOOKUP($B175,[1]평가!$B:$Z,MATCH(LEFT(I$2,2),[1]평가!$7:$7,0)-1,FALSE),"")</f>
        <v/>
      </c>
      <c r="J175" s="36" t="str">
        <f>IFERROR(VLOOKUP($B175,[1]평가!$B:$Z,MATCH(LEFT(J$2,2),[1]평가!$7:$7,0)-1,FALSE),"")</f>
        <v/>
      </c>
      <c r="K175" s="33" t="str">
        <f>IFERROR(VLOOKUP($B175,[2]평가!$B:$Z,MATCH(LEFT(K$2,2),[2]평가!$7:$7,0)-1,FALSE),"")</f>
        <v/>
      </c>
      <c r="L175" s="36" t="str">
        <f>IFERROR(VLOOKUP($B175,[2]평가!$B:$Z,MATCH(LEFT(L$2,2),[2]평가!$7:$7,0)-1,FALSE),"")</f>
        <v/>
      </c>
      <c r="M175" s="39" t="str">
        <f>IFERROR(VLOOKUP($B175,[2]평가!$B:$Z,MATCH(LEFT(M$2,2),[2]평가!$7:$7,0)-1,FALSE),"")</f>
        <v/>
      </c>
      <c r="N175" s="33" t="str">
        <f>IFERROR(VLOOKUP($B175,[3]평가!$B:$Z,MATCH(LEFT(N$2,2),[3]평가!$7:$7,0)-1,FALSE),"")</f>
        <v/>
      </c>
      <c r="O175" s="36" t="str">
        <f>IFERROR(VLOOKUP($B175,[3]평가!$B:$Z,MATCH(LEFT(O$2,2),[3]평가!$7:$7,0)-1,FALSE),"")</f>
        <v/>
      </c>
      <c r="P175" s="39" t="str">
        <f>IFERROR(VLOOKUP($B175,[3]평가!$B:$Z,MATCH(LEFT(P$2,2),[3]평가!$7:$7,0)-1,FALSE),"")</f>
        <v/>
      </c>
      <c r="Q175" s="33" t="str">
        <f>IFERROR(VLOOKUP($B175,[4]평가!$B:$Z,MATCH(LEFT(Q$2,2),[4]평가!$7:$7,0)-1,FALSE),"")</f>
        <v/>
      </c>
      <c r="R175" s="36" t="str">
        <f>IFERROR(VLOOKUP($B175,[4]평가!$B:$Z,MATCH(LEFT(R$2,2),[4]평가!$7:$7,0)-1,FALSE),"")</f>
        <v/>
      </c>
      <c r="S175" s="39" t="str">
        <f>IFERROR(VLOOKUP($B175,[4]평가!$B:$Z,MATCH(LEFT(S$2,2),[4]평가!$7:$7,0)-1,FALSE),"")</f>
        <v/>
      </c>
      <c r="T175" s="33" t="str">
        <f>IFERROR(VLOOKUP($B175,[5]평가!$B:$Z,MATCH(LEFT(T$2,2),[5]평가!$7:$7,0)-1,FALSE),"")</f>
        <v/>
      </c>
      <c r="U175" s="36" t="str">
        <f>IFERROR(VLOOKUP($B175,[5]평가!$B:$Z,MATCH(LEFT(U$2,2),[5]평가!$7:$7,0)-1,FALSE),"")</f>
        <v/>
      </c>
      <c r="V175" s="39" t="str">
        <f>IFERROR(VLOOKUP($B175,[5]평가!$B:$Z,MATCH(LEFT(V$2,2),[5]평가!$7:$7,0)-1,FALSE),"")</f>
        <v/>
      </c>
      <c r="W175" s="33" t="str">
        <f>IFERROR(VLOOKUP($B175,대상!$B:$AD,MATCH(W$2,대상!$1:$1,0)-1,FALSE),"")</f>
        <v/>
      </c>
      <c r="X175" s="20" t="str">
        <f t="shared" si="5"/>
        <v/>
      </c>
      <c r="Y175" s="21" t="e">
        <f t="shared" si="6"/>
        <v>#VALUE!</v>
      </c>
      <c r="Z175" s="40">
        <f>IFERROR(VLOOKUP($B175,대상!$B:$AD,MATCH(Z$2,대상!$1:$1,0)-1,FALSE),0)</f>
        <v>0</v>
      </c>
      <c r="AA175" s="41" t="str">
        <f t="shared" si="7"/>
        <v/>
      </c>
      <c r="AB175" s="35" t="e">
        <f t="shared" si="8"/>
        <v>#VALUE!</v>
      </c>
      <c r="AC175" s="54" t="str">
        <f t="shared" si="9"/>
        <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
      </c>
    </row>
    <row r="176" spans="1:32" ht="30" hidden="1" customHeight="1" x14ac:dyDescent="0.35">
      <c r="A176" s="4">
        <v>174</v>
      </c>
      <c r="B176" s="2"/>
      <c r="C176" s="38" t="str">
        <f>IFERROR(VLOOKUP($B176,대상!$B:$AC,MATCH(C$2,대상!$1:$1,0)-1,FALSE),"")</f>
        <v/>
      </c>
      <c r="D176" s="38" t="str">
        <f>IFERROR(VLOOKUP($B176,대상!$B:$AC,MATCH(D$2,대상!$1:$1,0)-1,FALSE),"")</f>
        <v/>
      </c>
      <c r="E176" s="36" t="str">
        <f>IFERROR(VLOOKUP($B176,대상!$B:$AC,MATCH(E$2,대상!$1:$1,0)-1,FALSE),"")</f>
        <v/>
      </c>
      <c r="F176" s="38" t="str">
        <f>IFERROR(VLOOKUP($B176,대상!$B:$AC,MATCH(F$2,대상!$1:$1,0)-1,FALSE),"")</f>
        <v/>
      </c>
      <c r="G176" s="38" t="str">
        <f>IFERROR(VLOOKUP($B176,대상!$B:$AC,MATCH(G$2,대상!$1:$1,0)-1,FALSE),"")</f>
        <v/>
      </c>
      <c r="H176" s="33" t="str">
        <f>IFERROR(VLOOKUP($B176,[1]평가!$B:$Z,MATCH(LEFT(H$2,2),[1]평가!$7:$7,0)-1,FALSE),"")</f>
        <v/>
      </c>
      <c r="I176" s="36" t="str">
        <f>IFERROR(VLOOKUP($B176,[1]평가!$B:$Z,MATCH(LEFT(I$2,2),[1]평가!$7:$7,0)-1,FALSE),"")</f>
        <v/>
      </c>
      <c r="J176" s="36" t="str">
        <f>IFERROR(VLOOKUP($B176,[1]평가!$B:$Z,MATCH(LEFT(J$2,2),[1]평가!$7:$7,0)-1,FALSE),"")</f>
        <v/>
      </c>
      <c r="K176" s="33" t="str">
        <f>IFERROR(VLOOKUP($B176,[2]평가!$B:$Z,MATCH(LEFT(K$2,2),[2]평가!$7:$7,0)-1,FALSE),"")</f>
        <v/>
      </c>
      <c r="L176" s="36" t="str">
        <f>IFERROR(VLOOKUP($B176,[2]평가!$B:$Z,MATCH(LEFT(L$2,2),[2]평가!$7:$7,0)-1,FALSE),"")</f>
        <v/>
      </c>
      <c r="M176" s="39" t="str">
        <f>IFERROR(VLOOKUP($B176,[2]평가!$B:$Z,MATCH(LEFT(M$2,2),[2]평가!$7:$7,0)-1,FALSE),"")</f>
        <v/>
      </c>
      <c r="N176" s="33" t="str">
        <f>IFERROR(VLOOKUP($B176,[3]평가!$B:$Z,MATCH(LEFT(N$2,2),[3]평가!$7:$7,0)-1,FALSE),"")</f>
        <v/>
      </c>
      <c r="O176" s="36" t="str">
        <f>IFERROR(VLOOKUP($B176,[3]평가!$B:$Z,MATCH(LEFT(O$2,2),[3]평가!$7:$7,0)-1,FALSE),"")</f>
        <v/>
      </c>
      <c r="P176" s="39" t="str">
        <f>IFERROR(VLOOKUP($B176,[3]평가!$B:$Z,MATCH(LEFT(P$2,2),[3]평가!$7:$7,0)-1,FALSE),"")</f>
        <v/>
      </c>
      <c r="Q176" s="33" t="str">
        <f>IFERROR(VLOOKUP($B176,[4]평가!$B:$Z,MATCH(LEFT(Q$2,2),[4]평가!$7:$7,0)-1,FALSE),"")</f>
        <v/>
      </c>
      <c r="R176" s="36" t="str">
        <f>IFERROR(VLOOKUP($B176,[4]평가!$B:$Z,MATCH(LEFT(R$2,2),[4]평가!$7:$7,0)-1,FALSE),"")</f>
        <v/>
      </c>
      <c r="S176" s="39" t="str">
        <f>IFERROR(VLOOKUP($B176,[4]평가!$B:$Z,MATCH(LEFT(S$2,2),[4]평가!$7:$7,0)-1,FALSE),"")</f>
        <v/>
      </c>
      <c r="T176" s="33" t="str">
        <f>IFERROR(VLOOKUP($B176,[5]평가!$B:$Z,MATCH(LEFT(T$2,2),[5]평가!$7:$7,0)-1,FALSE),"")</f>
        <v/>
      </c>
      <c r="U176" s="36" t="str">
        <f>IFERROR(VLOOKUP($B176,[5]평가!$B:$Z,MATCH(LEFT(U$2,2),[5]평가!$7:$7,0)-1,FALSE),"")</f>
        <v/>
      </c>
      <c r="V176" s="39" t="str">
        <f>IFERROR(VLOOKUP($B176,[5]평가!$B:$Z,MATCH(LEFT(V$2,2),[5]평가!$7:$7,0)-1,FALSE),"")</f>
        <v/>
      </c>
      <c r="W176" s="33" t="str">
        <f>IFERROR(VLOOKUP($B176,대상!$B:$AD,MATCH(W$2,대상!$1:$1,0)-1,FALSE),"")</f>
        <v/>
      </c>
      <c r="X176" s="20" t="str">
        <f t="shared" si="5"/>
        <v/>
      </c>
      <c r="Y176" s="21" t="e">
        <f t="shared" si="6"/>
        <v>#VALUE!</v>
      </c>
      <c r="Z176" s="40">
        <f>IFERROR(VLOOKUP($B176,대상!$B:$AD,MATCH(Z$2,대상!$1:$1,0)-1,FALSE),0)</f>
        <v>0</v>
      </c>
      <c r="AA176" s="41" t="str">
        <f t="shared" si="7"/>
        <v/>
      </c>
      <c r="AB176" s="35" t="e">
        <f t="shared" si="8"/>
        <v>#VALUE!</v>
      </c>
      <c r="AC176" s="54" t="str">
        <f t="shared" si="9"/>
        <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
      </c>
    </row>
    <row r="177" spans="1:32" ht="30" hidden="1" customHeight="1" x14ac:dyDescent="0.35">
      <c r="A177" s="4">
        <v>175</v>
      </c>
      <c r="B177" s="2"/>
      <c r="C177" s="38" t="str">
        <f>IFERROR(VLOOKUP($B177,대상!$B:$AC,MATCH(C$2,대상!$1:$1,0)-1,FALSE),"")</f>
        <v/>
      </c>
      <c r="D177" s="38" t="str">
        <f>IFERROR(VLOOKUP($B177,대상!$B:$AC,MATCH(D$2,대상!$1:$1,0)-1,FALSE),"")</f>
        <v/>
      </c>
      <c r="E177" s="36" t="str">
        <f>IFERROR(VLOOKUP($B177,대상!$B:$AC,MATCH(E$2,대상!$1:$1,0)-1,FALSE),"")</f>
        <v/>
      </c>
      <c r="F177" s="38" t="str">
        <f>IFERROR(VLOOKUP($B177,대상!$B:$AC,MATCH(F$2,대상!$1:$1,0)-1,FALSE),"")</f>
        <v/>
      </c>
      <c r="G177" s="38" t="str">
        <f>IFERROR(VLOOKUP($B177,대상!$B:$AC,MATCH(G$2,대상!$1:$1,0)-1,FALSE),"")</f>
        <v/>
      </c>
      <c r="H177" s="33" t="str">
        <f>IFERROR(VLOOKUP($B177,[1]평가!$B:$Z,MATCH(LEFT(H$2,2),[1]평가!$7:$7,0)-1,FALSE),"")</f>
        <v/>
      </c>
      <c r="I177" s="36" t="str">
        <f>IFERROR(VLOOKUP($B177,[1]평가!$B:$Z,MATCH(LEFT(I$2,2),[1]평가!$7:$7,0)-1,FALSE),"")</f>
        <v/>
      </c>
      <c r="J177" s="36" t="str">
        <f>IFERROR(VLOOKUP($B177,[1]평가!$B:$Z,MATCH(LEFT(J$2,2),[1]평가!$7:$7,0)-1,FALSE),"")</f>
        <v/>
      </c>
      <c r="K177" s="33" t="str">
        <f>IFERROR(VLOOKUP($B177,[2]평가!$B:$Z,MATCH(LEFT(K$2,2),[2]평가!$7:$7,0)-1,FALSE),"")</f>
        <v/>
      </c>
      <c r="L177" s="36" t="str">
        <f>IFERROR(VLOOKUP($B177,[2]평가!$B:$Z,MATCH(LEFT(L$2,2),[2]평가!$7:$7,0)-1,FALSE),"")</f>
        <v/>
      </c>
      <c r="M177" s="39" t="str">
        <f>IFERROR(VLOOKUP($B177,[2]평가!$B:$Z,MATCH(LEFT(M$2,2),[2]평가!$7:$7,0)-1,FALSE),"")</f>
        <v/>
      </c>
      <c r="N177" s="33" t="str">
        <f>IFERROR(VLOOKUP($B177,[3]평가!$B:$Z,MATCH(LEFT(N$2,2),[3]평가!$7:$7,0)-1,FALSE),"")</f>
        <v/>
      </c>
      <c r="O177" s="36" t="str">
        <f>IFERROR(VLOOKUP($B177,[3]평가!$B:$Z,MATCH(LEFT(O$2,2),[3]평가!$7:$7,0)-1,FALSE),"")</f>
        <v/>
      </c>
      <c r="P177" s="39" t="str">
        <f>IFERROR(VLOOKUP($B177,[3]평가!$B:$Z,MATCH(LEFT(P$2,2),[3]평가!$7:$7,0)-1,FALSE),"")</f>
        <v/>
      </c>
      <c r="Q177" s="33" t="str">
        <f>IFERROR(VLOOKUP($B177,[4]평가!$B:$Z,MATCH(LEFT(Q$2,2),[4]평가!$7:$7,0)-1,FALSE),"")</f>
        <v/>
      </c>
      <c r="R177" s="36" t="str">
        <f>IFERROR(VLOOKUP($B177,[4]평가!$B:$Z,MATCH(LEFT(R$2,2),[4]평가!$7:$7,0)-1,FALSE),"")</f>
        <v/>
      </c>
      <c r="S177" s="39" t="str">
        <f>IFERROR(VLOOKUP($B177,[4]평가!$B:$Z,MATCH(LEFT(S$2,2),[4]평가!$7:$7,0)-1,FALSE),"")</f>
        <v/>
      </c>
      <c r="T177" s="33" t="str">
        <f>IFERROR(VLOOKUP($B177,[5]평가!$B:$Z,MATCH(LEFT(T$2,2),[5]평가!$7:$7,0)-1,FALSE),"")</f>
        <v/>
      </c>
      <c r="U177" s="36" t="str">
        <f>IFERROR(VLOOKUP($B177,[5]평가!$B:$Z,MATCH(LEFT(U$2,2),[5]평가!$7:$7,0)-1,FALSE),"")</f>
        <v/>
      </c>
      <c r="V177" s="39" t="str">
        <f>IFERROR(VLOOKUP($B177,[5]평가!$B:$Z,MATCH(LEFT(V$2,2),[5]평가!$7:$7,0)-1,FALSE),"")</f>
        <v/>
      </c>
      <c r="W177" s="33" t="str">
        <f>IFERROR(VLOOKUP($B177,대상!$B:$AD,MATCH(W$2,대상!$1:$1,0)-1,FALSE),"")</f>
        <v/>
      </c>
      <c r="X177" s="20" t="str">
        <f t="shared" si="5"/>
        <v/>
      </c>
      <c r="Y177" s="21" t="e">
        <f t="shared" si="6"/>
        <v>#VALUE!</v>
      </c>
      <c r="Z177" s="40">
        <f>IFERROR(VLOOKUP($B177,대상!$B:$AD,MATCH(Z$2,대상!$1:$1,0)-1,FALSE),0)</f>
        <v>0</v>
      </c>
      <c r="AA177" s="41" t="str">
        <f t="shared" si="7"/>
        <v/>
      </c>
      <c r="AB177" s="35" t="e">
        <f t="shared" si="8"/>
        <v>#VALUE!</v>
      </c>
      <c r="AC177" s="54" t="str">
        <f t="shared" si="9"/>
        <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
      </c>
    </row>
    <row r="178" spans="1:32" ht="30" hidden="1" customHeight="1" x14ac:dyDescent="0.35">
      <c r="A178" s="4">
        <v>176</v>
      </c>
      <c r="B178" s="2"/>
      <c r="C178" s="38" t="str">
        <f>IFERROR(VLOOKUP($B178,대상!$B:$AC,MATCH(C$2,대상!$1:$1,0)-1,FALSE),"")</f>
        <v/>
      </c>
      <c r="D178" s="38" t="str">
        <f>IFERROR(VLOOKUP($B178,대상!$B:$AC,MATCH(D$2,대상!$1:$1,0)-1,FALSE),"")</f>
        <v/>
      </c>
      <c r="E178" s="36" t="str">
        <f>IFERROR(VLOOKUP($B178,대상!$B:$AC,MATCH(E$2,대상!$1:$1,0)-1,FALSE),"")</f>
        <v/>
      </c>
      <c r="F178" s="38" t="str">
        <f>IFERROR(VLOOKUP($B178,대상!$B:$AC,MATCH(F$2,대상!$1:$1,0)-1,FALSE),"")</f>
        <v/>
      </c>
      <c r="G178" s="38" t="str">
        <f>IFERROR(VLOOKUP($B178,대상!$B:$AC,MATCH(G$2,대상!$1:$1,0)-1,FALSE),"")</f>
        <v/>
      </c>
      <c r="H178" s="33" t="str">
        <f>IFERROR(VLOOKUP($B178,[1]평가!$B:$Z,MATCH(LEFT(H$2,2),[1]평가!$7:$7,0)-1,FALSE),"")</f>
        <v/>
      </c>
      <c r="I178" s="36" t="str">
        <f>IFERROR(VLOOKUP($B178,[1]평가!$B:$Z,MATCH(LEFT(I$2,2),[1]평가!$7:$7,0)-1,FALSE),"")</f>
        <v/>
      </c>
      <c r="J178" s="36" t="str">
        <f>IFERROR(VLOOKUP($B178,[1]평가!$B:$Z,MATCH(LEFT(J$2,2),[1]평가!$7:$7,0)-1,FALSE),"")</f>
        <v/>
      </c>
      <c r="K178" s="33" t="str">
        <f>IFERROR(VLOOKUP($B178,[2]평가!$B:$Z,MATCH(LEFT(K$2,2),[2]평가!$7:$7,0)-1,FALSE),"")</f>
        <v/>
      </c>
      <c r="L178" s="36" t="str">
        <f>IFERROR(VLOOKUP($B178,[2]평가!$B:$Z,MATCH(LEFT(L$2,2),[2]평가!$7:$7,0)-1,FALSE),"")</f>
        <v/>
      </c>
      <c r="M178" s="39" t="str">
        <f>IFERROR(VLOOKUP($B178,[2]평가!$B:$Z,MATCH(LEFT(M$2,2),[2]평가!$7:$7,0)-1,FALSE),"")</f>
        <v/>
      </c>
      <c r="N178" s="33" t="str">
        <f>IFERROR(VLOOKUP($B178,[3]평가!$B:$Z,MATCH(LEFT(N$2,2),[3]평가!$7:$7,0)-1,FALSE),"")</f>
        <v/>
      </c>
      <c r="O178" s="36" t="str">
        <f>IFERROR(VLOOKUP($B178,[3]평가!$B:$Z,MATCH(LEFT(O$2,2),[3]평가!$7:$7,0)-1,FALSE),"")</f>
        <v/>
      </c>
      <c r="P178" s="39" t="str">
        <f>IFERROR(VLOOKUP($B178,[3]평가!$B:$Z,MATCH(LEFT(P$2,2),[3]평가!$7:$7,0)-1,FALSE),"")</f>
        <v/>
      </c>
      <c r="Q178" s="33" t="str">
        <f>IFERROR(VLOOKUP($B178,[4]평가!$B:$Z,MATCH(LEFT(Q$2,2),[4]평가!$7:$7,0)-1,FALSE),"")</f>
        <v/>
      </c>
      <c r="R178" s="36" t="str">
        <f>IFERROR(VLOOKUP($B178,[4]평가!$B:$Z,MATCH(LEFT(R$2,2),[4]평가!$7:$7,0)-1,FALSE),"")</f>
        <v/>
      </c>
      <c r="S178" s="39" t="str">
        <f>IFERROR(VLOOKUP($B178,[4]평가!$B:$Z,MATCH(LEFT(S$2,2),[4]평가!$7:$7,0)-1,FALSE),"")</f>
        <v/>
      </c>
      <c r="T178" s="33" t="str">
        <f>IFERROR(VLOOKUP($B178,[5]평가!$B:$Z,MATCH(LEFT(T$2,2),[5]평가!$7:$7,0)-1,FALSE),"")</f>
        <v/>
      </c>
      <c r="U178" s="36" t="str">
        <f>IFERROR(VLOOKUP($B178,[5]평가!$B:$Z,MATCH(LEFT(U$2,2),[5]평가!$7:$7,0)-1,FALSE),"")</f>
        <v/>
      </c>
      <c r="V178" s="39" t="str">
        <f>IFERROR(VLOOKUP($B178,[5]평가!$B:$Z,MATCH(LEFT(V$2,2),[5]평가!$7:$7,0)-1,FALSE),"")</f>
        <v/>
      </c>
      <c r="W178" s="33" t="str">
        <f>IFERROR(VLOOKUP($B178,대상!$B:$AD,MATCH(W$2,대상!$1:$1,0)-1,FALSE),"")</f>
        <v/>
      </c>
      <c r="X178" s="20" t="str">
        <f t="shared" si="5"/>
        <v/>
      </c>
      <c r="Y178" s="21" t="e">
        <f t="shared" si="6"/>
        <v>#VALUE!</v>
      </c>
      <c r="Z178" s="40">
        <f>IFERROR(VLOOKUP($B178,대상!$B:$AD,MATCH(Z$2,대상!$1:$1,0)-1,FALSE),0)</f>
        <v>0</v>
      </c>
      <c r="AA178" s="41" t="str">
        <f t="shared" si="7"/>
        <v/>
      </c>
      <c r="AB178" s="35" t="e">
        <f t="shared" si="8"/>
        <v>#VALUE!</v>
      </c>
      <c r="AC178" s="54" t="str">
        <f t="shared" si="9"/>
        <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
      </c>
    </row>
    <row r="179" spans="1:32" ht="30" hidden="1" customHeight="1" x14ac:dyDescent="0.35">
      <c r="A179" s="4">
        <v>177</v>
      </c>
      <c r="B179" s="2"/>
      <c r="C179" s="38" t="str">
        <f>IFERROR(VLOOKUP($B179,대상!$B:$AC,MATCH(C$2,대상!$1:$1,0)-1,FALSE),"")</f>
        <v/>
      </c>
      <c r="D179" s="38" t="str">
        <f>IFERROR(VLOOKUP($B179,대상!$B:$AC,MATCH(D$2,대상!$1:$1,0)-1,FALSE),"")</f>
        <v/>
      </c>
      <c r="E179" s="36" t="str">
        <f>IFERROR(VLOOKUP($B179,대상!$B:$AC,MATCH(E$2,대상!$1:$1,0)-1,FALSE),"")</f>
        <v/>
      </c>
      <c r="F179" s="38" t="str">
        <f>IFERROR(VLOOKUP($B179,대상!$B:$AC,MATCH(F$2,대상!$1:$1,0)-1,FALSE),"")</f>
        <v/>
      </c>
      <c r="G179" s="38" t="str">
        <f>IFERROR(VLOOKUP($B179,대상!$B:$AC,MATCH(G$2,대상!$1:$1,0)-1,FALSE),"")</f>
        <v/>
      </c>
      <c r="H179" s="33" t="str">
        <f>IFERROR(VLOOKUP($B179,[1]평가!$B:$Z,MATCH(LEFT(H$2,2),[1]평가!$7:$7,0)-1,FALSE),"")</f>
        <v/>
      </c>
      <c r="I179" s="36" t="str">
        <f>IFERROR(VLOOKUP($B179,[1]평가!$B:$Z,MATCH(LEFT(I$2,2),[1]평가!$7:$7,0)-1,FALSE),"")</f>
        <v/>
      </c>
      <c r="J179" s="36" t="str">
        <f>IFERROR(VLOOKUP($B179,[1]평가!$B:$Z,MATCH(LEFT(J$2,2),[1]평가!$7:$7,0)-1,FALSE),"")</f>
        <v/>
      </c>
      <c r="K179" s="33" t="str">
        <f>IFERROR(VLOOKUP($B179,[2]평가!$B:$Z,MATCH(LEFT(K$2,2),[2]평가!$7:$7,0)-1,FALSE),"")</f>
        <v/>
      </c>
      <c r="L179" s="36" t="str">
        <f>IFERROR(VLOOKUP($B179,[2]평가!$B:$Z,MATCH(LEFT(L$2,2),[2]평가!$7:$7,0)-1,FALSE),"")</f>
        <v/>
      </c>
      <c r="M179" s="39" t="str">
        <f>IFERROR(VLOOKUP($B179,[2]평가!$B:$Z,MATCH(LEFT(M$2,2),[2]평가!$7:$7,0)-1,FALSE),"")</f>
        <v/>
      </c>
      <c r="N179" s="33" t="str">
        <f>IFERROR(VLOOKUP($B179,[3]평가!$B:$Z,MATCH(LEFT(N$2,2),[3]평가!$7:$7,0)-1,FALSE),"")</f>
        <v/>
      </c>
      <c r="O179" s="36" t="str">
        <f>IFERROR(VLOOKUP($B179,[3]평가!$B:$Z,MATCH(LEFT(O$2,2),[3]평가!$7:$7,0)-1,FALSE),"")</f>
        <v/>
      </c>
      <c r="P179" s="39" t="str">
        <f>IFERROR(VLOOKUP($B179,[3]평가!$B:$Z,MATCH(LEFT(P$2,2),[3]평가!$7:$7,0)-1,FALSE),"")</f>
        <v/>
      </c>
      <c r="Q179" s="33" t="str">
        <f>IFERROR(VLOOKUP($B179,[4]평가!$B:$Z,MATCH(LEFT(Q$2,2),[4]평가!$7:$7,0)-1,FALSE),"")</f>
        <v/>
      </c>
      <c r="R179" s="36" t="str">
        <f>IFERROR(VLOOKUP($B179,[4]평가!$B:$Z,MATCH(LEFT(R$2,2),[4]평가!$7:$7,0)-1,FALSE),"")</f>
        <v/>
      </c>
      <c r="S179" s="39" t="str">
        <f>IFERROR(VLOOKUP($B179,[4]평가!$B:$Z,MATCH(LEFT(S$2,2),[4]평가!$7:$7,0)-1,FALSE),"")</f>
        <v/>
      </c>
      <c r="T179" s="33" t="str">
        <f>IFERROR(VLOOKUP($B179,[5]평가!$B:$Z,MATCH(LEFT(T$2,2),[5]평가!$7:$7,0)-1,FALSE),"")</f>
        <v/>
      </c>
      <c r="U179" s="36" t="str">
        <f>IFERROR(VLOOKUP($B179,[5]평가!$B:$Z,MATCH(LEFT(U$2,2),[5]평가!$7:$7,0)-1,FALSE),"")</f>
        <v/>
      </c>
      <c r="V179" s="39" t="str">
        <f>IFERROR(VLOOKUP($B179,[5]평가!$B:$Z,MATCH(LEFT(V$2,2),[5]평가!$7:$7,0)-1,FALSE),"")</f>
        <v/>
      </c>
      <c r="W179" s="33" t="str">
        <f>IFERROR(VLOOKUP($B179,대상!$B:$AD,MATCH(W$2,대상!$1:$1,0)-1,FALSE),"")</f>
        <v/>
      </c>
      <c r="X179" s="20" t="str">
        <f t="shared" si="5"/>
        <v/>
      </c>
      <c r="Y179" s="21" t="e">
        <f t="shared" si="6"/>
        <v>#VALUE!</v>
      </c>
      <c r="Z179" s="40">
        <f>IFERROR(VLOOKUP($B179,대상!$B:$AD,MATCH(Z$2,대상!$1:$1,0)-1,FALSE),0)</f>
        <v>0</v>
      </c>
      <c r="AA179" s="41" t="str">
        <f t="shared" si="7"/>
        <v/>
      </c>
      <c r="AB179" s="35" t="e">
        <f t="shared" si="8"/>
        <v>#VALUE!</v>
      </c>
      <c r="AC179" s="54" t="str">
        <f t="shared" si="9"/>
        <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
      </c>
    </row>
    <row r="180" spans="1:32" ht="30" hidden="1" customHeight="1" x14ac:dyDescent="0.35">
      <c r="A180" s="4">
        <v>178</v>
      </c>
      <c r="B180" s="2"/>
      <c r="C180" s="38" t="str">
        <f>IFERROR(VLOOKUP($B180,대상!$B:$AC,MATCH(C$2,대상!$1:$1,0)-1,FALSE),"")</f>
        <v/>
      </c>
      <c r="D180" s="38" t="str">
        <f>IFERROR(VLOOKUP($B180,대상!$B:$AC,MATCH(D$2,대상!$1:$1,0)-1,FALSE),"")</f>
        <v/>
      </c>
      <c r="E180" s="36" t="str">
        <f>IFERROR(VLOOKUP($B180,대상!$B:$AC,MATCH(E$2,대상!$1:$1,0)-1,FALSE),"")</f>
        <v/>
      </c>
      <c r="F180" s="38" t="str">
        <f>IFERROR(VLOOKUP($B180,대상!$B:$AC,MATCH(F$2,대상!$1:$1,0)-1,FALSE),"")</f>
        <v/>
      </c>
      <c r="G180" s="38" t="str">
        <f>IFERROR(VLOOKUP($B180,대상!$B:$AC,MATCH(G$2,대상!$1:$1,0)-1,FALSE),"")</f>
        <v/>
      </c>
      <c r="H180" s="33" t="str">
        <f>IFERROR(VLOOKUP($B180,[1]평가!$B:$Z,MATCH(LEFT(H$2,2),[1]평가!$7:$7,0)-1,FALSE),"")</f>
        <v/>
      </c>
      <c r="I180" s="36" t="str">
        <f>IFERROR(VLOOKUP($B180,[1]평가!$B:$Z,MATCH(LEFT(I$2,2),[1]평가!$7:$7,0)-1,FALSE),"")</f>
        <v/>
      </c>
      <c r="J180" s="36" t="str">
        <f>IFERROR(VLOOKUP($B180,[1]평가!$B:$Z,MATCH(LEFT(J$2,2),[1]평가!$7:$7,0)-1,FALSE),"")</f>
        <v/>
      </c>
      <c r="K180" s="33" t="str">
        <f>IFERROR(VLOOKUP($B180,[2]평가!$B:$Z,MATCH(LEFT(K$2,2),[2]평가!$7:$7,0)-1,FALSE),"")</f>
        <v/>
      </c>
      <c r="L180" s="36" t="str">
        <f>IFERROR(VLOOKUP($B180,[2]평가!$B:$Z,MATCH(LEFT(L$2,2),[2]평가!$7:$7,0)-1,FALSE),"")</f>
        <v/>
      </c>
      <c r="M180" s="39" t="str">
        <f>IFERROR(VLOOKUP($B180,[2]평가!$B:$Z,MATCH(LEFT(M$2,2),[2]평가!$7:$7,0)-1,FALSE),"")</f>
        <v/>
      </c>
      <c r="N180" s="33" t="str">
        <f>IFERROR(VLOOKUP($B180,[3]평가!$B:$Z,MATCH(LEFT(N$2,2),[3]평가!$7:$7,0)-1,FALSE),"")</f>
        <v/>
      </c>
      <c r="O180" s="36" t="str">
        <f>IFERROR(VLOOKUP($B180,[3]평가!$B:$Z,MATCH(LEFT(O$2,2),[3]평가!$7:$7,0)-1,FALSE),"")</f>
        <v/>
      </c>
      <c r="P180" s="39" t="str">
        <f>IFERROR(VLOOKUP($B180,[3]평가!$B:$Z,MATCH(LEFT(P$2,2),[3]평가!$7:$7,0)-1,FALSE),"")</f>
        <v/>
      </c>
      <c r="Q180" s="33" t="str">
        <f>IFERROR(VLOOKUP($B180,[4]평가!$B:$Z,MATCH(LEFT(Q$2,2),[4]평가!$7:$7,0)-1,FALSE),"")</f>
        <v/>
      </c>
      <c r="R180" s="36" t="str">
        <f>IFERROR(VLOOKUP($B180,[4]평가!$B:$Z,MATCH(LEFT(R$2,2),[4]평가!$7:$7,0)-1,FALSE),"")</f>
        <v/>
      </c>
      <c r="S180" s="39" t="str">
        <f>IFERROR(VLOOKUP($B180,[4]평가!$B:$Z,MATCH(LEFT(S$2,2),[4]평가!$7:$7,0)-1,FALSE),"")</f>
        <v/>
      </c>
      <c r="T180" s="33" t="str">
        <f>IFERROR(VLOOKUP($B180,[5]평가!$B:$Z,MATCH(LEFT(T$2,2),[5]평가!$7:$7,0)-1,FALSE),"")</f>
        <v/>
      </c>
      <c r="U180" s="36" t="str">
        <f>IFERROR(VLOOKUP($B180,[5]평가!$B:$Z,MATCH(LEFT(U$2,2),[5]평가!$7:$7,0)-1,FALSE),"")</f>
        <v/>
      </c>
      <c r="V180" s="39" t="str">
        <f>IFERROR(VLOOKUP($B180,[5]평가!$B:$Z,MATCH(LEFT(V$2,2),[5]평가!$7:$7,0)-1,FALSE),"")</f>
        <v/>
      </c>
      <c r="W180" s="33" t="str">
        <f>IFERROR(VLOOKUP($B180,대상!$B:$AD,MATCH(W$2,대상!$1:$1,0)-1,FALSE),"")</f>
        <v/>
      </c>
      <c r="X180" s="20" t="str">
        <f t="shared" si="5"/>
        <v/>
      </c>
      <c r="Y180" s="21" t="e">
        <f t="shared" si="6"/>
        <v>#VALUE!</v>
      </c>
      <c r="Z180" s="40">
        <f>IFERROR(VLOOKUP($B180,대상!$B:$AD,MATCH(Z$2,대상!$1:$1,0)-1,FALSE),0)</f>
        <v>0</v>
      </c>
      <c r="AA180" s="41" t="str">
        <f t="shared" si="7"/>
        <v/>
      </c>
      <c r="AB180" s="35" t="e">
        <f t="shared" si="8"/>
        <v>#VALUE!</v>
      </c>
      <c r="AC180" s="54" t="str">
        <f t="shared" si="9"/>
        <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
      </c>
    </row>
    <row r="181" spans="1:32" ht="30" hidden="1" customHeight="1" x14ac:dyDescent="0.35">
      <c r="A181" s="4">
        <v>179</v>
      </c>
      <c r="B181" s="2"/>
      <c r="C181" s="38" t="str">
        <f>IFERROR(VLOOKUP($B181,대상!$B:$AC,MATCH(C$2,대상!$1:$1,0)-1,FALSE),"")</f>
        <v/>
      </c>
      <c r="D181" s="38" t="str">
        <f>IFERROR(VLOOKUP($B181,대상!$B:$AC,MATCH(D$2,대상!$1:$1,0)-1,FALSE),"")</f>
        <v/>
      </c>
      <c r="E181" s="36" t="str">
        <f>IFERROR(VLOOKUP($B181,대상!$B:$AC,MATCH(E$2,대상!$1:$1,0)-1,FALSE),"")</f>
        <v/>
      </c>
      <c r="F181" s="38" t="str">
        <f>IFERROR(VLOOKUP($B181,대상!$B:$AC,MATCH(F$2,대상!$1:$1,0)-1,FALSE),"")</f>
        <v/>
      </c>
      <c r="G181" s="38" t="str">
        <f>IFERROR(VLOOKUP($B181,대상!$B:$AC,MATCH(G$2,대상!$1:$1,0)-1,FALSE),"")</f>
        <v/>
      </c>
      <c r="H181" s="33" t="str">
        <f>IFERROR(VLOOKUP($B181,[1]평가!$B:$Z,MATCH(LEFT(H$2,2),[1]평가!$7:$7,0)-1,FALSE),"")</f>
        <v/>
      </c>
      <c r="I181" s="36" t="str">
        <f>IFERROR(VLOOKUP($B181,[1]평가!$B:$Z,MATCH(LEFT(I$2,2),[1]평가!$7:$7,0)-1,FALSE),"")</f>
        <v/>
      </c>
      <c r="J181" s="36" t="str">
        <f>IFERROR(VLOOKUP($B181,[1]평가!$B:$Z,MATCH(LEFT(J$2,2),[1]평가!$7:$7,0)-1,FALSE),"")</f>
        <v/>
      </c>
      <c r="K181" s="33" t="str">
        <f>IFERROR(VLOOKUP($B181,[2]평가!$B:$Z,MATCH(LEFT(K$2,2),[2]평가!$7:$7,0)-1,FALSE),"")</f>
        <v/>
      </c>
      <c r="L181" s="36" t="str">
        <f>IFERROR(VLOOKUP($B181,[2]평가!$B:$Z,MATCH(LEFT(L$2,2),[2]평가!$7:$7,0)-1,FALSE),"")</f>
        <v/>
      </c>
      <c r="M181" s="39" t="str">
        <f>IFERROR(VLOOKUP($B181,[2]평가!$B:$Z,MATCH(LEFT(M$2,2),[2]평가!$7:$7,0)-1,FALSE),"")</f>
        <v/>
      </c>
      <c r="N181" s="33" t="str">
        <f>IFERROR(VLOOKUP($B181,[3]평가!$B:$Z,MATCH(LEFT(N$2,2),[3]평가!$7:$7,0)-1,FALSE),"")</f>
        <v/>
      </c>
      <c r="O181" s="36" t="str">
        <f>IFERROR(VLOOKUP($B181,[3]평가!$B:$Z,MATCH(LEFT(O$2,2),[3]평가!$7:$7,0)-1,FALSE),"")</f>
        <v/>
      </c>
      <c r="P181" s="39" t="str">
        <f>IFERROR(VLOOKUP($B181,[3]평가!$B:$Z,MATCH(LEFT(P$2,2),[3]평가!$7:$7,0)-1,FALSE),"")</f>
        <v/>
      </c>
      <c r="Q181" s="33" t="str">
        <f>IFERROR(VLOOKUP($B181,[4]평가!$B:$Z,MATCH(LEFT(Q$2,2),[4]평가!$7:$7,0)-1,FALSE),"")</f>
        <v/>
      </c>
      <c r="R181" s="36" t="str">
        <f>IFERROR(VLOOKUP($B181,[4]평가!$B:$Z,MATCH(LEFT(R$2,2),[4]평가!$7:$7,0)-1,FALSE),"")</f>
        <v/>
      </c>
      <c r="S181" s="39" t="str">
        <f>IFERROR(VLOOKUP($B181,[4]평가!$B:$Z,MATCH(LEFT(S$2,2),[4]평가!$7:$7,0)-1,FALSE),"")</f>
        <v/>
      </c>
      <c r="T181" s="33" t="str">
        <f>IFERROR(VLOOKUP($B181,[5]평가!$B:$Z,MATCH(LEFT(T$2,2),[5]평가!$7:$7,0)-1,FALSE),"")</f>
        <v/>
      </c>
      <c r="U181" s="36" t="str">
        <f>IFERROR(VLOOKUP($B181,[5]평가!$B:$Z,MATCH(LEFT(U$2,2),[5]평가!$7:$7,0)-1,FALSE),"")</f>
        <v/>
      </c>
      <c r="V181" s="39" t="str">
        <f>IFERROR(VLOOKUP($B181,[5]평가!$B:$Z,MATCH(LEFT(V$2,2),[5]평가!$7:$7,0)-1,FALSE),"")</f>
        <v/>
      </c>
      <c r="W181" s="33" t="str">
        <f>IFERROR(VLOOKUP($B181,대상!$B:$AD,MATCH(W$2,대상!$1:$1,0)-1,FALSE),"")</f>
        <v/>
      </c>
      <c r="X181" s="20" t="str">
        <f t="shared" si="5"/>
        <v/>
      </c>
      <c r="Y181" s="21" t="e">
        <f t="shared" si="6"/>
        <v>#VALUE!</v>
      </c>
      <c r="Z181" s="40">
        <f>IFERROR(VLOOKUP($B181,대상!$B:$AD,MATCH(Z$2,대상!$1:$1,0)-1,FALSE),0)</f>
        <v>0</v>
      </c>
      <c r="AA181" s="41" t="str">
        <f t="shared" si="7"/>
        <v/>
      </c>
      <c r="AB181" s="35" t="e">
        <f t="shared" si="8"/>
        <v>#VALUE!</v>
      </c>
      <c r="AC181" s="54" t="str">
        <f t="shared" si="9"/>
        <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
      </c>
    </row>
    <row r="182" spans="1:32" ht="30" hidden="1" customHeight="1" x14ac:dyDescent="0.35">
      <c r="A182" s="4">
        <v>180</v>
      </c>
      <c r="B182" s="2"/>
      <c r="C182" s="38" t="str">
        <f>IFERROR(VLOOKUP($B182,대상!$B:$AC,MATCH(C$2,대상!$1:$1,0)-1,FALSE),"")</f>
        <v/>
      </c>
      <c r="D182" s="38" t="str">
        <f>IFERROR(VLOOKUP($B182,대상!$B:$AC,MATCH(D$2,대상!$1:$1,0)-1,FALSE),"")</f>
        <v/>
      </c>
      <c r="E182" s="36" t="str">
        <f>IFERROR(VLOOKUP($B182,대상!$B:$AC,MATCH(E$2,대상!$1:$1,0)-1,FALSE),"")</f>
        <v/>
      </c>
      <c r="F182" s="38" t="str">
        <f>IFERROR(VLOOKUP($B182,대상!$B:$AC,MATCH(F$2,대상!$1:$1,0)-1,FALSE),"")</f>
        <v/>
      </c>
      <c r="G182" s="38" t="str">
        <f>IFERROR(VLOOKUP($B182,대상!$B:$AC,MATCH(G$2,대상!$1:$1,0)-1,FALSE),"")</f>
        <v/>
      </c>
      <c r="H182" s="33" t="str">
        <f>IFERROR(VLOOKUP($B182,[1]평가!$B:$Z,MATCH(LEFT(H$2,2),[1]평가!$7:$7,0)-1,FALSE),"")</f>
        <v/>
      </c>
      <c r="I182" s="36" t="str">
        <f>IFERROR(VLOOKUP($B182,[1]평가!$B:$Z,MATCH(LEFT(I$2,2),[1]평가!$7:$7,0)-1,FALSE),"")</f>
        <v/>
      </c>
      <c r="J182" s="36" t="str">
        <f>IFERROR(VLOOKUP($B182,[1]평가!$B:$Z,MATCH(LEFT(J$2,2),[1]평가!$7:$7,0)-1,FALSE),"")</f>
        <v/>
      </c>
      <c r="K182" s="33" t="str">
        <f>IFERROR(VLOOKUP($B182,[2]평가!$B:$Z,MATCH(LEFT(K$2,2),[2]평가!$7:$7,0)-1,FALSE),"")</f>
        <v/>
      </c>
      <c r="L182" s="36" t="str">
        <f>IFERROR(VLOOKUP($B182,[2]평가!$B:$Z,MATCH(LEFT(L$2,2),[2]평가!$7:$7,0)-1,FALSE),"")</f>
        <v/>
      </c>
      <c r="M182" s="39" t="str">
        <f>IFERROR(VLOOKUP($B182,[2]평가!$B:$Z,MATCH(LEFT(M$2,2),[2]평가!$7:$7,0)-1,FALSE),"")</f>
        <v/>
      </c>
      <c r="N182" s="33" t="str">
        <f>IFERROR(VLOOKUP($B182,[3]평가!$B:$Z,MATCH(LEFT(N$2,2),[3]평가!$7:$7,0)-1,FALSE),"")</f>
        <v/>
      </c>
      <c r="O182" s="36" t="str">
        <f>IFERROR(VLOOKUP($B182,[3]평가!$B:$Z,MATCH(LEFT(O$2,2),[3]평가!$7:$7,0)-1,FALSE),"")</f>
        <v/>
      </c>
      <c r="P182" s="39" t="str">
        <f>IFERROR(VLOOKUP($B182,[3]평가!$B:$Z,MATCH(LEFT(P$2,2),[3]평가!$7:$7,0)-1,FALSE),"")</f>
        <v/>
      </c>
      <c r="Q182" s="33" t="str">
        <f>IFERROR(VLOOKUP($B182,[4]평가!$B:$Z,MATCH(LEFT(Q$2,2),[4]평가!$7:$7,0)-1,FALSE),"")</f>
        <v/>
      </c>
      <c r="R182" s="36" t="str">
        <f>IFERROR(VLOOKUP($B182,[4]평가!$B:$Z,MATCH(LEFT(R$2,2),[4]평가!$7:$7,0)-1,FALSE),"")</f>
        <v/>
      </c>
      <c r="S182" s="39" t="str">
        <f>IFERROR(VLOOKUP($B182,[4]평가!$B:$Z,MATCH(LEFT(S$2,2),[4]평가!$7:$7,0)-1,FALSE),"")</f>
        <v/>
      </c>
      <c r="T182" s="33" t="str">
        <f>IFERROR(VLOOKUP($B182,[5]평가!$B:$Z,MATCH(LEFT(T$2,2),[5]평가!$7:$7,0)-1,FALSE),"")</f>
        <v/>
      </c>
      <c r="U182" s="36" t="str">
        <f>IFERROR(VLOOKUP($B182,[5]평가!$B:$Z,MATCH(LEFT(U$2,2),[5]평가!$7:$7,0)-1,FALSE),"")</f>
        <v/>
      </c>
      <c r="V182" s="39" t="str">
        <f>IFERROR(VLOOKUP($B182,[5]평가!$B:$Z,MATCH(LEFT(V$2,2),[5]평가!$7:$7,0)-1,FALSE),"")</f>
        <v/>
      </c>
      <c r="W182" s="33" t="str">
        <f>IFERROR(VLOOKUP($B182,대상!$B:$AD,MATCH(W$2,대상!$1:$1,0)-1,FALSE),"")</f>
        <v/>
      </c>
      <c r="X182" s="20" t="str">
        <f t="shared" si="5"/>
        <v/>
      </c>
      <c r="Y182" s="21" t="e">
        <f t="shared" si="6"/>
        <v>#VALUE!</v>
      </c>
      <c r="Z182" s="40">
        <f>IFERROR(VLOOKUP($B182,대상!$B:$AD,MATCH(Z$2,대상!$1:$1,0)-1,FALSE),0)</f>
        <v>0</v>
      </c>
      <c r="AA182" s="41" t="str">
        <f t="shared" si="7"/>
        <v/>
      </c>
      <c r="AB182" s="35" t="e">
        <f t="shared" si="8"/>
        <v>#VALUE!</v>
      </c>
      <c r="AC182" s="54" t="str">
        <f t="shared" si="9"/>
        <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
      </c>
    </row>
    <row r="183" spans="1:32" ht="30" hidden="1" customHeight="1" x14ac:dyDescent="0.35">
      <c r="A183" s="4">
        <v>181</v>
      </c>
      <c r="B183" s="2"/>
      <c r="C183" s="38" t="str">
        <f>IFERROR(VLOOKUP($B183,대상!$B:$AC,MATCH(C$2,대상!$1:$1,0)-1,FALSE),"")</f>
        <v/>
      </c>
      <c r="D183" s="38" t="str">
        <f>IFERROR(VLOOKUP($B183,대상!$B:$AC,MATCH(D$2,대상!$1:$1,0)-1,FALSE),"")</f>
        <v/>
      </c>
      <c r="E183" s="36" t="str">
        <f>IFERROR(VLOOKUP($B183,대상!$B:$AC,MATCH(E$2,대상!$1:$1,0)-1,FALSE),"")</f>
        <v/>
      </c>
      <c r="F183" s="38" t="str">
        <f>IFERROR(VLOOKUP($B183,대상!$B:$AC,MATCH(F$2,대상!$1:$1,0)-1,FALSE),"")</f>
        <v/>
      </c>
      <c r="G183" s="38" t="str">
        <f>IFERROR(VLOOKUP($B183,대상!$B:$AC,MATCH(G$2,대상!$1:$1,0)-1,FALSE),"")</f>
        <v/>
      </c>
      <c r="H183" s="33" t="str">
        <f>IFERROR(VLOOKUP($B183,[1]평가!$B:$Z,MATCH(LEFT(H$2,2),[1]평가!$7:$7,0)-1,FALSE),"")</f>
        <v/>
      </c>
      <c r="I183" s="36" t="str">
        <f>IFERROR(VLOOKUP($B183,[1]평가!$B:$Z,MATCH(LEFT(I$2,2),[1]평가!$7:$7,0)-1,FALSE),"")</f>
        <v/>
      </c>
      <c r="J183" s="36" t="str">
        <f>IFERROR(VLOOKUP($B183,[1]평가!$B:$Z,MATCH(LEFT(J$2,2),[1]평가!$7:$7,0)-1,FALSE),"")</f>
        <v/>
      </c>
      <c r="K183" s="33" t="str">
        <f>IFERROR(VLOOKUP($B183,[2]평가!$B:$Z,MATCH(LEFT(K$2,2),[2]평가!$7:$7,0)-1,FALSE),"")</f>
        <v/>
      </c>
      <c r="L183" s="36" t="str">
        <f>IFERROR(VLOOKUP($B183,[2]평가!$B:$Z,MATCH(LEFT(L$2,2),[2]평가!$7:$7,0)-1,FALSE),"")</f>
        <v/>
      </c>
      <c r="M183" s="39" t="str">
        <f>IFERROR(VLOOKUP($B183,[2]평가!$B:$Z,MATCH(LEFT(M$2,2),[2]평가!$7:$7,0)-1,FALSE),"")</f>
        <v/>
      </c>
      <c r="N183" s="33" t="str">
        <f>IFERROR(VLOOKUP($B183,[3]평가!$B:$Z,MATCH(LEFT(N$2,2),[3]평가!$7:$7,0)-1,FALSE),"")</f>
        <v/>
      </c>
      <c r="O183" s="36" t="str">
        <f>IFERROR(VLOOKUP($B183,[3]평가!$B:$Z,MATCH(LEFT(O$2,2),[3]평가!$7:$7,0)-1,FALSE),"")</f>
        <v/>
      </c>
      <c r="P183" s="39" t="str">
        <f>IFERROR(VLOOKUP($B183,[3]평가!$B:$Z,MATCH(LEFT(P$2,2),[3]평가!$7:$7,0)-1,FALSE),"")</f>
        <v/>
      </c>
      <c r="Q183" s="33" t="str">
        <f>IFERROR(VLOOKUP($B183,[4]평가!$B:$Z,MATCH(LEFT(Q$2,2),[4]평가!$7:$7,0)-1,FALSE),"")</f>
        <v/>
      </c>
      <c r="R183" s="36" t="str">
        <f>IFERROR(VLOOKUP($B183,[4]평가!$B:$Z,MATCH(LEFT(R$2,2),[4]평가!$7:$7,0)-1,FALSE),"")</f>
        <v/>
      </c>
      <c r="S183" s="39" t="str">
        <f>IFERROR(VLOOKUP($B183,[4]평가!$B:$Z,MATCH(LEFT(S$2,2),[4]평가!$7:$7,0)-1,FALSE),"")</f>
        <v/>
      </c>
      <c r="T183" s="33" t="str">
        <f>IFERROR(VLOOKUP($B183,[5]평가!$B:$Z,MATCH(LEFT(T$2,2),[5]평가!$7:$7,0)-1,FALSE),"")</f>
        <v/>
      </c>
      <c r="U183" s="36" t="str">
        <f>IFERROR(VLOOKUP($B183,[5]평가!$B:$Z,MATCH(LEFT(U$2,2),[5]평가!$7:$7,0)-1,FALSE),"")</f>
        <v/>
      </c>
      <c r="V183" s="39" t="str">
        <f>IFERROR(VLOOKUP($B183,[5]평가!$B:$Z,MATCH(LEFT(V$2,2),[5]평가!$7:$7,0)-1,FALSE),"")</f>
        <v/>
      </c>
      <c r="W183" s="33" t="str">
        <f>IFERROR(VLOOKUP($B183,대상!$B:$AD,MATCH(W$2,대상!$1:$1,0)-1,FALSE),"")</f>
        <v/>
      </c>
      <c r="X183" s="20" t="str">
        <f t="shared" si="5"/>
        <v/>
      </c>
      <c r="Y183" s="21" t="e">
        <f t="shared" si="6"/>
        <v>#VALUE!</v>
      </c>
      <c r="Z183" s="40">
        <f>IFERROR(VLOOKUP($B183,대상!$B:$AD,MATCH(Z$2,대상!$1:$1,0)-1,FALSE),0)</f>
        <v>0</v>
      </c>
      <c r="AA183" s="41" t="str">
        <f t="shared" si="7"/>
        <v/>
      </c>
      <c r="AB183" s="35" t="e">
        <f t="shared" si="8"/>
        <v>#VALUE!</v>
      </c>
      <c r="AC183" s="54" t="str">
        <f t="shared" si="9"/>
        <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
      </c>
    </row>
    <row r="184" spans="1:32" ht="30" hidden="1" customHeight="1" x14ac:dyDescent="0.35">
      <c r="A184" s="4">
        <v>182</v>
      </c>
      <c r="B184" s="2"/>
      <c r="C184" s="38" t="str">
        <f>IFERROR(VLOOKUP($B184,대상!$B:$AC,MATCH(C$2,대상!$1:$1,0)-1,FALSE),"")</f>
        <v/>
      </c>
      <c r="D184" s="38" t="str">
        <f>IFERROR(VLOOKUP($B184,대상!$B:$AC,MATCH(D$2,대상!$1:$1,0)-1,FALSE),"")</f>
        <v/>
      </c>
      <c r="E184" s="36" t="str">
        <f>IFERROR(VLOOKUP($B184,대상!$B:$AC,MATCH(E$2,대상!$1:$1,0)-1,FALSE),"")</f>
        <v/>
      </c>
      <c r="F184" s="38" t="str">
        <f>IFERROR(VLOOKUP($B184,대상!$B:$AC,MATCH(F$2,대상!$1:$1,0)-1,FALSE),"")</f>
        <v/>
      </c>
      <c r="G184" s="38" t="str">
        <f>IFERROR(VLOOKUP($B184,대상!$B:$AC,MATCH(G$2,대상!$1:$1,0)-1,FALSE),"")</f>
        <v/>
      </c>
      <c r="H184" s="33" t="str">
        <f>IFERROR(VLOOKUP($B184,[1]평가!$B:$Z,MATCH(LEFT(H$2,2),[1]평가!$7:$7,0)-1,FALSE),"")</f>
        <v/>
      </c>
      <c r="I184" s="36" t="str">
        <f>IFERROR(VLOOKUP($B184,[1]평가!$B:$Z,MATCH(LEFT(I$2,2),[1]평가!$7:$7,0)-1,FALSE),"")</f>
        <v/>
      </c>
      <c r="J184" s="36" t="str">
        <f>IFERROR(VLOOKUP($B184,[1]평가!$B:$Z,MATCH(LEFT(J$2,2),[1]평가!$7:$7,0)-1,FALSE),"")</f>
        <v/>
      </c>
      <c r="K184" s="33" t="str">
        <f>IFERROR(VLOOKUP($B184,[2]평가!$B:$Z,MATCH(LEFT(K$2,2),[2]평가!$7:$7,0)-1,FALSE),"")</f>
        <v/>
      </c>
      <c r="L184" s="36" t="str">
        <f>IFERROR(VLOOKUP($B184,[2]평가!$B:$Z,MATCH(LEFT(L$2,2),[2]평가!$7:$7,0)-1,FALSE),"")</f>
        <v/>
      </c>
      <c r="M184" s="39" t="str">
        <f>IFERROR(VLOOKUP($B184,[2]평가!$B:$Z,MATCH(LEFT(M$2,2),[2]평가!$7:$7,0)-1,FALSE),"")</f>
        <v/>
      </c>
      <c r="N184" s="33" t="str">
        <f>IFERROR(VLOOKUP($B184,[3]평가!$B:$Z,MATCH(LEFT(N$2,2),[3]평가!$7:$7,0)-1,FALSE),"")</f>
        <v/>
      </c>
      <c r="O184" s="36" t="str">
        <f>IFERROR(VLOOKUP($B184,[3]평가!$B:$Z,MATCH(LEFT(O$2,2),[3]평가!$7:$7,0)-1,FALSE),"")</f>
        <v/>
      </c>
      <c r="P184" s="39" t="str">
        <f>IFERROR(VLOOKUP($B184,[3]평가!$B:$Z,MATCH(LEFT(P$2,2),[3]평가!$7:$7,0)-1,FALSE),"")</f>
        <v/>
      </c>
      <c r="Q184" s="33" t="str">
        <f>IFERROR(VLOOKUP($B184,[4]평가!$B:$Z,MATCH(LEFT(Q$2,2),[4]평가!$7:$7,0)-1,FALSE),"")</f>
        <v/>
      </c>
      <c r="R184" s="36" t="str">
        <f>IFERROR(VLOOKUP($B184,[4]평가!$B:$Z,MATCH(LEFT(R$2,2),[4]평가!$7:$7,0)-1,FALSE),"")</f>
        <v/>
      </c>
      <c r="S184" s="39" t="str">
        <f>IFERROR(VLOOKUP($B184,[4]평가!$B:$Z,MATCH(LEFT(S$2,2),[4]평가!$7:$7,0)-1,FALSE),"")</f>
        <v/>
      </c>
      <c r="T184" s="33" t="str">
        <f>IFERROR(VLOOKUP($B184,[5]평가!$B:$Z,MATCH(LEFT(T$2,2),[5]평가!$7:$7,0)-1,FALSE),"")</f>
        <v/>
      </c>
      <c r="U184" s="36" t="str">
        <f>IFERROR(VLOOKUP($B184,[5]평가!$B:$Z,MATCH(LEFT(U$2,2),[5]평가!$7:$7,0)-1,FALSE),"")</f>
        <v/>
      </c>
      <c r="V184" s="39" t="str">
        <f>IFERROR(VLOOKUP($B184,[5]평가!$B:$Z,MATCH(LEFT(V$2,2),[5]평가!$7:$7,0)-1,FALSE),"")</f>
        <v/>
      </c>
      <c r="W184" s="33" t="str">
        <f>IFERROR(VLOOKUP($B184,대상!$B:$AD,MATCH(W$2,대상!$1:$1,0)-1,FALSE),"")</f>
        <v/>
      </c>
      <c r="X184" s="20" t="str">
        <f t="shared" si="5"/>
        <v/>
      </c>
      <c r="Y184" s="21" t="e">
        <f t="shared" si="6"/>
        <v>#VALUE!</v>
      </c>
      <c r="Z184" s="40">
        <f>IFERROR(VLOOKUP($B184,대상!$B:$AD,MATCH(Z$2,대상!$1:$1,0)-1,FALSE),0)</f>
        <v>0</v>
      </c>
      <c r="AA184" s="41" t="str">
        <f t="shared" si="7"/>
        <v/>
      </c>
      <c r="AB184" s="35" t="e">
        <f t="shared" si="8"/>
        <v>#VALUE!</v>
      </c>
      <c r="AC184" s="54" t="str">
        <f t="shared" si="9"/>
        <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
      </c>
    </row>
    <row r="185" spans="1:32" ht="30" hidden="1" customHeight="1" x14ac:dyDescent="0.35">
      <c r="A185" s="4">
        <v>183</v>
      </c>
      <c r="B185" s="2"/>
      <c r="C185" s="38" t="str">
        <f>IFERROR(VLOOKUP($B185,대상!$B:$AC,MATCH(C$2,대상!$1:$1,0)-1,FALSE),"")</f>
        <v/>
      </c>
      <c r="D185" s="38" t="str">
        <f>IFERROR(VLOOKUP($B185,대상!$B:$AC,MATCH(D$2,대상!$1:$1,0)-1,FALSE),"")</f>
        <v/>
      </c>
      <c r="E185" s="36" t="str">
        <f>IFERROR(VLOOKUP($B185,대상!$B:$AC,MATCH(E$2,대상!$1:$1,0)-1,FALSE),"")</f>
        <v/>
      </c>
      <c r="F185" s="38" t="str">
        <f>IFERROR(VLOOKUP($B185,대상!$B:$AC,MATCH(F$2,대상!$1:$1,0)-1,FALSE),"")</f>
        <v/>
      </c>
      <c r="G185" s="38" t="str">
        <f>IFERROR(VLOOKUP($B185,대상!$B:$AC,MATCH(G$2,대상!$1:$1,0)-1,FALSE),"")</f>
        <v/>
      </c>
      <c r="H185" s="33" t="str">
        <f>IFERROR(VLOOKUP($B185,[1]평가!$B:$Z,MATCH(LEFT(H$2,2),[1]평가!$7:$7,0)-1,FALSE),"")</f>
        <v/>
      </c>
      <c r="I185" s="36" t="str">
        <f>IFERROR(VLOOKUP($B185,[1]평가!$B:$Z,MATCH(LEFT(I$2,2),[1]평가!$7:$7,0)-1,FALSE),"")</f>
        <v/>
      </c>
      <c r="J185" s="36" t="str">
        <f>IFERROR(VLOOKUP($B185,[1]평가!$B:$Z,MATCH(LEFT(J$2,2),[1]평가!$7:$7,0)-1,FALSE),"")</f>
        <v/>
      </c>
      <c r="K185" s="33" t="str">
        <f>IFERROR(VLOOKUP($B185,[2]평가!$B:$Z,MATCH(LEFT(K$2,2),[2]평가!$7:$7,0)-1,FALSE),"")</f>
        <v/>
      </c>
      <c r="L185" s="36" t="str">
        <f>IFERROR(VLOOKUP($B185,[2]평가!$B:$Z,MATCH(LEFT(L$2,2),[2]평가!$7:$7,0)-1,FALSE),"")</f>
        <v/>
      </c>
      <c r="M185" s="39" t="str">
        <f>IFERROR(VLOOKUP($B185,[2]평가!$B:$Z,MATCH(LEFT(M$2,2),[2]평가!$7:$7,0)-1,FALSE),"")</f>
        <v/>
      </c>
      <c r="N185" s="33" t="str">
        <f>IFERROR(VLOOKUP($B185,[3]평가!$B:$Z,MATCH(LEFT(N$2,2),[3]평가!$7:$7,0)-1,FALSE),"")</f>
        <v/>
      </c>
      <c r="O185" s="36" t="str">
        <f>IFERROR(VLOOKUP($B185,[3]평가!$B:$Z,MATCH(LEFT(O$2,2),[3]평가!$7:$7,0)-1,FALSE),"")</f>
        <v/>
      </c>
      <c r="P185" s="39" t="str">
        <f>IFERROR(VLOOKUP($B185,[3]평가!$B:$Z,MATCH(LEFT(P$2,2),[3]평가!$7:$7,0)-1,FALSE),"")</f>
        <v/>
      </c>
      <c r="Q185" s="33" t="str">
        <f>IFERROR(VLOOKUP($B185,[4]평가!$B:$Z,MATCH(LEFT(Q$2,2),[4]평가!$7:$7,0)-1,FALSE),"")</f>
        <v/>
      </c>
      <c r="R185" s="36" t="str">
        <f>IFERROR(VLOOKUP($B185,[4]평가!$B:$Z,MATCH(LEFT(R$2,2),[4]평가!$7:$7,0)-1,FALSE),"")</f>
        <v/>
      </c>
      <c r="S185" s="39" t="str">
        <f>IFERROR(VLOOKUP($B185,[4]평가!$B:$Z,MATCH(LEFT(S$2,2),[4]평가!$7:$7,0)-1,FALSE),"")</f>
        <v/>
      </c>
      <c r="T185" s="33" t="str">
        <f>IFERROR(VLOOKUP($B185,[5]평가!$B:$Z,MATCH(LEFT(T$2,2),[5]평가!$7:$7,0)-1,FALSE),"")</f>
        <v/>
      </c>
      <c r="U185" s="36" t="str">
        <f>IFERROR(VLOOKUP($B185,[5]평가!$B:$Z,MATCH(LEFT(U$2,2),[5]평가!$7:$7,0)-1,FALSE),"")</f>
        <v/>
      </c>
      <c r="V185" s="39" t="str">
        <f>IFERROR(VLOOKUP($B185,[5]평가!$B:$Z,MATCH(LEFT(V$2,2),[5]평가!$7:$7,0)-1,FALSE),"")</f>
        <v/>
      </c>
      <c r="W185" s="33" t="str">
        <f>IFERROR(VLOOKUP($B185,대상!$B:$AD,MATCH(W$2,대상!$1:$1,0)-1,FALSE),"")</f>
        <v/>
      </c>
      <c r="X185" s="20" t="str">
        <f t="shared" si="5"/>
        <v/>
      </c>
      <c r="Y185" s="21" t="e">
        <f t="shared" si="6"/>
        <v>#VALUE!</v>
      </c>
      <c r="Z185" s="40">
        <f>IFERROR(VLOOKUP($B185,대상!$B:$AD,MATCH(Z$2,대상!$1:$1,0)-1,FALSE),0)</f>
        <v>0</v>
      </c>
      <c r="AA185" s="41" t="str">
        <f t="shared" si="7"/>
        <v/>
      </c>
      <c r="AB185" s="35" t="e">
        <f t="shared" si="8"/>
        <v>#VALUE!</v>
      </c>
      <c r="AC185" s="54" t="str">
        <f t="shared" si="9"/>
        <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
      </c>
    </row>
    <row r="186" spans="1:32" ht="30" hidden="1" customHeight="1" x14ac:dyDescent="0.35">
      <c r="A186" s="4">
        <v>184</v>
      </c>
      <c r="B186" s="2"/>
      <c r="C186" s="38" t="str">
        <f>IFERROR(VLOOKUP($B186,대상!$B:$AC,MATCH(C$2,대상!$1:$1,0)-1,FALSE),"")</f>
        <v/>
      </c>
      <c r="D186" s="38" t="str">
        <f>IFERROR(VLOOKUP($B186,대상!$B:$AC,MATCH(D$2,대상!$1:$1,0)-1,FALSE),"")</f>
        <v/>
      </c>
      <c r="E186" s="36" t="str">
        <f>IFERROR(VLOOKUP($B186,대상!$B:$AC,MATCH(E$2,대상!$1:$1,0)-1,FALSE),"")</f>
        <v/>
      </c>
      <c r="F186" s="38" t="str">
        <f>IFERROR(VLOOKUP($B186,대상!$B:$AC,MATCH(F$2,대상!$1:$1,0)-1,FALSE),"")</f>
        <v/>
      </c>
      <c r="G186" s="38" t="str">
        <f>IFERROR(VLOOKUP($B186,대상!$B:$AC,MATCH(G$2,대상!$1:$1,0)-1,FALSE),"")</f>
        <v/>
      </c>
      <c r="H186" s="33" t="str">
        <f>IFERROR(VLOOKUP($B186,[1]평가!$B:$Z,MATCH(LEFT(H$2,2),[1]평가!$7:$7,0)-1,FALSE),"")</f>
        <v/>
      </c>
      <c r="I186" s="36" t="str">
        <f>IFERROR(VLOOKUP($B186,[1]평가!$B:$Z,MATCH(LEFT(I$2,2),[1]평가!$7:$7,0)-1,FALSE),"")</f>
        <v/>
      </c>
      <c r="J186" s="36" t="str">
        <f>IFERROR(VLOOKUP($B186,[1]평가!$B:$Z,MATCH(LEFT(J$2,2),[1]평가!$7:$7,0)-1,FALSE),"")</f>
        <v/>
      </c>
      <c r="K186" s="33" t="str">
        <f>IFERROR(VLOOKUP($B186,[2]평가!$B:$Z,MATCH(LEFT(K$2,2),[2]평가!$7:$7,0)-1,FALSE),"")</f>
        <v/>
      </c>
      <c r="L186" s="36" t="str">
        <f>IFERROR(VLOOKUP($B186,[2]평가!$B:$Z,MATCH(LEFT(L$2,2),[2]평가!$7:$7,0)-1,FALSE),"")</f>
        <v/>
      </c>
      <c r="M186" s="39" t="str">
        <f>IFERROR(VLOOKUP($B186,[2]평가!$B:$Z,MATCH(LEFT(M$2,2),[2]평가!$7:$7,0)-1,FALSE),"")</f>
        <v/>
      </c>
      <c r="N186" s="33" t="str">
        <f>IFERROR(VLOOKUP($B186,[3]평가!$B:$Z,MATCH(LEFT(N$2,2),[3]평가!$7:$7,0)-1,FALSE),"")</f>
        <v/>
      </c>
      <c r="O186" s="36" t="str">
        <f>IFERROR(VLOOKUP($B186,[3]평가!$B:$Z,MATCH(LEFT(O$2,2),[3]평가!$7:$7,0)-1,FALSE),"")</f>
        <v/>
      </c>
      <c r="P186" s="39" t="str">
        <f>IFERROR(VLOOKUP($B186,[3]평가!$B:$Z,MATCH(LEFT(P$2,2),[3]평가!$7:$7,0)-1,FALSE),"")</f>
        <v/>
      </c>
      <c r="Q186" s="33" t="str">
        <f>IFERROR(VLOOKUP($B186,[4]평가!$B:$Z,MATCH(LEFT(Q$2,2),[4]평가!$7:$7,0)-1,FALSE),"")</f>
        <v/>
      </c>
      <c r="R186" s="36" t="str">
        <f>IFERROR(VLOOKUP($B186,[4]평가!$B:$Z,MATCH(LEFT(R$2,2),[4]평가!$7:$7,0)-1,FALSE),"")</f>
        <v/>
      </c>
      <c r="S186" s="39" t="str">
        <f>IFERROR(VLOOKUP($B186,[4]평가!$B:$Z,MATCH(LEFT(S$2,2),[4]평가!$7:$7,0)-1,FALSE),"")</f>
        <v/>
      </c>
      <c r="T186" s="33" t="str">
        <f>IFERROR(VLOOKUP($B186,[5]평가!$B:$Z,MATCH(LEFT(T$2,2),[5]평가!$7:$7,0)-1,FALSE),"")</f>
        <v/>
      </c>
      <c r="U186" s="36" t="str">
        <f>IFERROR(VLOOKUP($B186,[5]평가!$B:$Z,MATCH(LEFT(U$2,2),[5]평가!$7:$7,0)-1,FALSE),"")</f>
        <v/>
      </c>
      <c r="V186" s="39" t="str">
        <f>IFERROR(VLOOKUP($B186,[5]평가!$B:$Z,MATCH(LEFT(V$2,2),[5]평가!$7:$7,0)-1,FALSE),"")</f>
        <v/>
      </c>
      <c r="W186" s="33" t="str">
        <f>IFERROR(VLOOKUP($B186,대상!$B:$AD,MATCH(W$2,대상!$1:$1,0)-1,FALSE),"")</f>
        <v/>
      </c>
      <c r="X186" s="20" t="str">
        <f t="shared" si="5"/>
        <v/>
      </c>
      <c r="Y186" s="21" t="e">
        <f t="shared" si="6"/>
        <v>#VALUE!</v>
      </c>
      <c r="Z186" s="40">
        <f>IFERROR(VLOOKUP($B186,대상!$B:$AD,MATCH(Z$2,대상!$1:$1,0)-1,FALSE),0)</f>
        <v>0</v>
      </c>
      <c r="AA186" s="41" t="str">
        <f t="shared" si="7"/>
        <v/>
      </c>
      <c r="AB186" s="35" t="e">
        <f t="shared" si="8"/>
        <v>#VALUE!</v>
      </c>
      <c r="AC186" s="54" t="str">
        <f t="shared" si="9"/>
        <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
      </c>
    </row>
    <row r="187" spans="1:32" ht="30" hidden="1" customHeight="1" x14ac:dyDescent="0.35">
      <c r="A187" s="4">
        <v>185</v>
      </c>
      <c r="B187" s="2"/>
      <c r="C187" s="38" t="str">
        <f>IFERROR(VLOOKUP($B187,대상!$B:$AC,MATCH(C$2,대상!$1:$1,0)-1,FALSE),"")</f>
        <v/>
      </c>
      <c r="D187" s="38" t="str">
        <f>IFERROR(VLOOKUP($B187,대상!$B:$AC,MATCH(D$2,대상!$1:$1,0)-1,FALSE),"")</f>
        <v/>
      </c>
      <c r="E187" s="36" t="str">
        <f>IFERROR(VLOOKUP($B187,대상!$B:$AC,MATCH(E$2,대상!$1:$1,0)-1,FALSE),"")</f>
        <v/>
      </c>
      <c r="F187" s="38" t="str">
        <f>IFERROR(VLOOKUP($B187,대상!$B:$AC,MATCH(F$2,대상!$1:$1,0)-1,FALSE),"")</f>
        <v/>
      </c>
      <c r="G187" s="38" t="str">
        <f>IFERROR(VLOOKUP($B187,대상!$B:$AC,MATCH(G$2,대상!$1:$1,0)-1,FALSE),"")</f>
        <v/>
      </c>
      <c r="H187" s="33" t="str">
        <f>IFERROR(VLOOKUP($B187,[1]평가!$B:$Z,MATCH(LEFT(H$2,2),[1]평가!$7:$7,0)-1,FALSE),"")</f>
        <v/>
      </c>
      <c r="I187" s="36" t="str">
        <f>IFERROR(VLOOKUP($B187,[1]평가!$B:$Z,MATCH(LEFT(I$2,2),[1]평가!$7:$7,0)-1,FALSE),"")</f>
        <v/>
      </c>
      <c r="J187" s="36" t="str">
        <f>IFERROR(VLOOKUP($B187,[1]평가!$B:$Z,MATCH(LEFT(J$2,2),[1]평가!$7:$7,0)-1,FALSE),"")</f>
        <v/>
      </c>
      <c r="K187" s="33" t="str">
        <f>IFERROR(VLOOKUP($B187,[2]평가!$B:$Z,MATCH(LEFT(K$2,2),[2]평가!$7:$7,0)-1,FALSE),"")</f>
        <v/>
      </c>
      <c r="L187" s="36" t="str">
        <f>IFERROR(VLOOKUP($B187,[2]평가!$B:$Z,MATCH(LEFT(L$2,2),[2]평가!$7:$7,0)-1,FALSE),"")</f>
        <v/>
      </c>
      <c r="M187" s="39" t="str">
        <f>IFERROR(VLOOKUP($B187,[2]평가!$B:$Z,MATCH(LEFT(M$2,2),[2]평가!$7:$7,0)-1,FALSE),"")</f>
        <v/>
      </c>
      <c r="N187" s="33" t="str">
        <f>IFERROR(VLOOKUP($B187,[3]평가!$B:$Z,MATCH(LEFT(N$2,2),[3]평가!$7:$7,0)-1,FALSE),"")</f>
        <v/>
      </c>
      <c r="O187" s="36" t="str">
        <f>IFERROR(VLOOKUP($B187,[3]평가!$B:$Z,MATCH(LEFT(O$2,2),[3]평가!$7:$7,0)-1,FALSE),"")</f>
        <v/>
      </c>
      <c r="P187" s="39" t="str">
        <f>IFERROR(VLOOKUP($B187,[3]평가!$B:$Z,MATCH(LEFT(P$2,2),[3]평가!$7:$7,0)-1,FALSE),"")</f>
        <v/>
      </c>
      <c r="Q187" s="33" t="str">
        <f>IFERROR(VLOOKUP($B187,[4]평가!$B:$Z,MATCH(LEFT(Q$2,2),[4]평가!$7:$7,0)-1,FALSE),"")</f>
        <v/>
      </c>
      <c r="R187" s="36" t="str">
        <f>IFERROR(VLOOKUP($B187,[4]평가!$B:$Z,MATCH(LEFT(R$2,2),[4]평가!$7:$7,0)-1,FALSE),"")</f>
        <v/>
      </c>
      <c r="S187" s="39" t="str">
        <f>IFERROR(VLOOKUP($B187,[4]평가!$B:$Z,MATCH(LEFT(S$2,2),[4]평가!$7:$7,0)-1,FALSE),"")</f>
        <v/>
      </c>
      <c r="T187" s="33" t="str">
        <f>IFERROR(VLOOKUP($B187,[5]평가!$B:$Z,MATCH(LEFT(T$2,2),[5]평가!$7:$7,0)-1,FALSE),"")</f>
        <v/>
      </c>
      <c r="U187" s="36" t="str">
        <f>IFERROR(VLOOKUP($B187,[5]평가!$B:$Z,MATCH(LEFT(U$2,2),[5]평가!$7:$7,0)-1,FALSE),"")</f>
        <v/>
      </c>
      <c r="V187" s="39" t="str">
        <f>IFERROR(VLOOKUP($B187,[5]평가!$B:$Z,MATCH(LEFT(V$2,2),[5]평가!$7:$7,0)-1,FALSE),"")</f>
        <v/>
      </c>
      <c r="W187" s="33" t="str">
        <f>IFERROR(VLOOKUP($B187,대상!$B:$AD,MATCH(W$2,대상!$1:$1,0)-1,FALSE),"")</f>
        <v/>
      </c>
      <c r="X187" s="20" t="str">
        <f t="shared" si="5"/>
        <v/>
      </c>
      <c r="Y187" s="21" t="e">
        <f t="shared" si="6"/>
        <v>#VALUE!</v>
      </c>
      <c r="Z187" s="40">
        <f>IFERROR(VLOOKUP($B187,대상!$B:$AD,MATCH(Z$2,대상!$1:$1,0)-1,FALSE),0)</f>
        <v>0</v>
      </c>
      <c r="AA187" s="41" t="str">
        <f t="shared" si="7"/>
        <v/>
      </c>
      <c r="AB187" s="35" t="e">
        <f t="shared" si="8"/>
        <v>#VALUE!</v>
      </c>
      <c r="AC187" s="54" t="str">
        <f t="shared" si="9"/>
        <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
      </c>
    </row>
    <row r="188" spans="1:32" ht="30" hidden="1" customHeight="1" x14ac:dyDescent="0.35">
      <c r="A188" s="4">
        <v>186</v>
      </c>
      <c r="B188" s="2"/>
      <c r="C188" s="38" t="str">
        <f>IFERROR(VLOOKUP($B188,대상!$B:$AC,MATCH(C$2,대상!$1:$1,0)-1,FALSE),"")</f>
        <v/>
      </c>
      <c r="D188" s="38" t="str">
        <f>IFERROR(VLOOKUP($B188,대상!$B:$AC,MATCH(D$2,대상!$1:$1,0)-1,FALSE),"")</f>
        <v/>
      </c>
      <c r="E188" s="36" t="str">
        <f>IFERROR(VLOOKUP($B188,대상!$B:$AC,MATCH(E$2,대상!$1:$1,0)-1,FALSE),"")</f>
        <v/>
      </c>
      <c r="F188" s="38" t="str">
        <f>IFERROR(VLOOKUP($B188,대상!$B:$AC,MATCH(F$2,대상!$1:$1,0)-1,FALSE),"")</f>
        <v/>
      </c>
      <c r="G188" s="38" t="str">
        <f>IFERROR(VLOOKUP($B188,대상!$B:$AC,MATCH(G$2,대상!$1:$1,0)-1,FALSE),"")</f>
        <v/>
      </c>
      <c r="H188" s="33" t="str">
        <f>IFERROR(VLOOKUP($B188,[1]평가!$B:$Z,MATCH(LEFT(H$2,2),[1]평가!$7:$7,0)-1,FALSE),"")</f>
        <v/>
      </c>
      <c r="I188" s="36" t="str">
        <f>IFERROR(VLOOKUP($B188,[1]평가!$B:$Z,MATCH(LEFT(I$2,2),[1]평가!$7:$7,0)-1,FALSE),"")</f>
        <v/>
      </c>
      <c r="J188" s="36" t="str">
        <f>IFERROR(VLOOKUP($B188,[1]평가!$B:$Z,MATCH(LEFT(J$2,2),[1]평가!$7:$7,0)-1,FALSE),"")</f>
        <v/>
      </c>
      <c r="K188" s="33" t="str">
        <f>IFERROR(VLOOKUP($B188,[2]평가!$B:$Z,MATCH(LEFT(K$2,2),[2]평가!$7:$7,0)-1,FALSE),"")</f>
        <v/>
      </c>
      <c r="L188" s="36" t="str">
        <f>IFERROR(VLOOKUP($B188,[2]평가!$B:$Z,MATCH(LEFT(L$2,2),[2]평가!$7:$7,0)-1,FALSE),"")</f>
        <v/>
      </c>
      <c r="M188" s="39" t="str">
        <f>IFERROR(VLOOKUP($B188,[2]평가!$B:$Z,MATCH(LEFT(M$2,2),[2]평가!$7:$7,0)-1,FALSE),"")</f>
        <v/>
      </c>
      <c r="N188" s="33" t="str">
        <f>IFERROR(VLOOKUP($B188,[3]평가!$B:$Z,MATCH(LEFT(N$2,2),[3]평가!$7:$7,0)-1,FALSE),"")</f>
        <v/>
      </c>
      <c r="O188" s="36" t="str">
        <f>IFERROR(VLOOKUP($B188,[3]평가!$B:$Z,MATCH(LEFT(O$2,2),[3]평가!$7:$7,0)-1,FALSE),"")</f>
        <v/>
      </c>
      <c r="P188" s="39" t="str">
        <f>IFERROR(VLOOKUP($B188,[3]평가!$B:$Z,MATCH(LEFT(P$2,2),[3]평가!$7:$7,0)-1,FALSE),"")</f>
        <v/>
      </c>
      <c r="Q188" s="33" t="str">
        <f>IFERROR(VLOOKUP($B188,[4]평가!$B:$Z,MATCH(LEFT(Q$2,2),[4]평가!$7:$7,0)-1,FALSE),"")</f>
        <v/>
      </c>
      <c r="R188" s="36" t="str">
        <f>IFERROR(VLOOKUP($B188,[4]평가!$B:$Z,MATCH(LEFT(R$2,2),[4]평가!$7:$7,0)-1,FALSE),"")</f>
        <v/>
      </c>
      <c r="S188" s="39" t="str">
        <f>IFERROR(VLOOKUP($B188,[4]평가!$B:$Z,MATCH(LEFT(S$2,2),[4]평가!$7:$7,0)-1,FALSE),"")</f>
        <v/>
      </c>
      <c r="T188" s="33" t="str">
        <f>IFERROR(VLOOKUP($B188,[5]평가!$B:$Z,MATCH(LEFT(T$2,2),[5]평가!$7:$7,0)-1,FALSE),"")</f>
        <v/>
      </c>
      <c r="U188" s="36" t="str">
        <f>IFERROR(VLOOKUP($B188,[5]평가!$B:$Z,MATCH(LEFT(U$2,2),[5]평가!$7:$7,0)-1,FALSE),"")</f>
        <v/>
      </c>
      <c r="V188" s="39" t="str">
        <f>IFERROR(VLOOKUP($B188,[5]평가!$B:$Z,MATCH(LEFT(V$2,2),[5]평가!$7:$7,0)-1,FALSE),"")</f>
        <v/>
      </c>
      <c r="W188" s="33" t="str">
        <f>IFERROR(VLOOKUP($B188,대상!$B:$AD,MATCH(W$2,대상!$1:$1,0)-1,FALSE),"")</f>
        <v/>
      </c>
      <c r="X188" s="20" t="str">
        <f t="shared" si="5"/>
        <v/>
      </c>
      <c r="Y188" s="21" t="e">
        <f t="shared" si="6"/>
        <v>#VALUE!</v>
      </c>
      <c r="Z188" s="40">
        <f>IFERROR(VLOOKUP($B188,대상!$B:$AD,MATCH(Z$2,대상!$1:$1,0)-1,FALSE),0)</f>
        <v>0</v>
      </c>
      <c r="AA188" s="41" t="str">
        <f t="shared" si="7"/>
        <v/>
      </c>
      <c r="AB188" s="35" t="e">
        <f t="shared" si="8"/>
        <v>#VALUE!</v>
      </c>
      <c r="AC188" s="54" t="str">
        <f t="shared" si="9"/>
        <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
      </c>
    </row>
    <row r="189" spans="1:32" ht="30" hidden="1" customHeight="1" x14ac:dyDescent="0.35">
      <c r="A189" s="4">
        <v>187</v>
      </c>
      <c r="B189" s="2"/>
      <c r="C189" s="38" t="str">
        <f>IFERROR(VLOOKUP($B189,대상!$B:$AC,MATCH(C$2,대상!$1:$1,0)-1,FALSE),"")</f>
        <v/>
      </c>
      <c r="D189" s="38" t="str">
        <f>IFERROR(VLOOKUP($B189,대상!$B:$AC,MATCH(D$2,대상!$1:$1,0)-1,FALSE),"")</f>
        <v/>
      </c>
      <c r="E189" s="36" t="str">
        <f>IFERROR(VLOOKUP($B189,대상!$B:$AC,MATCH(E$2,대상!$1:$1,0)-1,FALSE),"")</f>
        <v/>
      </c>
      <c r="F189" s="38" t="str">
        <f>IFERROR(VLOOKUP($B189,대상!$B:$AC,MATCH(F$2,대상!$1:$1,0)-1,FALSE),"")</f>
        <v/>
      </c>
      <c r="G189" s="38" t="str">
        <f>IFERROR(VLOOKUP($B189,대상!$B:$AC,MATCH(G$2,대상!$1:$1,0)-1,FALSE),"")</f>
        <v/>
      </c>
      <c r="H189" s="33" t="str">
        <f>IFERROR(VLOOKUP($B189,[1]평가!$B:$Z,MATCH(LEFT(H$2,2),[1]평가!$7:$7,0)-1,FALSE),"")</f>
        <v/>
      </c>
      <c r="I189" s="36" t="str">
        <f>IFERROR(VLOOKUP($B189,[1]평가!$B:$Z,MATCH(LEFT(I$2,2),[1]평가!$7:$7,0)-1,FALSE),"")</f>
        <v/>
      </c>
      <c r="J189" s="36" t="str">
        <f>IFERROR(VLOOKUP($B189,[1]평가!$B:$Z,MATCH(LEFT(J$2,2),[1]평가!$7:$7,0)-1,FALSE),"")</f>
        <v/>
      </c>
      <c r="K189" s="33" t="str">
        <f>IFERROR(VLOOKUP($B189,[2]평가!$B:$Z,MATCH(LEFT(K$2,2),[2]평가!$7:$7,0)-1,FALSE),"")</f>
        <v/>
      </c>
      <c r="L189" s="36" t="str">
        <f>IFERROR(VLOOKUP($B189,[2]평가!$B:$Z,MATCH(LEFT(L$2,2),[2]평가!$7:$7,0)-1,FALSE),"")</f>
        <v/>
      </c>
      <c r="M189" s="39" t="str">
        <f>IFERROR(VLOOKUP($B189,[2]평가!$B:$Z,MATCH(LEFT(M$2,2),[2]평가!$7:$7,0)-1,FALSE),"")</f>
        <v/>
      </c>
      <c r="N189" s="33" t="str">
        <f>IFERROR(VLOOKUP($B189,[3]평가!$B:$Z,MATCH(LEFT(N$2,2),[3]평가!$7:$7,0)-1,FALSE),"")</f>
        <v/>
      </c>
      <c r="O189" s="36" t="str">
        <f>IFERROR(VLOOKUP($B189,[3]평가!$B:$Z,MATCH(LEFT(O$2,2),[3]평가!$7:$7,0)-1,FALSE),"")</f>
        <v/>
      </c>
      <c r="P189" s="39" t="str">
        <f>IFERROR(VLOOKUP($B189,[3]평가!$B:$Z,MATCH(LEFT(P$2,2),[3]평가!$7:$7,0)-1,FALSE),"")</f>
        <v/>
      </c>
      <c r="Q189" s="33" t="str">
        <f>IFERROR(VLOOKUP($B189,[4]평가!$B:$Z,MATCH(LEFT(Q$2,2),[4]평가!$7:$7,0)-1,FALSE),"")</f>
        <v/>
      </c>
      <c r="R189" s="36" t="str">
        <f>IFERROR(VLOOKUP($B189,[4]평가!$B:$Z,MATCH(LEFT(R$2,2),[4]평가!$7:$7,0)-1,FALSE),"")</f>
        <v/>
      </c>
      <c r="S189" s="39" t="str">
        <f>IFERROR(VLOOKUP($B189,[4]평가!$B:$Z,MATCH(LEFT(S$2,2),[4]평가!$7:$7,0)-1,FALSE),"")</f>
        <v/>
      </c>
      <c r="T189" s="33" t="str">
        <f>IFERROR(VLOOKUP($B189,[5]평가!$B:$Z,MATCH(LEFT(T$2,2),[5]평가!$7:$7,0)-1,FALSE),"")</f>
        <v/>
      </c>
      <c r="U189" s="36" t="str">
        <f>IFERROR(VLOOKUP($B189,[5]평가!$B:$Z,MATCH(LEFT(U$2,2),[5]평가!$7:$7,0)-1,FALSE),"")</f>
        <v/>
      </c>
      <c r="V189" s="39" t="str">
        <f>IFERROR(VLOOKUP($B189,[5]평가!$B:$Z,MATCH(LEFT(V$2,2),[5]평가!$7:$7,0)-1,FALSE),"")</f>
        <v/>
      </c>
      <c r="W189" s="33" t="str">
        <f>IFERROR(VLOOKUP($B189,대상!$B:$AD,MATCH(W$2,대상!$1:$1,0)-1,FALSE),"")</f>
        <v/>
      </c>
      <c r="X189" s="20" t="str">
        <f t="shared" si="5"/>
        <v/>
      </c>
      <c r="Y189" s="21" t="e">
        <f t="shared" si="6"/>
        <v>#VALUE!</v>
      </c>
      <c r="Z189" s="40">
        <f>IFERROR(VLOOKUP($B189,대상!$B:$AD,MATCH(Z$2,대상!$1:$1,0)-1,FALSE),0)</f>
        <v>0</v>
      </c>
      <c r="AA189" s="41" t="str">
        <f t="shared" si="7"/>
        <v/>
      </c>
      <c r="AB189" s="35" t="e">
        <f t="shared" si="8"/>
        <v>#VALUE!</v>
      </c>
      <c r="AC189" s="54" t="str">
        <f t="shared" si="9"/>
        <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
      </c>
    </row>
    <row r="190" spans="1:32" ht="30" hidden="1" customHeight="1" x14ac:dyDescent="0.35">
      <c r="A190" s="4">
        <v>188</v>
      </c>
      <c r="B190" s="2"/>
      <c r="C190" s="38" t="str">
        <f>IFERROR(VLOOKUP($B190,대상!$B:$AC,MATCH(C$2,대상!$1:$1,0)-1,FALSE),"")</f>
        <v/>
      </c>
      <c r="D190" s="38" t="str">
        <f>IFERROR(VLOOKUP($B190,대상!$B:$AC,MATCH(D$2,대상!$1:$1,0)-1,FALSE),"")</f>
        <v/>
      </c>
      <c r="E190" s="36" t="str">
        <f>IFERROR(VLOOKUP($B190,대상!$B:$AC,MATCH(E$2,대상!$1:$1,0)-1,FALSE),"")</f>
        <v/>
      </c>
      <c r="F190" s="38" t="str">
        <f>IFERROR(VLOOKUP($B190,대상!$B:$AC,MATCH(F$2,대상!$1:$1,0)-1,FALSE),"")</f>
        <v/>
      </c>
      <c r="G190" s="38" t="str">
        <f>IFERROR(VLOOKUP($B190,대상!$B:$AC,MATCH(G$2,대상!$1:$1,0)-1,FALSE),"")</f>
        <v/>
      </c>
      <c r="H190" s="33" t="str">
        <f>IFERROR(VLOOKUP($B190,[1]평가!$B:$Z,MATCH(LEFT(H$2,2),[1]평가!$7:$7,0)-1,FALSE),"")</f>
        <v/>
      </c>
      <c r="I190" s="36" t="str">
        <f>IFERROR(VLOOKUP($B190,[1]평가!$B:$Z,MATCH(LEFT(I$2,2),[1]평가!$7:$7,0)-1,FALSE),"")</f>
        <v/>
      </c>
      <c r="J190" s="36" t="str">
        <f>IFERROR(VLOOKUP($B190,[1]평가!$B:$Z,MATCH(LEFT(J$2,2),[1]평가!$7:$7,0)-1,FALSE),"")</f>
        <v/>
      </c>
      <c r="K190" s="33" t="str">
        <f>IFERROR(VLOOKUP($B190,[2]평가!$B:$Z,MATCH(LEFT(K$2,2),[2]평가!$7:$7,0)-1,FALSE),"")</f>
        <v/>
      </c>
      <c r="L190" s="36" t="str">
        <f>IFERROR(VLOOKUP($B190,[2]평가!$B:$Z,MATCH(LEFT(L$2,2),[2]평가!$7:$7,0)-1,FALSE),"")</f>
        <v/>
      </c>
      <c r="M190" s="39" t="str">
        <f>IFERROR(VLOOKUP($B190,[2]평가!$B:$Z,MATCH(LEFT(M$2,2),[2]평가!$7:$7,0)-1,FALSE),"")</f>
        <v/>
      </c>
      <c r="N190" s="33" t="str">
        <f>IFERROR(VLOOKUP($B190,[3]평가!$B:$Z,MATCH(LEFT(N$2,2),[3]평가!$7:$7,0)-1,FALSE),"")</f>
        <v/>
      </c>
      <c r="O190" s="36" t="str">
        <f>IFERROR(VLOOKUP($B190,[3]평가!$B:$Z,MATCH(LEFT(O$2,2),[3]평가!$7:$7,0)-1,FALSE),"")</f>
        <v/>
      </c>
      <c r="P190" s="39" t="str">
        <f>IFERROR(VLOOKUP($B190,[3]평가!$B:$Z,MATCH(LEFT(P$2,2),[3]평가!$7:$7,0)-1,FALSE),"")</f>
        <v/>
      </c>
      <c r="Q190" s="33" t="str">
        <f>IFERROR(VLOOKUP($B190,[4]평가!$B:$Z,MATCH(LEFT(Q$2,2),[4]평가!$7:$7,0)-1,FALSE),"")</f>
        <v/>
      </c>
      <c r="R190" s="36" t="str">
        <f>IFERROR(VLOOKUP($B190,[4]평가!$B:$Z,MATCH(LEFT(R$2,2),[4]평가!$7:$7,0)-1,FALSE),"")</f>
        <v/>
      </c>
      <c r="S190" s="39" t="str">
        <f>IFERROR(VLOOKUP($B190,[4]평가!$B:$Z,MATCH(LEFT(S$2,2),[4]평가!$7:$7,0)-1,FALSE),"")</f>
        <v/>
      </c>
      <c r="T190" s="33" t="str">
        <f>IFERROR(VLOOKUP($B190,[5]평가!$B:$Z,MATCH(LEFT(T$2,2),[5]평가!$7:$7,0)-1,FALSE),"")</f>
        <v/>
      </c>
      <c r="U190" s="36" t="str">
        <f>IFERROR(VLOOKUP($B190,[5]평가!$B:$Z,MATCH(LEFT(U$2,2),[5]평가!$7:$7,0)-1,FALSE),"")</f>
        <v/>
      </c>
      <c r="V190" s="39" t="str">
        <f>IFERROR(VLOOKUP($B190,[5]평가!$B:$Z,MATCH(LEFT(V$2,2),[5]평가!$7:$7,0)-1,FALSE),"")</f>
        <v/>
      </c>
      <c r="W190" s="33" t="str">
        <f>IFERROR(VLOOKUP($B190,대상!$B:$AD,MATCH(W$2,대상!$1:$1,0)-1,FALSE),"")</f>
        <v/>
      </c>
      <c r="X190" s="20" t="str">
        <f t="shared" si="5"/>
        <v/>
      </c>
      <c r="Y190" s="21" t="e">
        <f t="shared" si="6"/>
        <v>#VALUE!</v>
      </c>
      <c r="Z190" s="40">
        <f>IFERROR(VLOOKUP($B190,대상!$B:$AD,MATCH(Z$2,대상!$1:$1,0)-1,FALSE),0)</f>
        <v>0</v>
      </c>
      <c r="AA190" s="41" t="str">
        <f t="shared" si="7"/>
        <v/>
      </c>
      <c r="AB190" s="35" t="e">
        <f t="shared" si="8"/>
        <v>#VALUE!</v>
      </c>
      <c r="AC190" s="54" t="str">
        <f t="shared" si="9"/>
        <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
      </c>
    </row>
    <row r="191" spans="1:32" ht="30" hidden="1" customHeight="1" x14ac:dyDescent="0.35">
      <c r="A191" s="4">
        <v>189</v>
      </c>
      <c r="B191" s="2"/>
      <c r="C191" s="38" t="str">
        <f>IFERROR(VLOOKUP($B191,대상!$B:$AC,MATCH(C$2,대상!$1:$1,0)-1,FALSE),"")</f>
        <v/>
      </c>
      <c r="D191" s="38" t="str">
        <f>IFERROR(VLOOKUP($B191,대상!$B:$AC,MATCH(D$2,대상!$1:$1,0)-1,FALSE),"")</f>
        <v/>
      </c>
      <c r="E191" s="36" t="str">
        <f>IFERROR(VLOOKUP($B191,대상!$B:$AC,MATCH(E$2,대상!$1:$1,0)-1,FALSE),"")</f>
        <v/>
      </c>
      <c r="F191" s="38" t="str">
        <f>IFERROR(VLOOKUP($B191,대상!$B:$AC,MATCH(F$2,대상!$1:$1,0)-1,FALSE),"")</f>
        <v/>
      </c>
      <c r="G191" s="38" t="str">
        <f>IFERROR(VLOOKUP($B191,대상!$B:$AC,MATCH(G$2,대상!$1:$1,0)-1,FALSE),"")</f>
        <v/>
      </c>
      <c r="H191" s="33" t="str">
        <f>IFERROR(VLOOKUP($B191,[1]평가!$B:$Z,MATCH(LEFT(H$2,2),[1]평가!$7:$7,0)-1,FALSE),"")</f>
        <v/>
      </c>
      <c r="I191" s="36" t="str">
        <f>IFERROR(VLOOKUP($B191,[1]평가!$B:$Z,MATCH(LEFT(I$2,2),[1]평가!$7:$7,0)-1,FALSE),"")</f>
        <v/>
      </c>
      <c r="J191" s="36" t="str">
        <f>IFERROR(VLOOKUP($B191,[1]평가!$B:$Z,MATCH(LEFT(J$2,2),[1]평가!$7:$7,0)-1,FALSE),"")</f>
        <v/>
      </c>
      <c r="K191" s="33" t="str">
        <f>IFERROR(VLOOKUP($B191,[2]평가!$B:$Z,MATCH(LEFT(K$2,2),[2]평가!$7:$7,0)-1,FALSE),"")</f>
        <v/>
      </c>
      <c r="L191" s="36" t="str">
        <f>IFERROR(VLOOKUP($B191,[2]평가!$B:$Z,MATCH(LEFT(L$2,2),[2]평가!$7:$7,0)-1,FALSE),"")</f>
        <v/>
      </c>
      <c r="M191" s="39" t="str">
        <f>IFERROR(VLOOKUP($B191,[2]평가!$B:$Z,MATCH(LEFT(M$2,2),[2]평가!$7:$7,0)-1,FALSE),"")</f>
        <v/>
      </c>
      <c r="N191" s="33" t="str">
        <f>IFERROR(VLOOKUP($B191,[3]평가!$B:$Z,MATCH(LEFT(N$2,2),[3]평가!$7:$7,0)-1,FALSE),"")</f>
        <v/>
      </c>
      <c r="O191" s="36" t="str">
        <f>IFERROR(VLOOKUP($B191,[3]평가!$B:$Z,MATCH(LEFT(O$2,2),[3]평가!$7:$7,0)-1,FALSE),"")</f>
        <v/>
      </c>
      <c r="P191" s="39" t="str">
        <f>IFERROR(VLOOKUP($B191,[3]평가!$B:$Z,MATCH(LEFT(P$2,2),[3]평가!$7:$7,0)-1,FALSE),"")</f>
        <v/>
      </c>
      <c r="Q191" s="33" t="str">
        <f>IFERROR(VLOOKUP($B191,[4]평가!$B:$Z,MATCH(LEFT(Q$2,2),[4]평가!$7:$7,0)-1,FALSE),"")</f>
        <v/>
      </c>
      <c r="R191" s="36" t="str">
        <f>IFERROR(VLOOKUP($B191,[4]평가!$B:$Z,MATCH(LEFT(R$2,2),[4]평가!$7:$7,0)-1,FALSE),"")</f>
        <v/>
      </c>
      <c r="S191" s="39" t="str">
        <f>IFERROR(VLOOKUP($B191,[4]평가!$B:$Z,MATCH(LEFT(S$2,2),[4]평가!$7:$7,0)-1,FALSE),"")</f>
        <v/>
      </c>
      <c r="T191" s="33" t="str">
        <f>IFERROR(VLOOKUP($B191,[5]평가!$B:$Z,MATCH(LEFT(T$2,2),[5]평가!$7:$7,0)-1,FALSE),"")</f>
        <v/>
      </c>
      <c r="U191" s="36" t="str">
        <f>IFERROR(VLOOKUP($B191,[5]평가!$B:$Z,MATCH(LEFT(U$2,2),[5]평가!$7:$7,0)-1,FALSE),"")</f>
        <v/>
      </c>
      <c r="V191" s="39" t="str">
        <f>IFERROR(VLOOKUP($B191,[5]평가!$B:$Z,MATCH(LEFT(V$2,2),[5]평가!$7:$7,0)-1,FALSE),"")</f>
        <v/>
      </c>
      <c r="W191" s="33" t="str">
        <f>IFERROR(VLOOKUP($B191,대상!$B:$AD,MATCH(W$2,대상!$1:$1,0)-1,FALSE),"")</f>
        <v/>
      </c>
      <c r="X191" s="20" t="str">
        <f t="shared" si="5"/>
        <v/>
      </c>
      <c r="Y191" s="21" t="e">
        <f t="shared" si="6"/>
        <v>#VALUE!</v>
      </c>
      <c r="Z191" s="40">
        <f>IFERROR(VLOOKUP($B191,대상!$B:$AD,MATCH(Z$2,대상!$1:$1,0)-1,FALSE),0)</f>
        <v>0</v>
      </c>
      <c r="AA191" s="41" t="str">
        <f t="shared" si="7"/>
        <v/>
      </c>
      <c r="AB191" s="35" t="e">
        <f t="shared" si="8"/>
        <v>#VALUE!</v>
      </c>
      <c r="AC191" s="54" t="str">
        <f t="shared" si="9"/>
        <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
      </c>
    </row>
    <row r="192" spans="1:32" ht="30" hidden="1" customHeight="1" x14ac:dyDescent="0.35">
      <c r="A192" s="4">
        <v>190</v>
      </c>
      <c r="B192" s="2"/>
      <c r="C192" s="38" t="str">
        <f>IFERROR(VLOOKUP($B192,대상!$B:$AC,MATCH(C$2,대상!$1:$1,0)-1,FALSE),"")</f>
        <v/>
      </c>
      <c r="D192" s="38" t="str">
        <f>IFERROR(VLOOKUP($B192,대상!$B:$AC,MATCH(D$2,대상!$1:$1,0)-1,FALSE),"")</f>
        <v/>
      </c>
      <c r="E192" s="36" t="str">
        <f>IFERROR(VLOOKUP($B192,대상!$B:$AC,MATCH(E$2,대상!$1:$1,0)-1,FALSE),"")</f>
        <v/>
      </c>
      <c r="F192" s="38" t="str">
        <f>IFERROR(VLOOKUP($B192,대상!$B:$AC,MATCH(F$2,대상!$1:$1,0)-1,FALSE),"")</f>
        <v/>
      </c>
      <c r="G192" s="38" t="str">
        <f>IFERROR(VLOOKUP($B192,대상!$B:$AC,MATCH(G$2,대상!$1:$1,0)-1,FALSE),"")</f>
        <v/>
      </c>
      <c r="H192" s="33" t="str">
        <f>IFERROR(VLOOKUP($B192,[1]평가!$B:$Z,MATCH(LEFT(H$2,2),[1]평가!$7:$7,0)-1,FALSE),"")</f>
        <v/>
      </c>
      <c r="I192" s="36" t="str">
        <f>IFERROR(VLOOKUP($B192,[1]평가!$B:$Z,MATCH(LEFT(I$2,2),[1]평가!$7:$7,0)-1,FALSE),"")</f>
        <v/>
      </c>
      <c r="J192" s="36" t="str">
        <f>IFERROR(VLOOKUP($B192,[1]평가!$B:$Z,MATCH(LEFT(J$2,2),[1]평가!$7:$7,0)-1,FALSE),"")</f>
        <v/>
      </c>
      <c r="K192" s="33" t="str">
        <f>IFERROR(VLOOKUP($B192,[2]평가!$B:$Z,MATCH(LEFT(K$2,2),[2]평가!$7:$7,0)-1,FALSE),"")</f>
        <v/>
      </c>
      <c r="L192" s="36" t="str">
        <f>IFERROR(VLOOKUP($B192,[2]평가!$B:$Z,MATCH(LEFT(L$2,2),[2]평가!$7:$7,0)-1,FALSE),"")</f>
        <v/>
      </c>
      <c r="M192" s="39" t="str">
        <f>IFERROR(VLOOKUP($B192,[2]평가!$B:$Z,MATCH(LEFT(M$2,2),[2]평가!$7:$7,0)-1,FALSE),"")</f>
        <v/>
      </c>
      <c r="N192" s="33" t="str">
        <f>IFERROR(VLOOKUP($B192,[3]평가!$B:$Z,MATCH(LEFT(N$2,2),[3]평가!$7:$7,0)-1,FALSE),"")</f>
        <v/>
      </c>
      <c r="O192" s="36" t="str">
        <f>IFERROR(VLOOKUP($B192,[3]평가!$B:$Z,MATCH(LEFT(O$2,2),[3]평가!$7:$7,0)-1,FALSE),"")</f>
        <v/>
      </c>
      <c r="P192" s="39" t="str">
        <f>IFERROR(VLOOKUP($B192,[3]평가!$B:$Z,MATCH(LEFT(P$2,2),[3]평가!$7:$7,0)-1,FALSE),"")</f>
        <v/>
      </c>
      <c r="Q192" s="33" t="str">
        <f>IFERROR(VLOOKUP($B192,[4]평가!$B:$Z,MATCH(LEFT(Q$2,2),[4]평가!$7:$7,0)-1,FALSE),"")</f>
        <v/>
      </c>
      <c r="R192" s="36" t="str">
        <f>IFERROR(VLOOKUP($B192,[4]평가!$B:$Z,MATCH(LEFT(R$2,2),[4]평가!$7:$7,0)-1,FALSE),"")</f>
        <v/>
      </c>
      <c r="S192" s="39" t="str">
        <f>IFERROR(VLOOKUP($B192,[4]평가!$B:$Z,MATCH(LEFT(S$2,2),[4]평가!$7:$7,0)-1,FALSE),"")</f>
        <v/>
      </c>
      <c r="T192" s="33" t="str">
        <f>IFERROR(VLOOKUP($B192,[5]평가!$B:$Z,MATCH(LEFT(T$2,2),[5]평가!$7:$7,0)-1,FALSE),"")</f>
        <v/>
      </c>
      <c r="U192" s="36" t="str">
        <f>IFERROR(VLOOKUP($B192,[5]평가!$B:$Z,MATCH(LEFT(U$2,2),[5]평가!$7:$7,0)-1,FALSE),"")</f>
        <v/>
      </c>
      <c r="V192" s="39" t="str">
        <f>IFERROR(VLOOKUP($B192,[5]평가!$B:$Z,MATCH(LEFT(V$2,2),[5]평가!$7:$7,0)-1,FALSE),"")</f>
        <v/>
      </c>
      <c r="W192" s="33" t="str">
        <f>IFERROR(VLOOKUP($B192,대상!$B:$AD,MATCH(W$2,대상!$1:$1,0)-1,FALSE),"")</f>
        <v/>
      </c>
      <c r="X192" s="20" t="str">
        <f t="shared" si="5"/>
        <v/>
      </c>
      <c r="Y192" s="21" t="e">
        <f t="shared" si="6"/>
        <v>#VALUE!</v>
      </c>
      <c r="Z192" s="40">
        <f>IFERROR(VLOOKUP($B192,대상!$B:$AD,MATCH(Z$2,대상!$1:$1,0)-1,FALSE),0)</f>
        <v>0</v>
      </c>
      <c r="AA192" s="41" t="str">
        <f t="shared" si="7"/>
        <v/>
      </c>
      <c r="AB192" s="35" t="e">
        <f t="shared" si="8"/>
        <v>#VALUE!</v>
      </c>
      <c r="AC192" s="54" t="str">
        <f t="shared" si="9"/>
        <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
      </c>
    </row>
    <row r="193" spans="1:32" ht="30" hidden="1" customHeight="1" x14ac:dyDescent="0.35">
      <c r="A193" s="4">
        <v>191</v>
      </c>
      <c r="B193" s="2"/>
      <c r="C193" s="38" t="str">
        <f>IFERROR(VLOOKUP($B193,대상!$B:$AC,MATCH(C$2,대상!$1:$1,0)-1,FALSE),"")</f>
        <v/>
      </c>
      <c r="D193" s="38" t="str">
        <f>IFERROR(VLOOKUP($B193,대상!$B:$AC,MATCH(D$2,대상!$1:$1,0)-1,FALSE),"")</f>
        <v/>
      </c>
      <c r="E193" s="36" t="str">
        <f>IFERROR(VLOOKUP($B193,대상!$B:$AC,MATCH(E$2,대상!$1:$1,0)-1,FALSE),"")</f>
        <v/>
      </c>
      <c r="F193" s="38" t="str">
        <f>IFERROR(VLOOKUP($B193,대상!$B:$AC,MATCH(F$2,대상!$1:$1,0)-1,FALSE),"")</f>
        <v/>
      </c>
      <c r="G193" s="38" t="str">
        <f>IFERROR(VLOOKUP($B193,대상!$B:$AC,MATCH(G$2,대상!$1:$1,0)-1,FALSE),"")</f>
        <v/>
      </c>
      <c r="H193" s="33" t="str">
        <f>IFERROR(VLOOKUP($B193,[1]평가!$B:$Z,MATCH(LEFT(H$2,2),[1]평가!$7:$7,0)-1,FALSE),"")</f>
        <v/>
      </c>
      <c r="I193" s="36" t="str">
        <f>IFERROR(VLOOKUP($B193,[1]평가!$B:$Z,MATCH(LEFT(I$2,2),[1]평가!$7:$7,0)-1,FALSE),"")</f>
        <v/>
      </c>
      <c r="J193" s="36" t="str">
        <f>IFERROR(VLOOKUP($B193,[1]평가!$B:$Z,MATCH(LEFT(J$2,2),[1]평가!$7:$7,0)-1,FALSE),"")</f>
        <v/>
      </c>
      <c r="K193" s="33" t="str">
        <f>IFERROR(VLOOKUP($B193,[2]평가!$B:$Z,MATCH(LEFT(K$2,2),[2]평가!$7:$7,0)-1,FALSE),"")</f>
        <v/>
      </c>
      <c r="L193" s="36" t="str">
        <f>IFERROR(VLOOKUP($B193,[2]평가!$B:$Z,MATCH(LEFT(L$2,2),[2]평가!$7:$7,0)-1,FALSE),"")</f>
        <v/>
      </c>
      <c r="M193" s="39" t="str">
        <f>IFERROR(VLOOKUP($B193,[2]평가!$B:$Z,MATCH(LEFT(M$2,2),[2]평가!$7:$7,0)-1,FALSE),"")</f>
        <v/>
      </c>
      <c r="N193" s="33" t="str">
        <f>IFERROR(VLOOKUP($B193,[3]평가!$B:$Z,MATCH(LEFT(N$2,2),[3]평가!$7:$7,0)-1,FALSE),"")</f>
        <v/>
      </c>
      <c r="O193" s="36" t="str">
        <f>IFERROR(VLOOKUP($B193,[3]평가!$B:$Z,MATCH(LEFT(O$2,2),[3]평가!$7:$7,0)-1,FALSE),"")</f>
        <v/>
      </c>
      <c r="P193" s="39" t="str">
        <f>IFERROR(VLOOKUP($B193,[3]평가!$B:$Z,MATCH(LEFT(P$2,2),[3]평가!$7:$7,0)-1,FALSE),"")</f>
        <v/>
      </c>
      <c r="Q193" s="33" t="str">
        <f>IFERROR(VLOOKUP($B193,[4]평가!$B:$Z,MATCH(LEFT(Q$2,2),[4]평가!$7:$7,0)-1,FALSE),"")</f>
        <v/>
      </c>
      <c r="R193" s="36" t="str">
        <f>IFERROR(VLOOKUP($B193,[4]평가!$B:$Z,MATCH(LEFT(R$2,2),[4]평가!$7:$7,0)-1,FALSE),"")</f>
        <v/>
      </c>
      <c r="S193" s="39" t="str">
        <f>IFERROR(VLOOKUP($B193,[4]평가!$B:$Z,MATCH(LEFT(S$2,2),[4]평가!$7:$7,0)-1,FALSE),"")</f>
        <v/>
      </c>
      <c r="T193" s="33" t="str">
        <f>IFERROR(VLOOKUP($B193,[5]평가!$B:$Z,MATCH(LEFT(T$2,2),[5]평가!$7:$7,0)-1,FALSE),"")</f>
        <v/>
      </c>
      <c r="U193" s="36" t="str">
        <f>IFERROR(VLOOKUP($B193,[5]평가!$B:$Z,MATCH(LEFT(U$2,2),[5]평가!$7:$7,0)-1,FALSE),"")</f>
        <v/>
      </c>
      <c r="V193" s="39" t="str">
        <f>IFERROR(VLOOKUP($B193,[5]평가!$B:$Z,MATCH(LEFT(V$2,2),[5]평가!$7:$7,0)-1,FALSE),"")</f>
        <v/>
      </c>
      <c r="W193" s="33" t="str">
        <f>IFERROR(VLOOKUP($B193,대상!$B:$AD,MATCH(W$2,대상!$1:$1,0)-1,FALSE),"")</f>
        <v/>
      </c>
      <c r="X193" s="20" t="str">
        <f t="shared" si="5"/>
        <v/>
      </c>
      <c r="Y193" s="21" t="e">
        <f t="shared" si="6"/>
        <v>#VALUE!</v>
      </c>
      <c r="Z193" s="40">
        <f>IFERROR(VLOOKUP($B193,대상!$B:$AD,MATCH(Z$2,대상!$1:$1,0)-1,FALSE),0)</f>
        <v>0</v>
      </c>
      <c r="AA193" s="41" t="str">
        <f t="shared" si="7"/>
        <v/>
      </c>
      <c r="AB193" s="35" t="e">
        <f t="shared" si="8"/>
        <v>#VALUE!</v>
      </c>
      <c r="AC193" s="54" t="str">
        <f t="shared" si="9"/>
        <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
      </c>
    </row>
    <row r="194" spans="1:32" ht="30" hidden="1" customHeight="1" x14ac:dyDescent="0.35">
      <c r="A194" s="4">
        <v>192</v>
      </c>
      <c r="B194" s="2"/>
      <c r="C194" s="38" t="str">
        <f>IFERROR(VLOOKUP($B194,대상!$B:$AC,MATCH(C$2,대상!$1:$1,0)-1,FALSE),"")</f>
        <v/>
      </c>
      <c r="D194" s="38" t="str">
        <f>IFERROR(VLOOKUP($B194,대상!$B:$AC,MATCH(D$2,대상!$1:$1,0)-1,FALSE),"")</f>
        <v/>
      </c>
      <c r="E194" s="36" t="str">
        <f>IFERROR(VLOOKUP($B194,대상!$B:$AC,MATCH(E$2,대상!$1:$1,0)-1,FALSE),"")</f>
        <v/>
      </c>
      <c r="F194" s="38" t="str">
        <f>IFERROR(VLOOKUP($B194,대상!$B:$AC,MATCH(F$2,대상!$1:$1,0)-1,FALSE),"")</f>
        <v/>
      </c>
      <c r="G194" s="38" t="str">
        <f>IFERROR(VLOOKUP($B194,대상!$B:$AC,MATCH(G$2,대상!$1:$1,0)-1,FALSE),"")</f>
        <v/>
      </c>
      <c r="H194" s="33" t="str">
        <f>IFERROR(VLOOKUP($B194,[1]평가!$B:$Z,MATCH(LEFT(H$2,2),[1]평가!$7:$7,0)-1,FALSE),"")</f>
        <v/>
      </c>
      <c r="I194" s="36" t="str">
        <f>IFERROR(VLOOKUP($B194,[1]평가!$B:$Z,MATCH(LEFT(I$2,2),[1]평가!$7:$7,0)-1,FALSE),"")</f>
        <v/>
      </c>
      <c r="J194" s="36" t="str">
        <f>IFERROR(VLOOKUP($B194,[1]평가!$B:$Z,MATCH(LEFT(J$2,2),[1]평가!$7:$7,0)-1,FALSE),"")</f>
        <v/>
      </c>
      <c r="K194" s="33" t="str">
        <f>IFERROR(VLOOKUP($B194,[2]평가!$B:$Z,MATCH(LEFT(K$2,2),[2]평가!$7:$7,0)-1,FALSE),"")</f>
        <v/>
      </c>
      <c r="L194" s="36" t="str">
        <f>IFERROR(VLOOKUP($B194,[2]평가!$B:$Z,MATCH(LEFT(L$2,2),[2]평가!$7:$7,0)-1,FALSE),"")</f>
        <v/>
      </c>
      <c r="M194" s="39" t="str">
        <f>IFERROR(VLOOKUP($B194,[2]평가!$B:$Z,MATCH(LEFT(M$2,2),[2]평가!$7:$7,0)-1,FALSE),"")</f>
        <v/>
      </c>
      <c r="N194" s="33" t="str">
        <f>IFERROR(VLOOKUP($B194,[3]평가!$B:$Z,MATCH(LEFT(N$2,2),[3]평가!$7:$7,0)-1,FALSE),"")</f>
        <v/>
      </c>
      <c r="O194" s="36" t="str">
        <f>IFERROR(VLOOKUP($B194,[3]평가!$B:$Z,MATCH(LEFT(O$2,2),[3]평가!$7:$7,0)-1,FALSE),"")</f>
        <v/>
      </c>
      <c r="P194" s="39" t="str">
        <f>IFERROR(VLOOKUP($B194,[3]평가!$B:$Z,MATCH(LEFT(P$2,2),[3]평가!$7:$7,0)-1,FALSE),"")</f>
        <v/>
      </c>
      <c r="Q194" s="33" t="str">
        <f>IFERROR(VLOOKUP($B194,[4]평가!$B:$Z,MATCH(LEFT(Q$2,2),[4]평가!$7:$7,0)-1,FALSE),"")</f>
        <v/>
      </c>
      <c r="R194" s="36" t="str">
        <f>IFERROR(VLOOKUP($B194,[4]평가!$B:$Z,MATCH(LEFT(R$2,2),[4]평가!$7:$7,0)-1,FALSE),"")</f>
        <v/>
      </c>
      <c r="S194" s="39" t="str">
        <f>IFERROR(VLOOKUP($B194,[4]평가!$B:$Z,MATCH(LEFT(S$2,2),[4]평가!$7:$7,0)-1,FALSE),"")</f>
        <v/>
      </c>
      <c r="T194" s="33" t="str">
        <f>IFERROR(VLOOKUP($B194,[5]평가!$B:$Z,MATCH(LEFT(T$2,2),[5]평가!$7:$7,0)-1,FALSE),"")</f>
        <v/>
      </c>
      <c r="U194" s="36" t="str">
        <f>IFERROR(VLOOKUP($B194,[5]평가!$B:$Z,MATCH(LEFT(U$2,2),[5]평가!$7:$7,0)-1,FALSE),"")</f>
        <v/>
      </c>
      <c r="V194" s="39" t="str">
        <f>IFERROR(VLOOKUP($B194,[5]평가!$B:$Z,MATCH(LEFT(V$2,2),[5]평가!$7:$7,0)-1,FALSE),"")</f>
        <v/>
      </c>
      <c r="W194" s="33" t="str">
        <f>IFERROR(VLOOKUP($B194,대상!$B:$AD,MATCH(W$2,대상!$1:$1,0)-1,FALSE),"")</f>
        <v/>
      </c>
      <c r="X194" s="20" t="str">
        <f t="shared" si="5"/>
        <v/>
      </c>
      <c r="Y194" s="21" t="e">
        <f t="shared" si="6"/>
        <v>#VALUE!</v>
      </c>
      <c r="Z194" s="40">
        <f>IFERROR(VLOOKUP($B194,대상!$B:$AD,MATCH(Z$2,대상!$1:$1,0)-1,FALSE),0)</f>
        <v>0</v>
      </c>
      <c r="AA194" s="41" t="str">
        <f t="shared" si="7"/>
        <v/>
      </c>
      <c r="AB194" s="35" t="e">
        <f t="shared" si="8"/>
        <v>#VALUE!</v>
      </c>
      <c r="AC194" s="54" t="str">
        <f t="shared" si="9"/>
        <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
      </c>
    </row>
    <row r="195" spans="1:32" ht="30" hidden="1" customHeight="1" x14ac:dyDescent="0.35">
      <c r="A195" s="4">
        <v>193</v>
      </c>
      <c r="B195" s="2"/>
      <c r="C195" s="38" t="str">
        <f>IFERROR(VLOOKUP($B195,대상!$B:$AC,MATCH(C$2,대상!$1:$1,0)-1,FALSE),"")</f>
        <v/>
      </c>
      <c r="D195" s="38" t="str">
        <f>IFERROR(VLOOKUP($B195,대상!$B:$AC,MATCH(D$2,대상!$1:$1,0)-1,FALSE),"")</f>
        <v/>
      </c>
      <c r="E195" s="36" t="str">
        <f>IFERROR(VLOOKUP($B195,대상!$B:$AC,MATCH(E$2,대상!$1:$1,0)-1,FALSE),"")</f>
        <v/>
      </c>
      <c r="F195" s="38" t="str">
        <f>IFERROR(VLOOKUP($B195,대상!$B:$AC,MATCH(F$2,대상!$1:$1,0)-1,FALSE),"")</f>
        <v/>
      </c>
      <c r="G195" s="38" t="str">
        <f>IFERROR(VLOOKUP($B195,대상!$B:$AC,MATCH(G$2,대상!$1:$1,0)-1,FALSE),"")</f>
        <v/>
      </c>
      <c r="H195" s="33" t="str">
        <f>IFERROR(VLOOKUP($B195,[1]평가!$B:$Z,MATCH(LEFT(H$2,2),[1]평가!$7:$7,0)-1,FALSE),"")</f>
        <v/>
      </c>
      <c r="I195" s="36" t="str">
        <f>IFERROR(VLOOKUP($B195,[1]평가!$B:$Z,MATCH(LEFT(I$2,2),[1]평가!$7:$7,0)-1,FALSE),"")</f>
        <v/>
      </c>
      <c r="J195" s="36" t="str">
        <f>IFERROR(VLOOKUP($B195,[1]평가!$B:$Z,MATCH(LEFT(J$2,2),[1]평가!$7:$7,0)-1,FALSE),"")</f>
        <v/>
      </c>
      <c r="K195" s="33" t="str">
        <f>IFERROR(VLOOKUP($B195,[2]평가!$B:$Z,MATCH(LEFT(K$2,2),[2]평가!$7:$7,0)-1,FALSE),"")</f>
        <v/>
      </c>
      <c r="L195" s="36" t="str">
        <f>IFERROR(VLOOKUP($B195,[2]평가!$B:$Z,MATCH(LEFT(L$2,2),[2]평가!$7:$7,0)-1,FALSE),"")</f>
        <v/>
      </c>
      <c r="M195" s="39" t="str">
        <f>IFERROR(VLOOKUP($B195,[2]평가!$B:$Z,MATCH(LEFT(M$2,2),[2]평가!$7:$7,0)-1,FALSE),"")</f>
        <v/>
      </c>
      <c r="N195" s="33" t="str">
        <f>IFERROR(VLOOKUP($B195,[3]평가!$B:$Z,MATCH(LEFT(N$2,2),[3]평가!$7:$7,0)-1,FALSE),"")</f>
        <v/>
      </c>
      <c r="O195" s="36" t="str">
        <f>IFERROR(VLOOKUP($B195,[3]평가!$B:$Z,MATCH(LEFT(O$2,2),[3]평가!$7:$7,0)-1,FALSE),"")</f>
        <v/>
      </c>
      <c r="P195" s="39" t="str">
        <f>IFERROR(VLOOKUP($B195,[3]평가!$B:$Z,MATCH(LEFT(P$2,2),[3]평가!$7:$7,0)-1,FALSE),"")</f>
        <v/>
      </c>
      <c r="Q195" s="33" t="str">
        <f>IFERROR(VLOOKUP($B195,[4]평가!$B:$Z,MATCH(LEFT(Q$2,2),[4]평가!$7:$7,0)-1,FALSE),"")</f>
        <v/>
      </c>
      <c r="R195" s="36" t="str">
        <f>IFERROR(VLOOKUP($B195,[4]평가!$B:$Z,MATCH(LEFT(R$2,2),[4]평가!$7:$7,0)-1,FALSE),"")</f>
        <v/>
      </c>
      <c r="S195" s="39" t="str">
        <f>IFERROR(VLOOKUP($B195,[4]평가!$B:$Z,MATCH(LEFT(S$2,2),[4]평가!$7:$7,0)-1,FALSE),"")</f>
        <v/>
      </c>
      <c r="T195" s="33" t="str">
        <f>IFERROR(VLOOKUP($B195,[5]평가!$B:$Z,MATCH(LEFT(T$2,2),[5]평가!$7:$7,0)-1,FALSE),"")</f>
        <v/>
      </c>
      <c r="U195" s="36" t="str">
        <f>IFERROR(VLOOKUP($B195,[5]평가!$B:$Z,MATCH(LEFT(U$2,2),[5]평가!$7:$7,0)-1,FALSE),"")</f>
        <v/>
      </c>
      <c r="V195" s="39" t="str">
        <f>IFERROR(VLOOKUP($B195,[5]평가!$B:$Z,MATCH(LEFT(V$2,2),[5]평가!$7:$7,0)-1,FALSE),"")</f>
        <v/>
      </c>
      <c r="W195" s="33" t="str">
        <f>IFERROR(VLOOKUP($B195,대상!$B:$AD,MATCH(W$2,대상!$1:$1,0)-1,FALSE),"")</f>
        <v/>
      </c>
      <c r="X195" s="20" t="str">
        <f t="shared" ref="X195:X219" si="10">IF(ISBLANK(B195),"",T$1-COUNTIF(H195:V195,"회피"))</f>
        <v/>
      </c>
      <c r="Y195" s="21" t="e">
        <f t="shared" ref="Y195:Y219" si="11">IF($T$1=X195,(SUM(I195,L195,O195,R195,U195)-MIN(I195,L195,O195,R195,U195)-MAX(I195,L195,O195,R195,U195))/($T$1-2),SUM(I195,L195,O195,R195,U195/X195))</f>
        <v>#VALUE!</v>
      </c>
      <c r="Z195" s="40">
        <f>IFERROR(VLOOKUP($B195,대상!$B:$AD,MATCH(Z$2,대상!$1:$1,0)-1,FALSE),0)</f>
        <v>0</v>
      </c>
      <c r="AA195" s="41" t="str">
        <f t="shared" ref="AA195:AA219" si="12">IFERROR(IF(W195="면제","100"+Z195,Y195+Z195),"")</f>
        <v/>
      </c>
      <c r="AB195" s="35" t="e">
        <f t="shared" ref="AB195:AB219" si="13">IF(OR(W195="면제",N(Y195)=0),"",IF(AA195&lt;60,"과락",""))</f>
        <v>#VALUE!</v>
      </c>
      <c r="AC195" s="54" t="str">
        <f t="shared" ref="AC195:AC219" si="14">IF(N(AA195)=0,"",RANK(AA195,AA$3:AA$202))</f>
        <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
      </c>
    </row>
    <row r="196" spans="1:32" ht="30" hidden="1" customHeight="1" x14ac:dyDescent="0.35">
      <c r="A196" s="4">
        <v>194</v>
      </c>
      <c r="B196" s="2"/>
      <c r="C196" s="38" t="str">
        <f>IFERROR(VLOOKUP($B196,대상!$B:$AC,MATCH(C$2,대상!$1:$1,0)-1,FALSE),"")</f>
        <v/>
      </c>
      <c r="D196" s="38" t="str">
        <f>IFERROR(VLOOKUP($B196,대상!$B:$AC,MATCH(D$2,대상!$1:$1,0)-1,FALSE),"")</f>
        <v/>
      </c>
      <c r="E196" s="36" t="str">
        <f>IFERROR(VLOOKUP($B196,대상!$B:$AC,MATCH(E$2,대상!$1:$1,0)-1,FALSE),"")</f>
        <v/>
      </c>
      <c r="F196" s="38" t="str">
        <f>IFERROR(VLOOKUP($B196,대상!$B:$AC,MATCH(F$2,대상!$1:$1,0)-1,FALSE),"")</f>
        <v/>
      </c>
      <c r="G196" s="38" t="str">
        <f>IFERROR(VLOOKUP($B196,대상!$B:$AC,MATCH(G$2,대상!$1:$1,0)-1,FALSE),"")</f>
        <v/>
      </c>
      <c r="H196" s="33" t="str">
        <f>IFERROR(VLOOKUP($B196,[1]평가!$B:$Z,MATCH(LEFT(H$2,2),[1]평가!$7:$7,0)-1,FALSE),"")</f>
        <v/>
      </c>
      <c r="I196" s="36" t="str">
        <f>IFERROR(VLOOKUP($B196,[1]평가!$B:$Z,MATCH(LEFT(I$2,2),[1]평가!$7:$7,0)-1,FALSE),"")</f>
        <v/>
      </c>
      <c r="J196" s="36" t="str">
        <f>IFERROR(VLOOKUP($B196,[1]평가!$B:$Z,MATCH(LEFT(J$2,2),[1]평가!$7:$7,0)-1,FALSE),"")</f>
        <v/>
      </c>
      <c r="K196" s="33" t="str">
        <f>IFERROR(VLOOKUP($B196,[2]평가!$B:$Z,MATCH(LEFT(K$2,2),[2]평가!$7:$7,0)-1,FALSE),"")</f>
        <v/>
      </c>
      <c r="L196" s="36" t="str">
        <f>IFERROR(VLOOKUP($B196,[2]평가!$B:$Z,MATCH(LEFT(L$2,2),[2]평가!$7:$7,0)-1,FALSE),"")</f>
        <v/>
      </c>
      <c r="M196" s="39" t="str">
        <f>IFERROR(VLOOKUP($B196,[2]평가!$B:$Z,MATCH(LEFT(M$2,2),[2]평가!$7:$7,0)-1,FALSE),"")</f>
        <v/>
      </c>
      <c r="N196" s="33" t="str">
        <f>IFERROR(VLOOKUP($B196,[3]평가!$B:$Z,MATCH(LEFT(N$2,2),[3]평가!$7:$7,0)-1,FALSE),"")</f>
        <v/>
      </c>
      <c r="O196" s="36" t="str">
        <f>IFERROR(VLOOKUP($B196,[3]평가!$B:$Z,MATCH(LEFT(O$2,2),[3]평가!$7:$7,0)-1,FALSE),"")</f>
        <v/>
      </c>
      <c r="P196" s="39" t="str">
        <f>IFERROR(VLOOKUP($B196,[3]평가!$B:$Z,MATCH(LEFT(P$2,2),[3]평가!$7:$7,0)-1,FALSE),"")</f>
        <v/>
      </c>
      <c r="Q196" s="33" t="str">
        <f>IFERROR(VLOOKUP($B196,[4]평가!$B:$Z,MATCH(LEFT(Q$2,2),[4]평가!$7:$7,0)-1,FALSE),"")</f>
        <v/>
      </c>
      <c r="R196" s="36" t="str">
        <f>IFERROR(VLOOKUP($B196,[4]평가!$B:$Z,MATCH(LEFT(R$2,2),[4]평가!$7:$7,0)-1,FALSE),"")</f>
        <v/>
      </c>
      <c r="S196" s="39" t="str">
        <f>IFERROR(VLOOKUP($B196,[4]평가!$B:$Z,MATCH(LEFT(S$2,2),[4]평가!$7:$7,0)-1,FALSE),"")</f>
        <v/>
      </c>
      <c r="T196" s="33" t="str">
        <f>IFERROR(VLOOKUP($B196,[5]평가!$B:$Z,MATCH(LEFT(T$2,2),[5]평가!$7:$7,0)-1,FALSE),"")</f>
        <v/>
      </c>
      <c r="U196" s="36" t="str">
        <f>IFERROR(VLOOKUP($B196,[5]평가!$B:$Z,MATCH(LEFT(U$2,2),[5]평가!$7:$7,0)-1,FALSE),"")</f>
        <v/>
      </c>
      <c r="V196" s="39" t="str">
        <f>IFERROR(VLOOKUP($B196,[5]평가!$B:$Z,MATCH(LEFT(V$2,2),[5]평가!$7:$7,0)-1,FALSE),"")</f>
        <v/>
      </c>
      <c r="W196" s="33" t="str">
        <f>IFERROR(VLOOKUP($B196,대상!$B:$AD,MATCH(W$2,대상!$1:$1,0)-1,FALSE),"")</f>
        <v/>
      </c>
      <c r="X196" s="20" t="str">
        <f t="shared" si="10"/>
        <v/>
      </c>
      <c r="Y196" s="21" t="e">
        <f t="shared" si="11"/>
        <v>#VALUE!</v>
      </c>
      <c r="Z196" s="40">
        <f>IFERROR(VLOOKUP($B196,대상!$B:$AD,MATCH(Z$2,대상!$1:$1,0)-1,FALSE),0)</f>
        <v>0</v>
      </c>
      <c r="AA196" s="41" t="str">
        <f t="shared" si="12"/>
        <v/>
      </c>
      <c r="AB196" s="35" t="e">
        <f t="shared" si="13"/>
        <v>#VALUE!</v>
      </c>
      <c r="AC196" s="54" t="str">
        <f t="shared" si="14"/>
        <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
      </c>
    </row>
    <row r="197" spans="1:32" ht="30" hidden="1" customHeight="1" x14ac:dyDescent="0.35">
      <c r="A197" s="4">
        <v>195</v>
      </c>
      <c r="B197" s="2"/>
      <c r="C197" s="38" t="str">
        <f>IFERROR(VLOOKUP($B197,대상!$B:$AC,MATCH(C$2,대상!$1:$1,0)-1,FALSE),"")</f>
        <v/>
      </c>
      <c r="D197" s="38" t="str">
        <f>IFERROR(VLOOKUP($B197,대상!$B:$AC,MATCH(D$2,대상!$1:$1,0)-1,FALSE),"")</f>
        <v/>
      </c>
      <c r="E197" s="36" t="str">
        <f>IFERROR(VLOOKUP($B197,대상!$B:$AC,MATCH(E$2,대상!$1:$1,0)-1,FALSE),"")</f>
        <v/>
      </c>
      <c r="F197" s="38" t="str">
        <f>IFERROR(VLOOKUP($B197,대상!$B:$AC,MATCH(F$2,대상!$1:$1,0)-1,FALSE),"")</f>
        <v/>
      </c>
      <c r="G197" s="38" t="str">
        <f>IFERROR(VLOOKUP($B197,대상!$B:$AC,MATCH(G$2,대상!$1:$1,0)-1,FALSE),"")</f>
        <v/>
      </c>
      <c r="H197" s="33" t="str">
        <f>IFERROR(VLOOKUP($B197,[1]평가!$B:$Z,MATCH(LEFT(H$2,2),[1]평가!$7:$7,0)-1,FALSE),"")</f>
        <v/>
      </c>
      <c r="I197" s="36" t="str">
        <f>IFERROR(VLOOKUP($B197,[1]평가!$B:$Z,MATCH(LEFT(I$2,2),[1]평가!$7:$7,0)-1,FALSE),"")</f>
        <v/>
      </c>
      <c r="J197" s="36" t="str">
        <f>IFERROR(VLOOKUP($B197,[1]평가!$B:$Z,MATCH(LEFT(J$2,2),[1]평가!$7:$7,0)-1,FALSE),"")</f>
        <v/>
      </c>
      <c r="K197" s="33" t="str">
        <f>IFERROR(VLOOKUP($B197,[2]평가!$B:$Z,MATCH(LEFT(K$2,2),[2]평가!$7:$7,0)-1,FALSE),"")</f>
        <v/>
      </c>
      <c r="L197" s="36" t="str">
        <f>IFERROR(VLOOKUP($B197,[2]평가!$B:$Z,MATCH(LEFT(L$2,2),[2]평가!$7:$7,0)-1,FALSE),"")</f>
        <v/>
      </c>
      <c r="M197" s="39" t="str">
        <f>IFERROR(VLOOKUP($B197,[2]평가!$B:$Z,MATCH(LEFT(M$2,2),[2]평가!$7:$7,0)-1,FALSE),"")</f>
        <v/>
      </c>
      <c r="N197" s="33" t="str">
        <f>IFERROR(VLOOKUP($B197,[3]평가!$B:$Z,MATCH(LEFT(N$2,2),[3]평가!$7:$7,0)-1,FALSE),"")</f>
        <v/>
      </c>
      <c r="O197" s="36" t="str">
        <f>IFERROR(VLOOKUP($B197,[3]평가!$B:$Z,MATCH(LEFT(O$2,2),[3]평가!$7:$7,0)-1,FALSE),"")</f>
        <v/>
      </c>
      <c r="P197" s="39" t="str">
        <f>IFERROR(VLOOKUP($B197,[3]평가!$B:$Z,MATCH(LEFT(P$2,2),[3]평가!$7:$7,0)-1,FALSE),"")</f>
        <v/>
      </c>
      <c r="Q197" s="33" t="str">
        <f>IFERROR(VLOOKUP($B197,[4]평가!$B:$Z,MATCH(LEFT(Q$2,2),[4]평가!$7:$7,0)-1,FALSE),"")</f>
        <v/>
      </c>
      <c r="R197" s="36" t="str">
        <f>IFERROR(VLOOKUP($B197,[4]평가!$B:$Z,MATCH(LEFT(R$2,2),[4]평가!$7:$7,0)-1,FALSE),"")</f>
        <v/>
      </c>
      <c r="S197" s="39" t="str">
        <f>IFERROR(VLOOKUP($B197,[4]평가!$B:$Z,MATCH(LEFT(S$2,2),[4]평가!$7:$7,0)-1,FALSE),"")</f>
        <v/>
      </c>
      <c r="T197" s="33" t="str">
        <f>IFERROR(VLOOKUP($B197,[5]평가!$B:$Z,MATCH(LEFT(T$2,2),[5]평가!$7:$7,0)-1,FALSE),"")</f>
        <v/>
      </c>
      <c r="U197" s="36" t="str">
        <f>IFERROR(VLOOKUP($B197,[5]평가!$B:$Z,MATCH(LEFT(U$2,2),[5]평가!$7:$7,0)-1,FALSE),"")</f>
        <v/>
      </c>
      <c r="V197" s="39" t="str">
        <f>IFERROR(VLOOKUP($B197,[5]평가!$B:$Z,MATCH(LEFT(V$2,2),[5]평가!$7:$7,0)-1,FALSE),"")</f>
        <v/>
      </c>
      <c r="W197" s="33" t="str">
        <f>IFERROR(VLOOKUP($B197,대상!$B:$AD,MATCH(W$2,대상!$1:$1,0)-1,FALSE),"")</f>
        <v/>
      </c>
      <c r="X197" s="20" t="str">
        <f t="shared" si="10"/>
        <v/>
      </c>
      <c r="Y197" s="21" t="e">
        <f t="shared" si="11"/>
        <v>#VALUE!</v>
      </c>
      <c r="Z197" s="40">
        <f>IFERROR(VLOOKUP($B197,대상!$B:$AD,MATCH(Z$2,대상!$1:$1,0)-1,FALSE),0)</f>
        <v>0</v>
      </c>
      <c r="AA197" s="41" t="str">
        <f t="shared" si="12"/>
        <v/>
      </c>
      <c r="AB197" s="35" t="e">
        <f t="shared" si="13"/>
        <v>#VALUE!</v>
      </c>
      <c r="AC197" s="54" t="str">
        <f t="shared" si="14"/>
        <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
      </c>
    </row>
    <row r="198" spans="1:32" ht="30" hidden="1" customHeight="1" x14ac:dyDescent="0.35">
      <c r="A198" s="4">
        <v>196</v>
      </c>
      <c r="B198" s="2"/>
      <c r="C198" s="38" t="str">
        <f>IFERROR(VLOOKUP($B198,대상!$B:$AC,MATCH(C$2,대상!$1:$1,0)-1,FALSE),"")</f>
        <v/>
      </c>
      <c r="D198" s="38" t="str">
        <f>IFERROR(VLOOKUP($B198,대상!$B:$AC,MATCH(D$2,대상!$1:$1,0)-1,FALSE),"")</f>
        <v/>
      </c>
      <c r="E198" s="36" t="str">
        <f>IFERROR(VLOOKUP($B198,대상!$B:$AC,MATCH(E$2,대상!$1:$1,0)-1,FALSE),"")</f>
        <v/>
      </c>
      <c r="F198" s="38" t="str">
        <f>IFERROR(VLOOKUP($B198,대상!$B:$AC,MATCH(F$2,대상!$1:$1,0)-1,FALSE),"")</f>
        <v/>
      </c>
      <c r="G198" s="38" t="str">
        <f>IFERROR(VLOOKUP($B198,대상!$B:$AC,MATCH(G$2,대상!$1:$1,0)-1,FALSE),"")</f>
        <v/>
      </c>
      <c r="H198" s="33" t="str">
        <f>IFERROR(VLOOKUP($B198,[1]평가!$B:$Z,MATCH(LEFT(H$2,2),[1]평가!$7:$7,0)-1,FALSE),"")</f>
        <v/>
      </c>
      <c r="I198" s="36" t="str">
        <f>IFERROR(VLOOKUP($B198,[1]평가!$B:$Z,MATCH(LEFT(I$2,2),[1]평가!$7:$7,0)-1,FALSE),"")</f>
        <v/>
      </c>
      <c r="J198" s="36" t="str">
        <f>IFERROR(VLOOKUP($B198,[1]평가!$B:$Z,MATCH(LEFT(J$2,2),[1]평가!$7:$7,0)-1,FALSE),"")</f>
        <v/>
      </c>
      <c r="K198" s="33" t="str">
        <f>IFERROR(VLOOKUP($B198,[2]평가!$B:$Z,MATCH(LEFT(K$2,2),[2]평가!$7:$7,0)-1,FALSE),"")</f>
        <v/>
      </c>
      <c r="L198" s="36" t="str">
        <f>IFERROR(VLOOKUP($B198,[2]평가!$B:$Z,MATCH(LEFT(L$2,2),[2]평가!$7:$7,0)-1,FALSE),"")</f>
        <v/>
      </c>
      <c r="M198" s="39" t="str">
        <f>IFERROR(VLOOKUP($B198,[2]평가!$B:$Z,MATCH(LEFT(M$2,2),[2]평가!$7:$7,0)-1,FALSE),"")</f>
        <v/>
      </c>
      <c r="N198" s="33" t="str">
        <f>IFERROR(VLOOKUP($B198,[3]평가!$B:$Z,MATCH(LEFT(N$2,2),[3]평가!$7:$7,0)-1,FALSE),"")</f>
        <v/>
      </c>
      <c r="O198" s="36" t="str">
        <f>IFERROR(VLOOKUP($B198,[3]평가!$B:$Z,MATCH(LEFT(O$2,2),[3]평가!$7:$7,0)-1,FALSE),"")</f>
        <v/>
      </c>
      <c r="P198" s="39" t="str">
        <f>IFERROR(VLOOKUP($B198,[3]평가!$B:$Z,MATCH(LEFT(P$2,2),[3]평가!$7:$7,0)-1,FALSE),"")</f>
        <v/>
      </c>
      <c r="Q198" s="33" t="str">
        <f>IFERROR(VLOOKUP($B198,[4]평가!$B:$Z,MATCH(LEFT(Q$2,2),[4]평가!$7:$7,0)-1,FALSE),"")</f>
        <v/>
      </c>
      <c r="R198" s="36" t="str">
        <f>IFERROR(VLOOKUP($B198,[4]평가!$B:$Z,MATCH(LEFT(R$2,2),[4]평가!$7:$7,0)-1,FALSE),"")</f>
        <v/>
      </c>
      <c r="S198" s="39" t="str">
        <f>IFERROR(VLOOKUP($B198,[4]평가!$B:$Z,MATCH(LEFT(S$2,2),[4]평가!$7:$7,0)-1,FALSE),"")</f>
        <v/>
      </c>
      <c r="T198" s="33" t="str">
        <f>IFERROR(VLOOKUP($B198,[5]평가!$B:$Z,MATCH(LEFT(T$2,2),[5]평가!$7:$7,0)-1,FALSE),"")</f>
        <v/>
      </c>
      <c r="U198" s="36" t="str">
        <f>IFERROR(VLOOKUP($B198,[5]평가!$B:$Z,MATCH(LEFT(U$2,2),[5]평가!$7:$7,0)-1,FALSE),"")</f>
        <v/>
      </c>
      <c r="V198" s="39" t="str">
        <f>IFERROR(VLOOKUP($B198,[5]평가!$B:$Z,MATCH(LEFT(V$2,2),[5]평가!$7:$7,0)-1,FALSE),"")</f>
        <v/>
      </c>
      <c r="W198" s="33" t="str">
        <f>IFERROR(VLOOKUP($B198,대상!$B:$AD,MATCH(W$2,대상!$1:$1,0)-1,FALSE),"")</f>
        <v/>
      </c>
      <c r="X198" s="20" t="str">
        <f t="shared" si="10"/>
        <v/>
      </c>
      <c r="Y198" s="21" t="e">
        <f t="shared" si="11"/>
        <v>#VALUE!</v>
      </c>
      <c r="Z198" s="40">
        <f>IFERROR(VLOOKUP($B198,대상!$B:$AD,MATCH(Z$2,대상!$1:$1,0)-1,FALSE),0)</f>
        <v>0</v>
      </c>
      <c r="AA198" s="41" t="str">
        <f t="shared" si="12"/>
        <v/>
      </c>
      <c r="AB198" s="35" t="e">
        <f t="shared" si="13"/>
        <v>#VALUE!</v>
      </c>
      <c r="AC198" s="54" t="str">
        <f t="shared" si="14"/>
        <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
      </c>
    </row>
    <row r="199" spans="1:32" ht="30" hidden="1" customHeight="1" x14ac:dyDescent="0.35">
      <c r="A199" s="4">
        <v>197</v>
      </c>
      <c r="B199" s="2"/>
      <c r="C199" s="38" t="str">
        <f>IFERROR(VLOOKUP($B199,대상!$B:$AC,MATCH(C$2,대상!$1:$1,0)-1,FALSE),"")</f>
        <v/>
      </c>
      <c r="D199" s="38" t="str">
        <f>IFERROR(VLOOKUP($B199,대상!$B:$AC,MATCH(D$2,대상!$1:$1,0)-1,FALSE),"")</f>
        <v/>
      </c>
      <c r="E199" s="36" t="str">
        <f>IFERROR(VLOOKUP($B199,대상!$B:$AC,MATCH(E$2,대상!$1:$1,0)-1,FALSE),"")</f>
        <v/>
      </c>
      <c r="F199" s="38" t="str">
        <f>IFERROR(VLOOKUP($B199,대상!$B:$AC,MATCH(F$2,대상!$1:$1,0)-1,FALSE),"")</f>
        <v/>
      </c>
      <c r="G199" s="38" t="str">
        <f>IFERROR(VLOOKUP($B199,대상!$B:$AC,MATCH(G$2,대상!$1:$1,0)-1,FALSE),"")</f>
        <v/>
      </c>
      <c r="H199" s="33" t="str">
        <f>IFERROR(VLOOKUP($B199,[1]평가!$B:$Z,MATCH(LEFT(H$2,2),[1]평가!$7:$7,0)-1,FALSE),"")</f>
        <v/>
      </c>
      <c r="I199" s="36" t="str">
        <f>IFERROR(VLOOKUP($B199,[1]평가!$B:$Z,MATCH(LEFT(I$2,2),[1]평가!$7:$7,0)-1,FALSE),"")</f>
        <v/>
      </c>
      <c r="J199" s="36" t="str">
        <f>IFERROR(VLOOKUP($B199,[1]평가!$B:$Z,MATCH(LEFT(J$2,2),[1]평가!$7:$7,0)-1,FALSE),"")</f>
        <v/>
      </c>
      <c r="K199" s="33" t="str">
        <f>IFERROR(VLOOKUP($B199,[2]평가!$B:$Z,MATCH(LEFT(K$2,2),[2]평가!$7:$7,0)-1,FALSE),"")</f>
        <v/>
      </c>
      <c r="L199" s="36" t="str">
        <f>IFERROR(VLOOKUP($B199,[2]평가!$B:$Z,MATCH(LEFT(L$2,2),[2]평가!$7:$7,0)-1,FALSE),"")</f>
        <v/>
      </c>
      <c r="M199" s="39" t="str">
        <f>IFERROR(VLOOKUP($B199,[2]평가!$B:$Z,MATCH(LEFT(M$2,2),[2]평가!$7:$7,0)-1,FALSE),"")</f>
        <v/>
      </c>
      <c r="N199" s="33" t="str">
        <f>IFERROR(VLOOKUP($B199,[3]평가!$B:$Z,MATCH(LEFT(N$2,2),[3]평가!$7:$7,0)-1,FALSE),"")</f>
        <v/>
      </c>
      <c r="O199" s="36" t="str">
        <f>IFERROR(VLOOKUP($B199,[3]평가!$B:$Z,MATCH(LEFT(O$2,2),[3]평가!$7:$7,0)-1,FALSE),"")</f>
        <v/>
      </c>
      <c r="P199" s="39" t="str">
        <f>IFERROR(VLOOKUP($B199,[3]평가!$B:$Z,MATCH(LEFT(P$2,2),[3]평가!$7:$7,0)-1,FALSE),"")</f>
        <v/>
      </c>
      <c r="Q199" s="33" t="str">
        <f>IFERROR(VLOOKUP($B199,[4]평가!$B:$Z,MATCH(LEFT(Q$2,2),[4]평가!$7:$7,0)-1,FALSE),"")</f>
        <v/>
      </c>
      <c r="R199" s="36" t="str">
        <f>IFERROR(VLOOKUP($B199,[4]평가!$B:$Z,MATCH(LEFT(R$2,2),[4]평가!$7:$7,0)-1,FALSE),"")</f>
        <v/>
      </c>
      <c r="S199" s="39" t="str">
        <f>IFERROR(VLOOKUP($B199,[4]평가!$B:$Z,MATCH(LEFT(S$2,2),[4]평가!$7:$7,0)-1,FALSE),"")</f>
        <v/>
      </c>
      <c r="T199" s="33" t="str">
        <f>IFERROR(VLOOKUP($B199,[5]평가!$B:$Z,MATCH(LEFT(T$2,2),[5]평가!$7:$7,0)-1,FALSE),"")</f>
        <v/>
      </c>
      <c r="U199" s="36" t="str">
        <f>IFERROR(VLOOKUP($B199,[5]평가!$B:$Z,MATCH(LEFT(U$2,2),[5]평가!$7:$7,0)-1,FALSE),"")</f>
        <v/>
      </c>
      <c r="V199" s="39" t="str">
        <f>IFERROR(VLOOKUP($B199,[5]평가!$B:$Z,MATCH(LEFT(V$2,2),[5]평가!$7:$7,0)-1,FALSE),"")</f>
        <v/>
      </c>
      <c r="W199" s="33" t="str">
        <f>IFERROR(VLOOKUP($B199,대상!$B:$AD,MATCH(W$2,대상!$1:$1,0)-1,FALSE),"")</f>
        <v/>
      </c>
      <c r="X199" s="20" t="str">
        <f t="shared" si="10"/>
        <v/>
      </c>
      <c r="Y199" s="21" t="e">
        <f t="shared" si="11"/>
        <v>#VALUE!</v>
      </c>
      <c r="Z199" s="40">
        <f>IFERROR(VLOOKUP($B199,대상!$B:$AD,MATCH(Z$2,대상!$1:$1,0)-1,FALSE),0)</f>
        <v>0</v>
      </c>
      <c r="AA199" s="41" t="str">
        <f t="shared" si="12"/>
        <v/>
      </c>
      <c r="AB199" s="35" t="e">
        <f t="shared" si="13"/>
        <v>#VALUE!</v>
      </c>
      <c r="AC199" s="54" t="str">
        <f t="shared" si="14"/>
        <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
      </c>
    </row>
    <row r="200" spans="1:32" ht="30" hidden="1" customHeight="1" x14ac:dyDescent="0.35">
      <c r="A200" s="4">
        <v>198</v>
      </c>
      <c r="B200" s="2"/>
      <c r="C200" s="38" t="str">
        <f>IFERROR(VLOOKUP($B200,대상!$B:$AC,MATCH(C$2,대상!$1:$1,0)-1,FALSE),"")</f>
        <v/>
      </c>
      <c r="D200" s="38" t="str">
        <f>IFERROR(VLOOKUP($B200,대상!$B:$AC,MATCH(D$2,대상!$1:$1,0)-1,FALSE),"")</f>
        <v/>
      </c>
      <c r="E200" s="36" t="str">
        <f>IFERROR(VLOOKUP($B200,대상!$B:$AC,MATCH(E$2,대상!$1:$1,0)-1,FALSE),"")</f>
        <v/>
      </c>
      <c r="F200" s="38" t="str">
        <f>IFERROR(VLOOKUP($B200,대상!$B:$AC,MATCH(F$2,대상!$1:$1,0)-1,FALSE),"")</f>
        <v/>
      </c>
      <c r="G200" s="38" t="str">
        <f>IFERROR(VLOOKUP($B200,대상!$B:$AC,MATCH(G$2,대상!$1:$1,0)-1,FALSE),"")</f>
        <v/>
      </c>
      <c r="H200" s="33" t="str">
        <f>IFERROR(VLOOKUP($B200,[1]평가!$B:$Z,MATCH(LEFT(H$2,2),[1]평가!$7:$7,0)-1,FALSE),"")</f>
        <v/>
      </c>
      <c r="I200" s="36" t="str">
        <f>IFERROR(VLOOKUP($B200,[1]평가!$B:$Z,MATCH(LEFT(I$2,2),[1]평가!$7:$7,0)-1,FALSE),"")</f>
        <v/>
      </c>
      <c r="J200" s="36" t="str">
        <f>IFERROR(VLOOKUP($B200,[1]평가!$B:$Z,MATCH(LEFT(J$2,2),[1]평가!$7:$7,0)-1,FALSE),"")</f>
        <v/>
      </c>
      <c r="K200" s="33" t="str">
        <f>IFERROR(VLOOKUP($B200,[2]평가!$B:$Z,MATCH(LEFT(K$2,2),[2]평가!$7:$7,0)-1,FALSE),"")</f>
        <v/>
      </c>
      <c r="L200" s="36" t="str">
        <f>IFERROR(VLOOKUP($B200,[2]평가!$B:$Z,MATCH(LEFT(L$2,2),[2]평가!$7:$7,0)-1,FALSE),"")</f>
        <v/>
      </c>
      <c r="M200" s="39" t="str">
        <f>IFERROR(VLOOKUP($B200,[2]평가!$B:$Z,MATCH(LEFT(M$2,2),[2]평가!$7:$7,0)-1,FALSE),"")</f>
        <v/>
      </c>
      <c r="N200" s="33" t="str">
        <f>IFERROR(VLOOKUP($B200,[3]평가!$B:$Z,MATCH(LEFT(N$2,2),[3]평가!$7:$7,0)-1,FALSE),"")</f>
        <v/>
      </c>
      <c r="O200" s="36" t="str">
        <f>IFERROR(VLOOKUP($B200,[3]평가!$B:$Z,MATCH(LEFT(O$2,2),[3]평가!$7:$7,0)-1,FALSE),"")</f>
        <v/>
      </c>
      <c r="P200" s="39" t="str">
        <f>IFERROR(VLOOKUP($B200,[3]평가!$B:$Z,MATCH(LEFT(P$2,2),[3]평가!$7:$7,0)-1,FALSE),"")</f>
        <v/>
      </c>
      <c r="Q200" s="33" t="str">
        <f>IFERROR(VLOOKUP($B200,[4]평가!$B:$Z,MATCH(LEFT(Q$2,2),[4]평가!$7:$7,0)-1,FALSE),"")</f>
        <v/>
      </c>
      <c r="R200" s="36" t="str">
        <f>IFERROR(VLOOKUP($B200,[4]평가!$B:$Z,MATCH(LEFT(R$2,2),[4]평가!$7:$7,0)-1,FALSE),"")</f>
        <v/>
      </c>
      <c r="S200" s="39" t="str">
        <f>IFERROR(VLOOKUP($B200,[4]평가!$B:$Z,MATCH(LEFT(S$2,2),[4]평가!$7:$7,0)-1,FALSE),"")</f>
        <v/>
      </c>
      <c r="T200" s="33" t="str">
        <f>IFERROR(VLOOKUP($B200,[5]평가!$B:$Z,MATCH(LEFT(T$2,2),[5]평가!$7:$7,0)-1,FALSE),"")</f>
        <v/>
      </c>
      <c r="U200" s="36" t="str">
        <f>IFERROR(VLOOKUP($B200,[5]평가!$B:$Z,MATCH(LEFT(U$2,2),[5]평가!$7:$7,0)-1,FALSE),"")</f>
        <v/>
      </c>
      <c r="V200" s="39" t="str">
        <f>IFERROR(VLOOKUP($B200,[5]평가!$B:$Z,MATCH(LEFT(V$2,2),[5]평가!$7:$7,0)-1,FALSE),"")</f>
        <v/>
      </c>
      <c r="W200" s="33" t="str">
        <f>IFERROR(VLOOKUP($B200,대상!$B:$AD,MATCH(W$2,대상!$1:$1,0)-1,FALSE),"")</f>
        <v/>
      </c>
      <c r="X200" s="20" t="str">
        <f t="shared" si="10"/>
        <v/>
      </c>
      <c r="Y200" s="21" t="e">
        <f t="shared" si="11"/>
        <v>#VALUE!</v>
      </c>
      <c r="Z200" s="40">
        <f>IFERROR(VLOOKUP($B200,대상!$B:$AD,MATCH(Z$2,대상!$1:$1,0)-1,FALSE),0)</f>
        <v>0</v>
      </c>
      <c r="AA200" s="41" t="str">
        <f t="shared" si="12"/>
        <v/>
      </c>
      <c r="AB200" s="35" t="e">
        <f t="shared" si="13"/>
        <v>#VALUE!</v>
      </c>
      <c r="AC200" s="54" t="str">
        <f t="shared" si="14"/>
        <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
      </c>
    </row>
    <row r="201" spans="1:32" ht="30" hidden="1" customHeight="1" x14ac:dyDescent="0.35">
      <c r="A201" s="4">
        <v>199</v>
      </c>
      <c r="B201" s="2"/>
      <c r="C201" s="38" t="str">
        <f>IFERROR(VLOOKUP($B201,대상!$B:$AC,MATCH(C$2,대상!$1:$1,0)-1,FALSE),"")</f>
        <v/>
      </c>
      <c r="D201" s="38" t="str">
        <f>IFERROR(VLOOKUP($B201,대상!$B:$AC,MATCH(D$2,대상!$1:$1,0)-1,FALSE),"")</f>
        <v/>
      </c>
      <c r="E201" s="36" t="str">
        <f>IFERROR(VLOOKUP($B201,대상!$B:$AC,MATCH(E$2,대상!$1:$1,0)-1,FALSE),"")</f>
        <v/>
      </c>
      <c r="F201" s="38" t="str">
        <f>IFERROR(VLOOKUP($B201,대상!$B:$AC,MATCH(F$2,대상!$1:$1,0)-1,FALSE),"")</f>
        <v/>
      </c>
      <c r="G201" s="38" t="str">
        <f>IFERROR(VLOOKUP($B201,대상!$B:$AC,MATCH(G$2,대상!$1:$1,0)-1,FALSE),"")</f>
        <v/>
      </c>
      <c r="H201" s="33" t="str">
        <f>IFERROR(VLOOKUP($B201,[1]평가!$B:$Z,MATCH(LEFT(H$2,2),[1]평가!$7:$7,0)-1,FALSE),"")</f>
        <v/>
      </c>
      <c r="I201" s="36" t="str">
        <f>IFERROR(VLOOKUP($B201,[1]평가!$B:$Z,MATCH(LEFT(I$2,2),[1]평가!$7:$7,0)-1,FALSE),"")</f>
        <v/>
      </c>
      <c r="J201" s="36" t="str">
        <f>IFERROR(VLOOKUP($B201,[1]평가!$B:$Z,MATCH(LEFT(J$2,2),[1]평가!$7:$7,0)-1,FALSE),"")</f>
        <v/>
      </c>
      <c r="K201" s="33" t="str">
        <f>IFERROR(VLOOKUP($B201,[2]평가!$B:$Z,MATCH(LEFT(K$2,2),[2]평가!$7:$7,0)-1,FALSE),"")</f>
        <v/>
      </c>
      <c r="L201" s="36" t="str">
        <f>IFERROR(VLOOKUP($B201,[2]평가!$B:$Z,MATCH(LEFT(L$2,2),[2]평가!$7:$7,0)-1,FALSE),"")</f>
        <v/>
      </c>
      <c r="M201" s="39" t="str">
        <f>IFERROR(VLOOKUP($B201,[2]평가!$B:$Z,MATCH(LEFT(M$2,2),[2]평가!$7:$7,0)-1,FALSE),"")</f>
        <v/>
      </c>
      <c r="N201" s="33" t="str">
        <f>IFERROR(VLOOKUP($B201,[3]평가!$B:$Z,MATCH(LEFT(N$2,2),[3]평가!$7:$7,0)-1,FALSE),"")</f>
        <v/>
      </c>
      <c r="O201" s="36" t="str">
        <f>IFERROR(VLOOKUP($B201,[3]평가!$B:$Z,MATCH(LEFT(O$2,2),[3]평가!$7:$7,0)-1,FALSE),"")</f>
        <v/>
      </c>
      <c r="P201" s="39" t="str">
        <f>IFERROR(VLOOKUP($B201,[3]평가!$B:$Z,MATCH(LEFT(P$2,2),[3]평가!$7:$7,0)-1,FALSE),"")</f>
        <v/>
      </c>
      <c r="Q201" s="33" t="str">
        <f>IFERROR(VLOOKUP($B201,[4]평가!$B:$Z,MATCH(LEFT(Q$2,2),[4]평가!$7:$7,0)-1,FALSE),"")</f>
        <v/>
      </c>
      <c r="R201" s="36" t="str">
        <f>IFERROR(VLOOKUP($B201,[4]평가!$B:$Z,MATCH(LEFT(R$2,2),[4]평가!$7:$7,0)-1,FALSE),"")</f>
        <v/>
      </c>
      <c r="S201" s="39" t="str">
        <f>IFERROR(VLOOKUP($B201,[4]평가!$B:$Z,MATCH(LEFT(S$2,2),[4]평가!$7:$7,0)-1,FALSE),"")</f>
        <v/>
      </c>
      <c r="T201" s="33" t="str">
        <f>IFERROR(VLOOKUP($B201,[5]평가!$B:$Z,MATCH(LEFT(T$2,2),[5]평가!$7:$7,0)-1,FALSE),"")</f>
        <v/>
      </c>
      <c r="U201" s="36" t="str">
        <f>IFERROR(VLOOKUP($B201,[5]평가!$B:$Z,MATCH(LEFT(U$2,2),[5]평가!$7:$7,0)-1,FALSE),"")</f>
        <v/>
      </c>
      <c r="V201" s="39" t="str">
        <f>IFERROR(VLOOKUP($B201,[5]평가!$B:$Z,MATCH(LEFT(V$2,2),[5]평가!$7:$7,0)-1,FALSE),"")</f>
        <v/>
      </c>
      <c r="W201" s="33" t="str">
        <f>IFERROR(VLOOKUP($B201,대상!$B:$AD,MATCH(W$2,대상!$1:$1,0)-1,FALSE),"")</f>
        <v/>
      </c>
      <c r="X201" s="20" t="str">
        <f t="shared" si="10"/>
        <v/>
      </c>
      <c r="Y201" s="21" t="e">
        <f t="shared" si="11"/>
        <v>#VALUE!</v>
      </c>
      <c r="Z201" s="40">
        <f>IFERROR(VLOOKUP($B201,대상!$B:$AD,MATCH(Z$2,대상!$1:$1,0)-1,FALSE),0)</f>
        <v>0</v>
      </c>
      <c r="AA201" s="41" t="str">
        <f t="shared" si="12"/>
        <v/>
      </c>
      <c r="AB201" s="35" t="e">
        <f t="shared" si="13"/>
        <v>#VALUE!</v>
      </c>
      <c r="AC201" s="54" t="str">
        <f t="shared" si="14"/>
        <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
      </c>
    </row>
    <row r="202" spans="1:32" ht="30" hidden="1" customHeight="1" x14ac:dyDescent="0.35">
      <c r="A202" s="4">
        <v>200</v>
      </c>
      <c r="B202" s="2"/>
      <c r="C202" s="38" t="str">
        <f>IFERROR(VLOOKUP($B202,대상!$B:$AC,MATCH(C$2,대상!$1:$1,0)-1,FALSE),"")</f>
        <v/>
      </c>
      <c r="D202" s="38" t="str">
        <f>IFERROR(VLOOKUP($B202,대상!$B:$AC,MATCH(D$2,대상!$1:$1,0)-1,FALSE),"")</f>
        <v/>
      </c>
      <c r="E202" s="36" t="str">
        <f>IFERROR(VLOOKUP($B202,대상!$B:$AC,MATCH(E$2,대상!$1:$1,0)-1,FALSE),"")</f>
        <v/>
      </c>
      <c r="F202" s="38" t="str">
        <f>IFERROR(VLOOKUP($B202,대상!$B:$AC,MATCH(F$2,대상!$1:$1,0)-1,FALSE),"")</f>
        <v/>
      </c>
      <c r="G202" s="38" t="str">
        <f>IFERROR(VLOOKUP($B202,대상!$B:$AC,MATCH(G$2,대상!$1:$1,0)-1,FALSE),"")</f>
        <v/>
      </c>
      <c r="H202" s="33" t="str">
        <f>IFERROR(VLOOKUP($B202,[1]평가!$B:$Z,MATCH(LEFT(H$2,2),[1]평가!$7:$7,0)-1,FALSE),"")</f>
        <v/>
      </c>
      <c r="I202" s="36" t="str">
        <f>IFERROR(VLOOKUP($B202,[1]평가!$B:$Z,MATCH(LEFT(I$2,2),[1]평가!$7:$7,0)-1,FALSE),"")</f>
        <v/>
      </c>
      <c r="J202" s="36" t="str">
        <f>IFERROR(VLOOKUP($B202,[1]평가!$B:$Z,MATCH(LEFT(J$2,2),[1]평가!$7:$7,0)-1,FALSE),"")</f>
        <v/>
      </c>
      <c r="K202" s="33" t="str">
        <f>IFERROR(VLOOKUP($B202,[2]평가!$B:$Z,MATCH(LEFT(K$2,2),[2]평가!$7:$7,0)-1,FALSE),"")</f>
        <v/>
      </c>
      <c r="L202" s="36" t="str">
        <f>IFERROR(VLOOKUP($B202,[2]평가!$B:$Z,MATCH(LEFT(L$2,2),[2]평가!$7:$7,0)-1,FALSE),"")</f>
        <v/>
      </c>
      <c r="M202" s="39" t="str">
        <f>IFERROR(VLOOKUP($B202,[2]평가!$B:$Z,MATCH(LEFT(M$2,2),[2]평가!$7:$7,0)-1,FALSE),"")</f>
        <v/>
      </c>
      <c r="N202" s="33" t="str">
        <f>IFERROR(VLOOKUP($B202,[3]평가!$B:$Z,MATCH(LEFT(N$2,2),[3]평가!$7:$7,0)-1,FALSE),"")</f>
        <v/>
      </c>
      <c r="O202" s="36" t="str">
        <f>IFERROR(VLOOKUP($B202,[3]평가!$B:$Z,MATCH(LEFT(O$2,2),[3]평가!$7:$7,0)-1,FALSE),"")</f>
        <v/>
      </c>
      <c r="P202" s="39" t="str">
        <f>IFERROR(VLOOKUP($B202,[3]평가!$B:$Z,MATCH(LEFT(P$2,2),[3]평가!$7:$7,0)-1,FALSE),"")</f>
        <v/>
      </c>
      <c r="Q202" s="33" t="str">
        <f>IFERROR(VLOOKUP($B202,[4]평가!$B:$Z,MATCH(LEFT(Q$2,2),[4]평가!$7:$7,0)-1,FALSE),"")</f>
        <v/>
      </c>
      <c r="R202" s="36" t="str">
        <f>IFERROR(VLOOKUP($B202,[4]평가!$B:$Z,MATCH(LEFT(R$2,2),[4]평가!$7:$7,0)-1,FALSE),"")</f>
        <v/>
      </c>
      <c r="S202" s="39" t="str">
        <f>IFERROR(VLOOKUP($B202,[4]평가!$B:$Z,MATCH(LEFT(S$2,2),[4]평가!$7:$7,0)-1,FALSE),"")</f>
        <v/>
      </c>
      <c r="T202" s="33" t="str">
        <f>IFERROR(VLOOKUP($B202,[5]평가!$B:$Z,MATCH(LEFT(T$2,2),[5]평가!$7:$7,0)-1,FALSE),"")</f>
        <v/>
      </c>
      <c r="U202" s="36" t="str">
        <f>IFERROR(VLOOKUP($B202,[5]평가!$B:$Z,MATCH(LEFT(U$2,2),[5]평가!$7:$7,0)-1,FALSE),"")</f>
        <v/>
      </c>
      <c r="V202" s="39" t="str">
        <f>IFERROR(VLOOKUP($B202,[5]평가!$B:$Z,MATCH(LEFT(V$2,2),[5]평가!$7:$7,0)-1,FALSE),"")</f>
        <v/>
      </c>
      <c r="W202" s="33" t="str">
        <f>IFERROR(VLOOKUP($B202,대상!$B:$AD,MATCH(W$2,대상!$1:$1,0)-1,FALSE),"")</f>
        <v/>
      </c>
      <c r="X202" s="20" t="str">
        <f t="shared" si="10"/>
        <v/>
      </c>
      <c r="Y202" s="21" t="e">
        <f t="shared" si="11"/>
        <v>#VALUE!</v>
      </c>
      <c r="Z202" s="40">
        <f>IFERROR(VLOOKUP($B202,대상!$B:$AD,MATCH(Z$2,대상!$1:$1,0)-1,FALSE),0)</f>
        <v>0</v>
      </c>
      <c r="AA202" s="41" t="str">
        <f t="shared" si="12"/>
        <v/>
      </c>
      <c r="AB202" s="35" t="e">
        <f t="shared" si="13"/>
        <v>#VALUE!</v>
      </c>
      <c r="AC202" s="54" t="str">
        <f t="shared" si="14"/>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
      </c>
    </row>
    <row r="203" spans="1:32" ht="30" hidden="1" customHeight="1" x14ac:dyDescent="0.35">
      <c r="A203" s="4">
        <v>201</v>
      </c>
      <c r="B203" s="2"/>
      <c r="C203" s="38" t="str">
        <f>IFERROR(VLOOKUP($B203,대상!$B:$AC,MATCH(C$2,대상!$1:$1,0)-1,FALSE),"")</f>
        <v/>
      </c>
      <c r="D203" s="38" t="str">
        <f>IFERROR(VLOOKUP($B203,대상!$B:$AC,MATCH(D$2,대상!$1:$1,0)-1,FALSE),"")</f>
        <v/>
      </c>
      <c r="E203" s="36" t="str">
        <f>IFERROR(VLOOKUP($B203,대상!$B:$AC,MATCH(E$2,대상!$1:$1,0)-1,FALSE),"")</f>
        <v/>
      </c>
      <c r="F203" s="38" t="str">
        <f>IFERROR(VLOOKUP($B203,대상!$B:$AC,MATCH(F$2,대상!$1:$1,0)-1,FALSE),"")</f>
        <v/>
      </c>
      <c r="G203" s="38" t="str">
        <f>IFERROR(VLOOKUP($B203,대상!$B:$AC,MATCH(G$2,대상!$1:$1,0)-1,FALSE),"")</f>
        <v/>
      </c>
      <c r="H203" s="33" t="str">
        <f>IFERROR(VLOOKUP($B203,[1]평가!$B:$Z,MATCH(LEFT(H$2,2),[1]평가!$7:$7,0)-1,FALSE),"")</f>
        <v/>
      </c>
      <c r="I203" s="36" t="str">
        <f>IFERROR(VLOOKUP($B203,[1]평가!$B:$Z,MATCH(LEFT(I$2,2),[1]평가!$7:$7,0)-1,FALSE),"")</f>
        <v/>
      </c>
      <c r="J203" s="36" t="str">
        <f>IFERROR(VLOOKUP($B203,[1]평가!$B:$Z,MATCH(LEFT(J$2,2),[1]평가!$7:$7,0)-1,FALSE),"")</f>
        <v/>
      </c>
      <c r="K203" s="33" t="str">
        <f>IFERROR(VLOOKUP($B203,[2]평가!$B:$Z,MATCH(LEFT(K$2,2),[2]평가!$7:$7,0)-1,FALSE),"")</f>
        <v/>
      </c>
      <c r="L203" s="36" t="str">
        <f>IFERROR(VLOOKUP($B203,[2]평가!$B:$Z,MATCH(LEFT(L$2,2),[2]평가!$7:$7,0)-1,FALSE),"")</f>
        <v/>
      </c>
      <c r="M203" s="39" t="str">
        <f>IFERROR(VLOOKUP($B203,[2]평가!$B:$Z,MATCH(LEFT(M$2,2),[2]평가!$7:$7,0)-1,FALSE),"")</f>
        <v/>
      </c>
      <c r="N203" s="33" t="str">
        <f>IFERROR(VLOOKUP($B203,[3]평가!$B:$Z,MATCH(LEFT(N$2,2),[3]평가!$7:$7,0)-1,FALSE),"")</f>
        <v/>
      </c>
      <c r="O203" s="36" t="str">
        <f>IFERROR(VLOOKUP($B203,[3]평가!$B:$Z,MATCH(LEFT(O$2,2),[3]평가!$7:$7,0)-1,FALSE),"")</f>
        <v/>
      </c>
      <c r="P203" s="39" t="str">
        <f>IFERROR(VLOOKUP($B203,[3]평가!$B:$Z,MATCH(LEFT(P$2,2),[3]평가!$7:$7,0)-1,FALSE),"")</f>
        <v/>
      </c>
      <c r="Q203" s="33" t="str">
        <f>IFERROR(VLOOKUP($B203,[4]평가!$B:$Z,MATCH(LEFT(Q$2,2),[4]평가!$7:$7,0)-1,FALSE),"")</f>
        <v/>
      </c>
      <c r="R203" s="36" t="str">
        <f>IFERROR(VLOOKUP($B203,[4]평가!$B:$Z,MATCH(LEFT(R$2,2),[4]평가!$7:$7,0)-1,FALSE),"")</f>
        <v/>
      </c>
      <c r="S203" s="39" t="str">
        <f>IFERROR(VLOOKUP($B203,[4]평가!$B:$Z,MATCH(LEFT(S$2,2),[4]평가!$7:$7,0)-1,FALSE),"")</f>
        <v/>
      </c>
      <c r="T203" s="33" t="str">
        <f>IFERROR(VLOOKUP($B203,[5]평가!$B:$Z,MATCH(LEFT(T$2,2),[5]평가!$7:$7,0)-1,FALSE),"")</f>
        <v/>
      </c>
      <c r="U203" s="36" t="str">
        <f>IFERROR(VLOOKUP($B203,[5]평가!$B:$Z,MATCH(LEFT(U$2,2),[5]평가!$7:$7,0)-1,FALSE),"")</f>
        <v/>
      </c>
      <c r="V203" s="39" t="str">
        <f>IFERROR(VLOOKUP($B203,[5]평가!$B:$Z,MATCH(LEFT(V$2,2),[5]평가!$7:$7,0)-1,FALSE),"")</f>
        <v/>
      </c>
      <c r="W203" s="33" t="str">
        <f>IFERROR(VLOOKUP($B203,대상!$B:$AD,MATCH(W$2,대상!$1:$1,0)-1,FALSE),"")</f>
        <v/>
      </c>
      <c r="X203" s="20" t="str">
        <f t="shared" si="10"/>
        <v/>
      </c>
      <c r="Y203" s="21" t="e">
        <f t="shared" si="11"/>
        <v>#VALUE!</v>
      </c>
      <c r="Z203" s="40">
        <f>IFERROR(VLOOKUP($B203,대상!$B:$AD,MATCH(Z$2,대상!$1:$1,0)-1,FALSE),0)</f>
        <v>0</v>
      </c>
      <c r="AA203" s="41" t="str">
        <f t="shared" si="12"/>
        <v/>
      </c>
      <c r="AB203" s="35" t="e">
        <f t="shared" si="13"/>
        <v>#VALUE!</v>
      </c>
      <c r="AC203" s="54" t="str">
        <f t="shared" si="14"/>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
      </c>
    </row>
    <row r="204" spans="1:32" ht="30" hidden="1"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 t="shared" si="10"/>
        <v/>
      </c>
      <c r="Y204" s="21" t="e">
        <f t="shared" si="11"/>
        <v>#VALUE!</v>
      </c>
      <c r="Z204" s="40">
        <f>IFERROR(VLOOKUP($B204,대상!$B:$AD,MATCH(Z$2,대상!$1:$1,0)-1,FALSE),0)</f>
        <v>0</v>
      </c>
      <c r="AA204" s="41" t="str">
        <f t="shared" si="12"/>
        <v/>
      </c>
      <c r="AB204" s="35" t="e">
        <f t="shared" si="13"/>
        <v>#VALUE!</v>
      </c>
      <c r="AC204" s="54" t="str">
        <f t="shared" si="14"/>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hidden="1"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 t="shared" si="10"/>
        <v/>
      </c>
      <c r="Y205" s="21" t="e">
        <f t="shared" si="11"/>
        <v>#VALUE!</v>
      </c>
      <c r="Z205" s="40">
        <f>IFERROR(VLOOKUP($B205,대상!$B:$AD,MATCH(Z$2,대상!$1:$1,0)-1,FALSE),0)</f>
        <v>0</v>
      </c>
      <c r="AA205" s="41" t="str">
        <f t="shared" si="12"/>
        <v/>
      </c>
      <c r="AB205" s="35" t="e">
        <f t="shared" si="13"/>
        <v>#VALUE!</v>
      </c>
      <c r="AC205" s="54" t="str">
        <f t="shared" si="14"/>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hidden="1"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 t="shared" si="10"/>
        <v/>
      </c>
      <c r="Y206" s="21" t="e">
        <f t="shared" si="11"/>
        <v>#VALUE!</v>
      </c>
      <c r="Z206" s="40">
        <f>IFERROR(VLOOKUP($B206,대상!$B:$AD,MATCH(Z$2,대상!$1:$1,0)-1,FALSE),0)</f>
        <v>0</v>
      </c>
      <c r="AA206" s="41" t="str">
        <f t="shared" si="12"/>
        <v/>
      </c>
      <c r="AB206" s="35" t="e">
        <f t="shared" si="13"/>
        <v>#VALUE!</v>
      </c>
      <c r="AC206" s="54" t="str">
        <f t="shared" si="14"/>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hidden="1"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 t="shared" si="10"/>
        <v/>
      </c>
      <c r="Y207" s="21" t="e">
        <f t="shared" si="11"/>
        <v>#VALUE!</v>
      </c>
      <c r="Z207" s="40">
        <f>IFERROR(VLOOKUP($B207,대상!$B:$AD,MATCH(Z$2,대상!$1:$1,0)-1,FALSE),0)</f>
        <v>0</v>
      </c>
      <c r="AA207" s="41" t="str">
        <f t="shared" si="12"/>
        <v/>
      </c>
      <c r="AB207" s="35" t="e">
        <f t="shared" si="13"/>
        <v>#VALUE!</v>
      </c>
      <c r="AC207" s="54" t="str">
        <f t="shared" si="14"/>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hidden="1"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 t="shared" si="10"/>
        <v/>
      </c>
      <c r="Y208" s="21" t="e">
        <f t="shared" si="11"/>
        <v>#VALUE!</v>
      </c>
      <c r="Z208" s="40">
        <f>IFERROR(VLOOKUP($B208,대상!$B:$AD,MATCH(Z$2,대상!$1:$1,0)-1,FALSE),0)</f>
        <v>0</v>
      </c>
      <c r="AA208" s="41" t="str">
        <f t="shared" si="12"/>
        <v/>
      </c>
      <c r="AB208" s="35" t="e">
        <f t="shared" si="13"/>
        <v>#VALUE!</v>
      </c>
      <c r="AC208" s="54" t="str">
        <f t="shared" si="14"/>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hidden="1"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 t="shared" si="10"/>
        <v/>
      </c>
      <c r="Y209" s="21" t="e">
        <f t="shared" si="11"/>
        <v>#VALUE!</v>
      </c>
      <c r="Z209" s="40">
        <f>IFERROR(VLOOKUP($B209,대상!$B:$AD,MATCH(Z$2,대상!$1:$1,0)-1,FALSE),0)</f>
        <v>0</v>
      </c>
      <c r="AA209" s="41" t="str">
        <f t="shared" si="12"/>
        <v/>
      </c>
      <c r="AB209" s="35" t="e">
        <f t="shared" si="13"/>
        <v>#VALUE!</v>
      </c>
      <c r="AC209" s="54" t="str">
        <f t="shared" si="14"/>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hidden="1"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 t="shared" si="10"/>
        <v/>
      </c>
      <c r="Y210" s="21" t="e">
        <f t="shared" si="11"/>
        <v>#VALUE!</v>
      </c>
      <c r="Z210" s="40">
        <f>IFERROR(VLOOKUP($B210,대상!$B:$AD,MATCH(Z$2,대상!$1:$1,0)-1,FALSE),0)</f>
        <v>0</v>
      </c>
      <c r="AA210" s="41" t="str">
        <f t="shared" si="12"/>
        <v/>
      </c>
      <c r="AB210" s="35" t="e">
        <f t="shared" si="13"/>
        <v>#VALUE!</v>
      </c>
      <c r="AC210" s="54" t="str">
        <f t="shared" si="14"/>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hidden="1"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 t="shared" si="10"/>
        <v/>
      </c>
      <c r="Y211" s="21" t="e">
        <f t="shared" si="11"/>
        <v>#VALUE!</v>
      </c>
      <c r="Z211" s="40">
        <f>IFERROR(VLOOKUP($B211,대상!$B:$AD,MATCH(Z$2,대상!$1:$1,0)-1,FALSE),0)</f>
        <v>0</v>
      </c>
      <c r="AA211" s="41" t="str">
        <f t="shared" si="12"/>
        <v/>
      </c>
      <c r="AB211" s="35" t="e">
        <f t="shared" si="13"/>
        <v>#VALUE!</v>
      </c>
      <c r="AC211" s="54" t="str">
        <f t="shared" si="14"/>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hidden="1"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 t="shared" si="10"/>
        <v/>
      </c>
      <c r="Y212" s="21" t="e">
        <f t="shared" si="11"/>
        <v>#VALUE!</v>
      </c>
      <c r="Z212" s="40">
        <f>IFERROR(VLOOKUP($B212,대상!$B:$AD,MATCH(Z$2,대상!$1:$1,0)-1,FALSE),0)</f>
        <v>0</v>
      </c>
      <c r="AA212" s="41" t="str">
        <f t="shared" si="12"/>
        <v/>
      </c>
      <c r="AB212" s="35" t="e">
        <f t="shared" si="13"/>
        <v>#VALUE!</v>
      </c>
      <c r="AC212" s="54" t="str">
        <f t="shared" si="14"/>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hidden="1"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 t="shared" si="10"/>
        <v/>
      </c>
      <c r="Y213" s="21" t="e">
        <f t="shared" si="11"/>
        <v>#VALUE!</v>
      </c>
      <c r="Z213" s="40">
        <f>IFERROR(VLOOKUP($B213,대상!$B:$AD,MATCH(Z$2,대상!$1:$1,0)-1,FALSE),0)</f>
        <v>0</v>
      </c>
      <c r="AA213" s="41" t="str">
        <f t="shared" si="12"/>
        <v/>
      </c>
      <c r="AB213" s="35" t="e">
        <f t="shared" si="13"/>
        <v>#VALUE!</v>
      </c>
      <c r="AC213" s="54" t="str">
        <f t="shared" si="14"/>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hidden="1"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 t="shared" si="10"/>
        <v/>
      </c>
      <c r="Y214" s="21" t="e">
        <f t="shared" si="11"/>
        <v>#VALUE!</v>
      </c>
      <c r="Z214" s="40">
        <f>IFERROR(VLOOKUP($B214,대상!$B:$AD,MATCH(Z$2,대상!$1:$1,0)-1,FALSE),0)</f>
        <v>0</v>
      </c>
      <c r="AA214" s="41" t="str">
        <f t="shared" si="12"/>
        <v/>
      </c>
      <c r="AB214" s="35" t="e">
        <f t="shared" si="13"/>
        <v>#VALUE!</v>
      </c>
      <c r="AC214" s="54" t="str">
        <f t="shared" si="14"/>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hidden="1"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 t="shared" si="10"/>
        <v/>
      </c>
      <c r="Y215" s="21" t="e">
        <f t="shared" si="11"/>
        <v>#VALUE!</v>
      </c>
      <c r="Z215" s="40">
        <f>IFERROR(VLOOKUP($B215,대상!$B:$AD,MATCH(Z$2,대상!$1:$1,0)-1,FALSE),0)</f>
        <v>0</v>
      </c>
      <c r="AA215" s="41" t="str">
        <f t="shared" si="12"/>
        <v/>
      </c>
      <c r="AB215" s="35" t="e">
        <f t="shared" si="13"/>
        <v>#VALUE!</v>
      </c>
      <c r="AC215" s="54" t="str">
        <f t="shared" si="14"/>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hidden="1"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 t="shared" si="10"/>
        <v/>
      </c>
      <c r="Y216" s="21" t="e">
        <f t="shared" si="11"/>
        <v>#VALUE!</v>
      </c>
      <c r="Z216" s="40">
        <f>IFERROR(VLOOKUP($B216,대상!$B:$AD,MATCH(Z$2,대상!$1:$1,0)-1,FALSE),0)</f>
        <v>0</v>
      </c>
      <c r="AA216" s="41" t="str">
        <f t="shared" si="12"/>
        <v/>
      </c>
      <c r="AB216" s="35" t="e">
        <f t="shared" si="13"/>
        <v>#VALUE!</v>
      </c>
      <c r="AC216" s="54" t="str">
        <f t="shared" si="14"/>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hidden="1"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 t="shared" si="10"/>
        <v/>
      </c>
      <c r="Y217" s="21" t="e">
        <f t="shared" si="11"/>
        <v>#VALUE!</v>
      </c>
      <c r="Z217" s="40">
        <f>IFERROR(VLOOKUP($B217,대상!$B:$AD,MATCH(Z$2,대상!$1:$1,0)-1,FALSE),0)</f>
        <v>0</v>
      </c>
      <c r="AA217" s="41" t="str">
        <f t="shared" si="12"/>
        <v/>
      </c>
      <c r="AB217" s="35" t="e">
        <f t="shared" si="13"/>
        <v>#VALUE!</v>
      </c>
      <c r="AC217" s="54" t="str">
        <f t="shared" si="14"/>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hidden="1"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 t="shared" si="10"/>
        <v/>
      </c>
      <c r="Y218" s="21" t="e">
        <f t="shared" si="11"/>
        <v>#VALUE!</v>
      </c>
      <c r="Z218" s="40">
        <f>IFERROR(VLOOKUP($B218,대상!$B:$AD,MATCH(Z$2,대상!$1:$1,0)-1,FALSE),0)</f>
        <v>0</v>
      </c>
      <c r="AA218" s="41" t="str">
        <f t="shared" si="12"/>
        <v/>
      </c>
      <c r="AB218" s="35" t="e">
        <f t="shared" si="13"/>
        <v>#VALUE!</v>
      </c>
      <c r="AC218" s="54" t="str">
        <f t="shared" si="14"/>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hidden="1"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 t="shared" si="10"/>
        <v/>
      </c>
      <c r="Y219" s="21" t="e">
        <f t="shared" si="11"/>
        <v>#VALUE!</v>
      </c>
      <c r="Z219" s="40">
        <f>IFERROR(VLOOKUP($B219,대상!$B:$AD,MATCH(Z$2,대상!$1:$1,0)-1,FALSE),0)</f>
        <v>0</v>
      </c>
      <c r="AA219" s="41" t="str">
        <f t="shared" si="12"/>
        <v/>
      </c>
      <c r="AB219" s="35" t="e">
        <f t="shared" si="13"/>
        <v>#VALUE!</v>
      </c>
      <c r="AC219" s="54" t="str">
        <f t="shared" si="14"/>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19">
    <filterColumn colId="2">
      <filters>
        <filter val="대학발"/>
        <filter val="실험실"/>
      </filters>
    </filterColumn>
    <sortState ref="A3:AH123">
      <sortCondition ref="AC2:AC219"/>
    </sortState>
  </autoFilter>
  <sortState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A2" sqref="A2:A123"/>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20399602</v>
      </c>
      <c r="B2" s="4">
        <f>IFERROR(VLOOKUP($A2,집계!$B:$AD,MATCH(B$1,집계!$2:$2,0)-1,FALSE),"")</f>
        <v>116</v>
      </c>
      <c r="C2" s="4" t="str">
        <f>IFERROR(VLOOKUP($A2,집계!$B:$AD,MATCH(C$1,집계!$2:$2,0)-1,FALSE),"")</f>
        <v>황명희</v>
      </c>
      <c r="D2" s="4">
        <f>IFERROR(VLOOKUP($A2,집계!$B:$AD,MATCH(D$1,집계!$2:$2,0)-1,FALSE),"")</f>
        <v>20399602</v>
      </c>
      <c r="E2" s="4" t="str">
        <f>IFERROR(VLOOKUP($A2,집계!$B:$AD,MATCH(E$1,집계!$2:$2,0)-1,FALSE),"")</f>
        <v>임상 기반 기능성 아로마 바디케어 제품 개발 및 브랜드 사업화</v>
      </c>
      <c r="F2" s="31">
        <f>IFERROR(VLOOKUP($A2,대상!$B:$AD,MATCH(F$1,대상!$1:$1,0)-1,FALSE),"")</f>
        <v>0</v>
      </c>
      <c r="G2" s="3">
        <f>IFERROR(VLOOKUP($A2,집계!$B:$AD,MATCH(G$1,집계!$2:$2,0)-1,FALSE),"")</f>
        <v>5</v>
      </c>
      <c r="H2" s="3">
        <f>IFERROR(VLOOKUP($A2,집계!$B:$AD,MATCH(H$1,집계!$2:$2,0)-1,FALSE),"")</f>
        <v>66</v>
      </c>
      <c r="I2" s="3">
        <f>IFERROR(VLOOKUP($A2,집계!$B:$AD,MATCH(I$1,집계!$2:$2,0)-1,FALSE),"")</f>
        <v>62</v>
      </c>
      <c r="J2" s="3">
        <f>IFERROR(VLOOKUP($A2,집계!$B:$AD,MATCH(J$1,집계!$2:$2,0)-1,FALSE),"")</f>
        <v>69</v>
      </c>
      <c r="K2" s="3">
        <f>IFERROR(VLOOKUP($A2,집계!$B:$AD,MATCH(K$1,집계!$2:$2,0)-1,FALSE),"")</f>
        <v>87</v>
      </c>
      <c r="L2" s="3">
        <f>IFERROR(VLOOKUP($A2,집계!$B:$AD,MATCH(L$1,집계!$2:$2,0)-1,FALSE),"")</f>
        <v>69</v>
      </c>
      <c r="M2" s="16">
        <f>IFERROR(VLOOKUP($A2,집계!$B:$AD,MATCH(M$1,집계!$2:$2,0)-1,FALSE),"")</f>
        <v>68</v>
      </c>
      <c r="N2" s="16">
        <f>IFERROR(VLOOKUP($A2,집계!$B:$AD,MATCH(N$1,집계!$2:$2,0)-1,FALSE),"")</f>
        <v>0</v>
      </c>
      <c r="O2" s="16">
        <f>IFERROR(VLOOKUP($A2,집계!$B:$AD,MATCH(O$1,집계!$2:$2,0)-1,FALSE),"")</f>
        <v>68</v>
      </c>
      <c r="P2" s="31" t="str">
        <f>IFERROR(VLOOKUP($A2,집계!$B:$AD,MATCH(P$1,집계!$2:$2,0)-1,FALSE),"")</f>
        <v/>
      </c>
    </row>
    <row r="3" spans="1:16" ht="17.100000000000001" customHeight="1" x14ac:dyDescent="0.35">
      <c r="A3" s="2">
        <v>20402057</v>
      </c>
      <c r="B3" s="4">
        <f>IFERROR(VLOOKUP($A3,집계!$B:$AD,MATCH(B$1,집계!$2:$2,0)-1,FALSE),"")</f>
        <v>111</v>
      </c>
      <c r="C3" s="4" t="str">
        <f>IFERROR(VLOOKUP($A3,집계!$B:$AD,MATCH(C$1,집계!$2:$2,0)-1,FALSE),"")</f>
        <v>신근철</v>
      </c>
      <c r="D3" s="4">
        <f>IFERROR(VLOOKUP($A3,집계!$B:$AD,MATCH(D$1,집계!$2:$2,0)-1,FALSE),"")</f>
        <v>20402057</v>
      </c>
      <c r="E3" s="4" t="str">
        <f>IFERROR(VLOOKUP($A3,집계!$B:$AD,MATCH(E$1,집계!$2:$2,0)-1,FALSE),"")</f>
        <v>CODEBI 러닝·퍼포먼스 기능성 의류 (쇼츠, 상의, 타이즈, 액세서리)</v>
      </c>
      <c r="F3" s="31">
        <f>IFERROR(VLOOKUP($A3,대상!$B:$AD,MATCH(F$1,대상!$1:$1,0)-1,FALSE),"")</f>
        <v>0</v>
      </c>
      <c r="G3" s="3">
        <f>IFERROR(VLOOKUP($A3,집계!$B:$AD,MATCH(G$1,집계!$2:$2,0)-1,FALSE),"")</f>
        <v>5</v>
      </c>
      <c r="H3" s="3">
        <f>IFERROR(VLOOKUP($A3,집계!$B:$AD,MATCH(H$1,집계!$2:$2,0)-1,FALSE),"")</f>
        <v>68</v>
      </c>
      <c r="I3" s="3">
        <f>IFERROR(VLOOKUP($A3,집계!$B:$AD,MATCH(I$1,집계!$2:$2,0)-1,FALSE),"")</f>
        <v>70</v>
      </c>
      <c r="J3" s="3">
        <f>IFERROR(VLOOKUP($A3,집계!$B:$AD,MATCH(J$1,집계!$2:$2,0)-1,FALSE),"")</f>
        <v>67</v>
      </c>
      <c r="K3" s="3">
        <f>IFERROR(VLOOKUP($A3,집계!$B:$AD,MATCH(K$1,집계!$2:$2,0)-1,FALSE),"")</f>
        <v>78</v>
      </c>
      <c r="L3" s="3">
        <f>IFERROR(VLOOKUP($A3,집계!$B:$AD,MATCH(L$1,집계!$2:$2,0)-1,FALSE),"")</f>
        <v>75</v>
      </c>
      <c r="M3" s="16">
        <f>IFERROR(VLOOKUP($A3,집계!$B:$AD,MATCH(M$1,집계!$2:$2,0)-1,FALSE),"")</f>
        <v>71</v>
      </c>
      <c r="N3" s="16">
        <f>IFERROR(VLOOKUP($A3,집계!$B:$AD,MATCH(N$1,집계!$2:$2,0)-1,FALSE),"")</f>
        <v>0</v>
      </c>
      <c r="O3" s="16">
        <f>IFERROR(VLOOKUP($A3,집계!$B:$AD,MATCH(O$1,집계!$2:$2,0)-1,FALSE),"")</f>
        <v>71</v>
      </c>
      <c r="P3" s="31" t="str">
        <f>IFERROR(VLOOKUP($A3,집계!$B:$AD,MATCH(P$1,집계!$2:$2,0)-1,FALSE),"")</f>
        <v/>
      </c>
    </row>
    <row r="4" spans="1:16" ht="17.100000000000001" customHeight="1" x14ac:dyDescent="0.35">
      <c r="A4" s="2">
        <v>20406606</v>
      </c>
      <c r="B4" s="4">
        <f>IFERROR(VLOOKUP($A4,집계!$B:$AD,MATCH(B$1,집계!$2:$2,0)-1,FALSE),"")</f>
        <v>119</v>
      </c>
      <c r="C4" s="4" t="str">
        <f>IFERROR(VLOOKUP($A4,집계!$B:$AD,MATCH(C$1,집계!$2:$2,0)-1,FALSE),"")</f>
        <v>최호정</v>
      </c>
      <c r="D4" s="4">
        <f>IFERROR(VLOOKUP($A4,집계!$B:$AD,MATCH(D$1,집계!$2:$2,0)-1,FALSE),"")</f>
        <v>20406606</v>
      </c>
      <c r="E4" s="4" t="str">
        <f>IFERROR(VLOOKUP($A4,집계!$B:$AD,MATCH(E$1,집계!$2:$2,0)-1,FALSE),"")</f>
        <v>즉석 맥반석 구이김 단지 순회공급 시스템 구축</v>
      </c>
      <c r="F4" s="31">
        <f>IFERROR(VLOOKUP($A4,대상!$B:$AD,MATCH(F$1,대상!$1:$1,0)-1,FALSE),"")</f>
        <v>0</v>
      </c>
      <c r="G4" s="3">
        <f>IFERROR(VLOOKUP($A4,집계!$B:$AD,MATCH(G$1,집계!$2:$2,0)-1,FALSE),"")</f>
        <v>5</v>
      </c>
      <c r="H4" s="3">
        <f>IFERROR(VLOOKUP($A4,집계!$B:$AD,MATCH(H$1,집계!$2:$2,0)-1,FALSE),"")</f>
        <v>60</v>
      </c>
      <c r="I4" s="3">
        <f>IFERROR(VLOOKUP($A4,집계!$B:$AD,MATCH(I$1,집계!$2:$2,0)-1,FALSE),"")</f>
        <v>64</v>
      </c>
      <c r="J4" s="3">
        <f>IFERROR(VLOOKUP($A4,집계!$B:$AD,MATCH(J$1,집계!$2:$2,0)-1,FALSE),"")</f>
        <v>66</v>
      </c>
      <c r="K4" s="3">
        <f>IFERROR(VLOOKUP($A4,집계!$B:$AD,MATCH(K$1,집계!$2:$2,0)-1,FALSE),"")</f>
        <v>68</v>
      </c>
      <c r="L4" s="3">
        <f>IFERROR(VLOOKUP($A4,집계!$B:$AD,MATCH(L$1,집계!$2:$2,0)-1,FALSE),"")</f>
        <v>76</v>
      </c>
      <c r="M4" s="16">
        <f>IFERROR(VLOOKUP($A4,집계!$B:$AD,MATCH(M$1,집계!$2:$2,0)-1,FALSE),"")</f>
        <v>66</v>
      </c>
      <c r="N4" s="16">
        <f>IFERROR(VLOOKUP($A4,집계!$B:$AD,MATCH(N$1,집계!$2:$2,0)-1,FALSE),"")</f>
        <v>0</v>
      </c>
      <c r="O4" s="16">
        <f>IFERROR(VLOOKUP($A4,집계!$B:$AD,MATCH(O$1,집계!$2:$2,0)-1,FALSE),"")</f>
        <v>66</v>
      </c>
      <c r="P4" s="31" t="str">
        <f>IFERROR(VLOOKUP($A4,집계!$B:$AD,MATCH(P$1,집계!$2:$2,0)-1,FALSE),"")</f>
        <v/>
      </c>
    </row>
    <row r="5" spans="1:16" ht="17.100000000000001" customHeight="1" x14ac:dyDescent="0.35">
      <c r="A5" s="2">
        <v>20408072</v>
      </c>
      <c r="B5" s="4">
        <f>IFERROR(VLOOKUP($A5,집계!$B:$AD,MATCH(B$1,집계!$2:$2,0)-1,FALSE),"")</f>
        <v>24</v>
      </c>
      <c r="C5" s="4" t="str">
        <f>IFERROR(VLOOKUP($A5,집계!$B:$AD,MATCH(C$1,집계!$2:$2,0)-1,FALSE),"")</f>
        <v>안혜선</v>
      </c>
      <c r="D5" s="4">
        <f>IFERROR(VLOOKUP($A5,집계!$B:$AD,MATCH(D$1,집계!$2:$2,0)-1,FALSE),"")</f>
        <v>20408072</v>
      </c>
      <c r="E5" s="4" t="str">
        <f>IFERROR(VLOOKUP($A5,집계!$B:$AD,MATCH(E$1,집계!$2:$2,0)-1,FALSE),"")</f>
        <v>수면·휴식 케어를 위한 수출형 맞춤 웰니스 K-뷰티 아로마 롤온&amp;룸·필로우 스프레이</v>
      </c>
      <c r="F5" s="31">
        <f>IFERROR(VLOOKUP($A5,대상!$B:$AD,MATCH(F$1,대상!$1:$1,0)-1,FALSE),"")</f>
        <v>0</v>
      </c>
      <c r="G5" s="3">
        <f>IFERROR(VLOOKUP($A5,집계!$B:$AD,MATCH(G$1,집계!$2:$2,0)-1,FALSE),"")</f>
        <v>5</v>
      </c>
      <c r="H5" s="3">
        <f>IFERROR(VLOOKUP($A5,집계!$B:$AD,MATCH(H$1,집계!$2:$2,0)-1,FALSE),"")</f>
        <v>80</v>
      </c>
      <c r="I5" s="3">
        <f>IFERROR(VLOOKUP($A5,집계!$B:$AD,MATCH(I$1,집계!$2:$2,0)-1,FALSE),"")</f>
        <v>81</v>
      </c>
      <c r="J5" s="3">
        <f>IFERROR(VLOOKUP($A5,집계!$B:$AD,MATCH(J$1,집계!$2:$2,0)-1,FALSE),"")</f>
        <v>81</v>
      </c>
      <c r="K5" s="3">
        <f>IFERROR(VLOOKUP($A5,집계!$B:$AD,MATCH(K$1,집계!$2:$2,0)-1,FALSE),"")</f>
        <v>77</v>
      </c>
      <c r="L5" s="3">
        <f>IFERROR(VLOOKUP($A5,집계!$B:$AD,MATCH(L$1,집계!$2:$2,0)-1,FALSE),"")</f>
        <v>84</v>
      </c>
      <c r="M5" s="16">
        <f>IFERROR(VLOOKUP($A5,집계!$B:$AD,MATCH(M$1,집계!$2:$2,0)-1,FALSE),"")</f>
        <v>80.666666666666671</v>
      </c>
      <c r="N5" s="16">
        <f>IFERROR(VLOOKUP($A5,집계!$B:$AD,MATCH(N$1,집계!$2:$2,0)-1,FALSE),"")</f>
        <v>2</v>
      </c>
      <c r="O5" s="16">
        <f>IFERROR(VLOOKUP($A5,집계!$B:$AD,MATCH(O$1,집계!$2:$2,0)-1,FALSE),"")</f>
        <v>82.666666666666671</v>
      </c>
      <c r="P5" s="31" t="str">
        <f>IFERROR(VLOOKUP($A5,집계!$B:$AD,MATCH(P$1,집계!$2:$2,0)-1,FALSE),"")</f>
        <v/>
      </c>
    </row>
    <row r="6" spans="1:16" ht="17.100000000000001" customHeight="1" x14ac:dyDescent="0.35">
      <c r="A6" s="2">
        <v>20409574</v>
      </c>
      <c r="B6" s="4">
        <f>IFERROR(VLOOKUP($A6,집계!$B:$AD,MATCH(B$1,집계!$2:$2,0)-1,FALSE),"")</f>
        <v>17</v>
      </c>
      <c r="C6" s="4" t="str">
        <f>IFERROR(VLOOKUP($A6,집계!$B:$AD,MATCH(C$1,집계!$2:$2,0)-1,FALSE),"")</f>
        <v>이홍기</v>
      </c>
      <c r="D6" s="4">
        <f>IFERROR(VLOOKUP($A6,집계!$B:$AD,MATCH(D$1,집계!$2:$2,0)-1,FALSE),"")</f>
        <v>20409574</v>
      </c>
      <c r="E6" s="4" t="str">
        <f>IFERROR(VLOOKUP($A6,집계!$B:$AD,MATCH(E$1,집계!$2:$2,0)-1,FALSE),"")</f>
        <v>고온 공정 RTD의 원물 풍미 손실을 개선하는 저온 블렌딩 기반 국산 원물 클린라벨 RTD 과일티 개발</v>
      </c>
      <c r="F6" s="31">
        <f>IFERROR(VLOOKUP($A6,대상!$B:$AD,MATCH(F$1,대상!$1:$1,0)-1,FALSE),"")</f>
        <v>0</v>
      </c>
      <c r="G6" s="3">
        <f>IFERROR(VLOOKUP($A6,집계!$B:$AD,MATCH(G$1,집계!$2:$2,0)-1,FALSE),"")</f>
        <v>5</v>
      </c>
      <c r="H6" s="3">
        <f>IFERROR(VLOOKUP($A6,집계!$B:$AD,MATCH(H$1,집계!$2:$2,0)-1,FALSE),"")</f>
        <v>84</v>
      </c>
      <c r="I6" s="3">
        <f>IFERROR(VLOOKUP($A6,집계!$B:$AD,MATCH(I$1,집계!$2:$2,0)-1,FALSE),"")</f>
        <v>79</v>
      </c>
      <c r="J6" s="3">
        <f>IFERROR(VLOOKUP($A6,집계!$B:$AD,MATCH(J$1,집계!$2:$2,0)-1,FALSE),"")</f>
        <v>83</v>
      </c>
      <c r="K6" s="3">
        <f>IFERROR(VLOOKUP($A6,집계!$B:$AD,MATCH(K$1,집계!$2:$2,0)-1,FALSE),"")</f>
        <v>77</v>
      </c>
      <c r="L6" s="3">
        <f>IFERROR(VLOOKUP($A6,집계!$B:$AD,MATCH(L$1,집계!$2:$2,0)-1,FALSE),"")</f>
        <v>87</v>
      </c>
      <c r="M6" s="16">
        <f>IFERROR(VLOOKUP($A6,집계!$B:$AD,MATCH(M$1,집계!$2:$2,0)-1,FALSE),"")</f>
        <v>82</v>
      </c>
      <c r="N6" s="16">
        <f>IFERROR(VLOOKUP($A6,집계!$B:$AD,MATCH(N$1,집계!$2:$2,0)-1,FALSE),"")</f>
        <v>2</v>
      </c>
      <c r="O6" s="16">
        <f>IFERROR(VLOOKUP($A6,집계!$B:$AD,MATCH(O$1,집계!$2:$2,0)-1,FALSE),"")</f>
        <v>84</v>
      </c>
      <c r="P6" s="31" t="str">
        <f>IFERROR(VLOOKUP($A6,집계!$B:$AD,MATCH(P$1,집계!$2:$2,0)-1,FALSE),"")</f>
        <v/>
      </c>
    </row>
    <row r="7" spans="1:16" ht="17.100000000000001" customHeight="1" x14ac:dyDescent="0.35">
      <c r="A7" s="2">
        <v>20410575</v>
      </c>
      <c r="B7" s="4">
        <f>IFERROR(VLOOKUP($A7,집계!$B:$AD,MATCH(B$1,집계!$2:$2,0)-1,FALSE),"")</f>
        <v>52</v>
      </c>
      <c r="C7" s="4" t="str">
        <f>IFERROR(VLOOKUP($A7,집계!$B:$AD,MATCH(C$1,집계!$2:$2,0)-1,FALSE),"")</f>
        <v>서정은</v>
      </c>
      <c r="D7" s="4">
        <f>IFERROR(VLOOKUP($A7,집계!$B:$AD,MATCH(D$1,집계!$2:$2,0)-1,FALSE),"")</f>
        <v>20410575</v>
      </c>
      <c r="E7" s="4" t="str">
        <f>IFERROR(VLOOKUP($A7,집계!$B:$AD,MATCH(E$1,집계!$2:$2,0)-1,FALSE),"")</f>
        <v>로컬 상생형 프리미엄 수제 쌀 디저트, 'K-설기(K-Seolgi) 하이엔드 솔루션'</v>
      </c>
      <c r="F7" s="31">
        <f>IFERROR(VLOOKUP($A7,대상!$B:$AD,MATCH(F$1,대상!$1:$1,0)-1,FALSE),"")</f>
        <v>0</v>
      </c>
      <c r="G7" s="3">
        <f>IFERROR(VLOOKUP($A7,집계!$B:$AD,MATCH(G$1,집계!$2:$2,0)-1,FALSE),"")</f>
        <v>5</v>
      </c>
      <c r="H7" s="3">
        <f>IFERROR(VLOOKUP($A7,집계!$B:$AD,MATCH(H$1,집계!$2:$2,0)-1,FALSE),"")</f>
        <v>81</v>
      </c>
      <c r="I7" s="3">
        <f>IFERROR(VLOOKUP($A7,집계!$B:$AD,MATCH(I$1,집계!$2:$2,0)-1,FALSE),"")</f>
        <v>85</v>
      </c>
      <c r="J7" s="3">
        <f>IFERROR(VLOOKUP($A7,집계!$B:$AD,MATCH(J$1,집계!$2:$2,0)-1,FALSE),"")</f>
        <v>69</v>
      </c>
      <c r="K7" s="3">
        <f>IFERROR(VLOOKUP($A7,집계!$B:$AD,MATCH(K$1,집계!$2:$2,0)-1,FALSE),"")</f>
        <v>70</v>
      </c>
      <c r="L7" s="3">
        <f>IFERROR(VLOOKUP($A7,집계!$B:$AD,MATCH(L$1,집계!$2:$2,0)-1,FALSE),"")</f>
        <v>86</v>
      </c>
      <c r="M7" s="16">
        <f>IFERROR(VLOOKUP($A7,집계!$B:$AD,MATCH(M$1,집계!$2:$2,0)-1,FALSE),"")</f>
        <v>78.666666666666671</v>
      </c>
      <c r="N7" s="16">
        <f>IFERROR(VLOOKUP($A7,집계!$B:$AD,MATCH(N$1,집계!$2:$2,0)-1,FALSE),"")</f>
        <v>0</v>
      </c>
      <c r="O7" s="16">
        <f>IFERROR(VLOOKUP($A7,집계!$B:$AD,MATCH(O$1,집계!$2:$2,0)-1,FALSE),"")</f>
        <v>78.666666666666671</v>
      </c>
      <c r="P7" s="31" t="str">
        <f>IFERROR(VLOOKUP($A7,집계!$B:$AD,MATCH(P$1,집계!$2:$2,0)-1,FALSE),"")</f>
        <v/>
      </c>
    </row>
    <row r="8" spans="1:16" ht="17.100000000000001" customHeight="1" x14ac:dyDescent="0.35">
      <c r="A8" s="2">
        <v>20412478</v>
      </c>
      <c r="B8" s="4">
        <f>IFERROR(VLOOKUP($A8,집계!$B:$AD,MATCH(B$1,집계!$2:$2,0)-1,FALSE),"")</f>
        <v>73</v>
      </c>
      <c r="C8" s="4" t="str">
        <f>IFERROR(VLOOKUP($A8,집계!$B:$AD,MATCH(C$1,집계!$2:$2,0)-1,FALSE),"")</f>
        <v>이용준</v>
      </c>
      <c r="D8" s="4">
        <f>IFERROR(VLOOKUP($A8,집계!$B:$AD,MATCH(D$1,집계!$2:$2,0)-1,FALSE),"")</f>
        <v>20412478</v>
      </c>
      <c r="E8" s="4" t="str">
        <f>IFERROR(VLOOKUP($A8,집계!$B:$AD,MATCH(E$1,집계!$2:$2,0)-1,FALSE),"")</f>
        <v>업사이클링 원료 기반, 1030 트러블 케어 ‘1회분 스틱 파우더 팩’ · ‘10초 바디 진정 미스트’ 세트 개발 및 국내 버티컬 플랫폼 상용화</v>
      </c>
      <c r="F8" s="31">
        <f>IFERROR(VLOOKUP($A8,대상!$B:$AD,MATCH(F$1,대상!$1:$1,0)-1,FALSE),"")</f>
        <v>0</v>
      </c>
      <c r="G8" s="3">
        <f>IFERROR(VLOOKUP($A8,집계!$B:$AD,MATCH(G$1,집계!$2:$2,0)-1,FALSE),"")</f>
        <v>5</v>
      </c>
      <c r="H8" s="3">
        <f>IFERROR(VLOOKUP($A8,집계!$B:$AD,MATCH(H$1,집계!$2:$2,0)-1,FALSE),"")</f>
        <v>86</v>
      </c>
      <c r="I8" s="3">
        <f>IFERROR(VLOOKUP($A8,집계!$B:$AD,MATCH(I$1,집계!$2:$2,0)-1,FALSE),"")</f>
        <v>81</v>
      </c>
      <c r="J8" s="3">
        <f>IFERROR(VLOOKUP($A8,집계!$B:$AD,MATCH(J$1,집계!$2:$2,0)-1,FALSE),"")</f>
        <v>72</v>
      </c>
      <c r="K8" s="3">
        <f>IFERROR(VLOOKUP($A8,집계!$B:$AD,MATCH(K$1,집계!$2:$2,0)-1,FALSE),"")</f>
        <v>74</v>
      </c>
      <c r="L8" s="3">
        <f>IFERROR(VLOOKUP($A8,집계!$B:$AD,MATCH(L$1,집계!$2:$2,0)-1,FALSE),"")</f>
        <v>76</v>
      </c>
      <c r="M8" s="16">
        <f>IFERROR(VLOOKUP($A8,집계!$B:$AD,MATCH(M$1,집계!$2:$2,0)-1,FALSE),"")</f>
        <v>77</v>
      </c>
      <c r="N8" s="16">
        <f>IFERROR(VLOOKUP($A8,집계!$B:$AD,MATCH(N$1,집계!$2:$2,0)-1,FALSE),"")</f>
        <v>0</v>
      </c>
      <c r="O8" s="16">
        <f>IFERROR(VLOOKUP($A8,집계!$B:$AD,MATCH(O$1,집계!$2:$2,0)-1,FALSE),"")</f>
        <v>77</v>
      </c>
      <c r="P8" s="31" t="str">
        <f>IFERROR(VLOOKUP($A8,집계!$B:$AD,MATCH(P$1,집계!$2:$2,0)-1,FALSE),"")</f>
        <v/>
      </c>
    </row>
    <row r="9" spans="1:16" ht="17.100000000000001" customHeight="1" x14ac:dyDescent="0.35">
      <c r="A9" s="2">
        <v>20413600</v>
      </c>
      <c r="B9" s="4">
        <f>IFERROR(VLOOKUP($A9,집계!$B:$AD,MATCH(B$1,집계!$2:$2,0)-1,FALSE),"")</f>
        <v>38</v>
      </c>
      <c r="C9" s="4" t="str">
        <f>IFERROR(VLOOKUP($A9,집계!$B:$AD,MATCH(C$1,집계!$2:$2,0)-1,FALSE),"")</f>
        <v>정승연</v>
      </c>
      <c r="D9" s="4">
        <f>IFERROR(VLOOKUP($A9,집계!$B:$AD,MATCH(D$1,집계!$2:$2,0)-1,FALSE),"")</f>
        <v>20413600</v>
      </c>
      <c r="E9" s="4" t="str">
        <f>IFERROR(VLOOKUP($A9,집계!$B:$AD,MATCH(E$1,집계!$2:$2,0)-1,FALSE),"")</f>
        <v>생리통 완화용 하복부 밀착형 온열·전기자극(TENS) 스마트 이너웨어 개발</v>
      </c>
      <c r="F9" s="31">
        <f>IFERROR(VLOOKUP($A9,대상!$B:$AD,MATCH(F$1,대상!$1:$1,0)-1,FALSE),"")</f>
        <v>0</v>
      </c>
      <c r="G9" s="3">
        <f>IFERROR(VLOOKUP($A9,집계!$B:$AD,MATCH(G$1,집계!$2:$2,0)-1,FALSE),"")</f>
        <v>5</v>
      </c>
      <c r="H9" s="3">
        <f>IFERROR(VLOOKUP($A9,집계!$B:$AD,MATCH(H$1,집계!$2:$2,0)-1,FALSE),"")</f>
        <v>80</v>
      </c>
      <c r="I9" s="3">
        <f>IFERROR(VLOOKUP($A9,집계!$B:$AD,MATCH(I$1,집계!$2:$2,0)-1,FALSE),"")</f>
        <v>79</v>
      </c>
      <c r="J9" s="3">
        <f>IFERROR(VLOOKUP($A9,집계!$B:$AD,MATCH(J$1,집계!$2:$2,0)-1,FALSE),"")</f>
        <v>86</v>
      </c>
      <c r="K9" s="3">
        <f>IFERROR(VLOOKUP($A9,집계!$B:$AD,MATCH(K$1,집계!$2:$2,0)-1,FALSE),"")</f>
        <v>76</v>
      </c>
      <c r="L9" s="3">
        <f>IFERROR(VLOOKUP($A9,집계!$B:$AD,MATCH(L$1,집계!$2:$2,0)-1,FALSE),"")</f>
        <v>82</v>
      </c>
      <c r="M9" s="16">
        <f>IFERROR(VLOOKUP($A9,집계!$B:$AD,MATCH(M$1,집계!$2:$2,0)-1,FALSE),"")</f>
        <v>80.333333333333329</v>
      </c>
      <c r="N9" s="16">
        <f>IFERROR(VLOOKUP($A9,집계!$B:$AD,MATCH(N$1,집계!$2:$2,0)-1,FALSE),"")</f>
        <v>0</v>
      </c>
      <c r="O9" s="16">
        <f>IFERROR(VLOOKUP($A9,집계!$B:$AD,MATCH(O$1,집계!$2:$2,0)-1,FALSE),"")</f>
        <v>80.333333333333329</v>
      </c>
      <c r="P9" s="31" t="str">
        <f>IFERROR(VLOOKUP($A9,집계!$B:$AD,MATCH(P$1,집계!$2:$2,0)-1,FALSE),"")</f>
        <v/>
      </c>
    </row>
    <row r="10" spans="1:16" ht="17.100000000000001" customHeight="1" x14ac:dyDescent="0.35">
      <c r="A10" s="2">
        <v>20414625</v>
      </c>
      <c r="B10" s="4">
        <f>IFERROR(VLOOKUP($A10,집계!$B:$AD,MATCH(B$1,집계!$2:$2,0)-1,FALSE),"")</f>
        <v>11</v>
      </c>
      <c r="C10" s="4" t="str">
        <f>IFERROR(VLOOKUP($A10,집계!$B:$AD,MATCH(C$1,집계!$2:$2,0)-1,FALSE),"")</f>
        <v>김선진</v>
      </c>
      <c r="D10" s="4">
        <f>IFERROR(VLOOKUP($A10,집계!$B:$AD,MATCH(D$1,집계!$2:$2,0)-1,FALSE),"")</f>
        <v>20414625</v>
      </c>
      <c r="E10" s="4" t="str">
        <f>IFERROR(VLOOKUP($A10,집계!$B:$AD,MATCH(E$1,집계!$2:$2,0)-1,FALSE),"")</f>
        <v>초음파 향미 추출 기반 조주·조리용 향미 주류 (비터스·기주) 개발</v>
      </c>
      <c r="F10" s="31">
        <f>IFERROR(VLOOKUP($A10,대상!$B:$AD,MATCH(F$1,대상!$1:$1,0)-1,FALSE),"")</f>
        <v>0</v>
      </c>
      <c r="G10" s="3">
        <f>IFERROR(VLOOKUP($A10,집계!$B:$AD,MATCH(G$1,집계!$2:$2,0)-1,FALSE),"")</f>
        <v>5</v>
      </c>
      <c r="H10" s="3">
        <f>IFERROR(VLOOKUP($A10,집계!$B:$AD,MATCH(H$1,집계!$2:$2,0)-1,FALSE),"")</f>
        <v>91</v>
      </c>
      <c r="I10" s="3">
        <f>IFERROR(VLOOKUP($A10,집계!$B:$AD,MATCH(I$1,집계!$2:$2,0)-1,FALSE),"")</f>
        <v>91</v>
      </c>
      <c r="J10" s="3">
        <f>IFERROR(VLOOKUP($A10,집계!$B:$AD,MATCH(J$1,집계!$2:$2,0)-1,FALSE),"")</f>
        <v>94</v>
      </c>
      <c r="K10" s="3">
        <f>IFERROR(VLOOKUP($A10,집계!$B:$AD,MATCH(K$1,집계!$2:$2,0)-1,FALSE),"")</f>
        <v>91</v>
      </c>
      <c r="L10" s="3">
        <f>IFERROR(VLOOKUP($A10,집계!$B:$AD,MATCH(L$1,집계!$2:$2,0)-1,FALSE),"")</f>
        <v>92</v>
      </c>
      <c r="M10" s="16">
        <f>IFERROR(VLOOKUP($A10,집계!$B:$AD,MATCH(M$1,집계!$2:$2,0)-1,FALSE),"")</f>
        <v>91.333333333333329</v>
      </c>
      <c r="N10" s="16">
        <f>IFERROR(VLOOKUP($A10,집계!$B:$AD,MATCH(N$1,집계!$2:$2,0)-1,FALSE),"")</f>
        <v>0</v>
      </c>
      <c r="O10" s="16">
        <f>IFERROR(VLOOKUP($A10,집계!$B:$AD,MATCH(O$1,집계!$2:$2,0)-1,FALSE),"")</f>
        <v>91.333333333333329</v>
      </c>
      <c r="P10" s="31" t="str">
        <f>IFERROR(VLOOKUP($A10,집계!$B:$AD,MATCH(P$1,집계!$2:$2,0)-1,FALSE),"")</f>
        <v/>
      </c>
    </row>
    <row r="11" spans="1:16" ht="17.100000000000001" customHeight="1" x14ac:dyDescent="0.35">
      <c r="A11" s="2">
        <v>20415838</v>
      </c>
      <c r="B11" s="4">
        <f>IFERROR(VLOOKUP($A11,집계!$B:$AD,MATCH(B$1,집계!$2:$2,0)-1,FALSE),"")</f>
        <v>107</v>
      </c>
      <c r="C11" s="4" t="str">
        <f>IFERROR(VLOOKUP($A11,집계!$B:$AD,MATCH(C$1,집계!$2:$2,0)-1,FALSE),"")</f>
        <v>유진형</v>
      </c>
      <c r="D11" s="4">
        <f>IFERROR(VLOOKUP($A11,집계!$B:$AD,MATCH(D$1,집계!$2:$2,0)-1,FALSE),"")</f>
        <v>20415838</v>
      </c>
      <c r="E11" s="4" t="str">
        <f>IFERROR(VLOOKUP($A11,집계!$B:$AD,MATCH(E$1,집계!$2:$2,0)-1,FALSE),"")</f>
        <v>사춘기 호르몬성 과지피 해결을 위한 징크PCA 기반 미스트 및 블록체인 이력관리 시스템</v>
      </c>
      <c r="F11" s="31">
        <f>IFERROR(VLOOKUP($A11,대상!$B:$AD,MATCH(F$1,대상!$1:$1,0)-1,FALSE),"")</f>
        <v>0</v>
      </c>
      <c r="G11" s="3">
        <f>IFERROR(VLOOKUP($A11,집계!$B:$AD,MATCH(G$1,집계!$2:$2,0)-1,FALSE),"")</f>
        <v>5</v>
      </c>
      <c r="H11" s="3">
        <f>IFERROR(VLOOKUP($A11,집계!$B:$AD,MATCH(H$1,집계!$2:$2,0)-1,FALSE),"")</f>
        <v>79</v>
      </c>
      <c r="I11" s="3">
        <f>IFERROR(VLOOKUP($A11,집계!$B:$AD,MATCH(I$1,집계!$2:$2,0)-1,FALSE),"")</f>
        <v>75</v>
      </c>
      <c r="J11" s="3">
        <f>IFERROR(VLOOKUP($A11,집계!$B:$AD,MATCH(J$1,집계!$2:$2,0)-1,FALSE),"")</f>
        <v>75</v>
      </c>
      <c r="K11" s="3">
        <f>IFERROR(VLOOKUP($A11,집계!$B:$AD,MATCH(K$1,집계!$2:$2,0)-1,FALSE),"")</f>
        <v>62</v>
      </c>
      <c r="L11" s="3">
        <f>IFERROR(VLOOKUP($A11,집계!$B:$AD,MATCH(L$1,집계!$2:$2,0)-1,FALSE),"")</f>
        <v>65</v>
      </c>
      <c r="M11" s="16">
        <f>IFERROR(VLOOKUP($A11,집계!$B:$AD,MATCH(M$1,집계!$2:$2,0)-1,FALSE),"")</f>
        <v>71.666666666666671</v>
      </c>
      <c r="N11" s="16">
        <f>IFERROR(VLOOKUP($A11,집계!$B:$AD,MATCH(N$1,집계!$2:$2,0)-1,FALSE),"")</f>
        <v>0</v>
      </c>
      <c r="O11" s="16">
        <f>IFERROR(VLOOKUP($A11,집계!$B:$AD,MATCH(O$1,집계!$2:$2,0)-1,FALSE),"")</f>
        <v>71.666666666666671</v>
      </c>
      <c r="P11" s="31" t="str">
        <f>IFERROR(VLOOKUP($A11,집계!$B:$AD,MATCH(P$1,집계!$2:$2,0)-1,FALSE),"")</f>
        <v/>
      </c>
    </row>
    <row r="12" spans="1:16" ht="17.100000000000001" customHeight="1" x14ac:dyDescent="0.35">
      <c r="A12" s="2">
        <v>20418712</v>
      </c>
      <c r="B12" s="4">
        <f>IFERROR(VLOOKUP($A12,집계!$B:$AD,MATCH(B$1,집계!$2:$2,0)-1,FALSE),"")</f>
        <v>85</v>
      </c>
      <c r="C12" s="4" t="str">
        <f>IFERROR(VLOOKUP($A12,집계!$B:$AD,MATCH(C$1,집계!$2:$2,0)-1,FALSE),"")</f>
        <v>김해리</v>
      </c>
      <c r="D12" s="4">
        <f>IFERROR(VLOOKUP($A12,집계!$B:$AD,MATCH(D$1,집계!$2:$2,0)-1,FALSE),"")</f>
        <v>20418712</v>
      </c>
      <c r="E12" s="4" t="str">
        <f>IFERROR(VLOOKUP($A12,집계!$B:$AD,MATCH(E$1,집계!$2:$2,0)-1,FALSE),"")</f>
        <v>고강도 퍼포먼스 환경에서의 안면 홍조 진정 및 피부 장벽 보호를 위한 '마이크로바이옴 스킨-본딩 쿠션 선크림 HAERI</v>
      </c>
      <c r="F12" s="31">
        <f>IFERROR(VLOOKUP($A12,대상!$B:$AD,MATCH(F$1,대상!$1:$1,0)-1,FALSE),"")</f>
        <v>0</v>
      </c>
      <c r="G12" s="3">
        <f>IFERROR(VLOOKUP($A12,집계!$B:$AD,MATCH(G$1,집계!$2:$2,0)-1,FALSE),"")</f>
        <v>5</v>
      </c>
      <c r="H12" s="3">
        <f>IFERROR(VLOOKUP($A12,집계!$B:$AD,MATCH(H$1,집계!$2:$2,0)-1,FALSE),"")</f>
        <v>86</v>
      </c>
      <c r="I12" s="3">
        <f>IFERROR(VLOOKUP($A12,집계!$B:$AD,MATCH(I$1,집계!$2:$2,0)-1,FALSE),"")</f>
        <v>81</v>
      </c>
      <c r="J12" s="3">
        <f>IFERROR(VLOOKUP($A12,집계!$B:$AD,MATCH(J$1,집계!$2:$2,0)-1,FALSE),"")</f>
        <v>74</v>
      </c>
      <c r="K12" s="3">
        <f>IFERROR(VLOOKUP($A12,집계!$B:$AD,MATCH(K$1,집계!$2:$2,0)-1,FALSE),"")</f>
        <v>64</v>
      </c>
      <c r="L12" s="3">
        <f>IFERROR(VLOOKUP($A12,집계!$B:$AD,MATCH(L$1,집계!$2:$2,0)-1,FALSE),"")</f>
        <v>72</v>
      </c>
      <c r="M12" s="16">
        <f>IFERROR(VLOOKUP($A12,집계!$B:$AD,MATCH(M$1,집계!$2:$2,0)-1,FALSE),"")</f>
        <v>75.666666666666671</v>
      </c>
      <c r="N12" s="16">
        <f>IFERROR(VLOOKUP($A12,집계!$B:$AD,MATCH(N$1,집계!$2:$2,0)-1,FALSE),"")</f>
        <v>0</v>
      </c>
      <c r="O12" s="16">
        <f>IFERROR(VLOOKUP($A12,집계!$B:$AD,MATCH(O$1,집계!$2:$2,0)-1,FALSE),"")</f>
        <v>75.666666666666671</v>
      </c>
      <c r="P12" s="31" t="str">
        <f>IFERROR(VLOOKUP($A12,집계!$B:$AD,MATCH(P$1,집계!$2:$2,0)-1,FALSE),"")</f>
        <v/>
      </c>
    </row>
    <row r="13" spans="1:16" ht="17.100000000000001" customHeight="1" x14ac:dyDescent="0.35">
      <c r="A13" s="2">
        <v>20419831</v>
      </c>
      <c r="B13" s="4">
        <f>IFERROR(VLOOKUP($A13,집계!$B:$AD,MATCH(B$1,집계!$2:$2,0)-1,FALSE),"")</f>
        <v>48</v>
      </c>
      <c r="C13" s="4" t="str">
        <f>IFERROR(VLOOKUP($A13,집계!$B:$AD,MATCH(C$1,집계!$2:$2,0)-1,FALSE),"")</f>
        <v>이은영</v>
      </c>
      <c r="D13" s="4">
        <f>IFERROR(VLOOKUP($A13,집계!$B:$AD,MATCH(D$1,집계!$2:$2,0)-1,FALSE),"")</f>
        <v>20419831</v>
      </c>
      <c r="E13" s="4" t="str">
        <f>IFERROR(VLOOKUP($A13,집계!$B:$AD,MATCH(E$1,집계!$2:$2,0)-1,FALSE),"")</f>
        <v>시니어 생활체육 파크골프에 특화된 파크골프 전문 기능성 의류 제작</v>
      </c>
      <c r="F13" s="31">
        <f>IFERROR(VLOOKUP($A13,대상!$B:$AD,MATCH(F$1,대상!$1:$1,0)-1,FALSE),"")</f>
        <v>0</v>
      </c>
      <c r="G13" s="3">
        <f>IFERROR(VLOOKUP($A13,집계!$B:$AD,MATCH(G$1,집계!$2:$2,0)-1,FALSE),"")</f>
        <v>5</v>
      </c>
      <c r="H13" s="3">
        <f>IFERROR(VLOOKUP($A13,집계!$B:$AD,MATCH(H$1,집계!$2:$2,0)-1,FALSE),"")</f>
        <v>80</v>
      </c>
      <c r="I13" s="3">
        <f>IFERROR(VLOOKUP($A13,집계!$B:$AD,MATCH(I$1,집계!$2:$2,0)-1,FALSE),"")</f>
        <v>68</v>
      </c>
      <c r="J13" s="3">
        <f>IFERROR(VLOOKUP($A13,집계!$B:$AD,MATCH(J$1,집계!$2:$2,0)-1,FALSE),"")</f>
        <v>83</v>
      </c>
      <c r="K13" s="3">
        <f>IFERROR(VLOOKUP($A13,집계!$B:$AD,MATCH(K$1,집계!$2:$2,0)-1,FALSE),"")</f>
        <v>88</v>
      </c>
      <c r="L13" s="3">
        <f>IFERROR(VLOOKUP($A13,집계!$B:$AD,MATCH(L$1,집계!$2:$2,0)-1,FALSE),"")</f>
        <v>74</v>
      </c>
      <c r="M13" s="16">
        <f>IFERROR(VLOOKUP($A13,집계!$B:$AD,MATCH(M$1,집계!$2:$2,0)-1,FALSE),"")</f>
        <v>79</v>
      </c>
      <c r="N13" s="16">
        <f>IFERROR(VLOOKUP($A13,집계!$B:$AD,MATCH(N$1,집계!$2:$2,0)-1,FALSE),"")</f>
        <v>0</v>
      </c>
      <c r="O13" s="16">
        <f>IFERROR(VLOOKUP($A13,집계!$B:$AD,MATCH(O$1,집계!$2:$2,0)-1,FALSE),"")</f>
        <v>79</v>
      </c>
      <c r="P13" s="31" t="str">
        <f>IFERROR(VLOOKUP($A13,집계!$B:$AD,MATCH(P$1,집계!$2:$2,0)-1,FALSE),"")</f>
        <v/>
      </c>
    </row>
    <row r="14" spans="1:16" ht="17.100000000000001" customHeight="1" x14ac:dyDescent="0.35">
      <c r="A14" s="2">
        <v>20420092</v>
      </c>
      <c r="B14" s="4">
        <f>IFERROR(VLOOKUP($A14,집계!$B:$AD,MATCH(B$1,집계!$2:$2,0)-1,FALSE),"")</f>
        <v>75</v>
      </c>
      <c r="C14" s="4" t="str">
        <f>IFERROR(VLOOKUP($A14,집계!$B:$AD,MATCH(C$1,집계!$2:$2,0)-1,FALSE),"")</f>
        <v>김수지</v>
      </c>
      <c r="D14" s="4">
        <f>IFERROR(VLOOKUP($A14,집계!$B:$AD,MATCH(D$1,집계!$2:$2,0)-1,FALSE),"")</f>
        <v>20420092</v>
      </c>
      <c r="E14" s="4" t="str">
        <f>IFERROR(VLOOKUP($A14,집계!$B:$AD,MATCH(E$1,집계!$2:$2,0)-1,FALSE),"")</f>
        <v>90분 건조 브라</v>
      </c>
      <c r="F14" s="31">
        <f>IFERROR(VLOOKUP($A14,대상!$B:$AD,MATCH(F$1,대상!$1:$1,0)-1,FALSE),"")</f>
        <v>0</v>
      </c>
      <c r="G14" s="3">
        <f>IFERROR(VLOOKUP($A14,집계!$B:$AD,MATCH(G$1,집계!$2:$2,0)-1,FALSE),"")</f>
        <v>5</v>
      </c>
      <c r="H14" s="3">
        <f>IFERROR(VLOOKUP($A14,집계!$B:$AD,MATCH(H$1,집계!$2:$2,0)-1,FALSE),"")</f>
        <v>79</v>
      </c>
      <c r="I14" s="3">
        <f>IFERROR(VLOOKUP($A14,집계!$B:$AD,MATCH(I$1,집계!$2:$2,0)-1,FALSE),"")</f>
        <v>69</v>
      </c>
      <c r="J14" s="3">
        <f>IFERROR(VLOOKUP($A14,집계!$B:$AD,MATCH(J$1,집계!$2:$2,0)-1,FALSE),"")</f>
        <v>84</v>
      </c>
      <c r="K14" s="3">
        <f>IFERROR(VLOOKUP($A14,집계!$B:$AD,MATCH(K$1,집계!$2:$2,0)-1,FALSE),"")</f>
        <v>82</v>
      </c>
      <c r="L14" s="3">
        <f>IFERROR(VLOOKUP($A14,집계!$B:$AD,MATCH(L$1,집계!$2:$2,0)-1,FALSE),"")</f>
        <v>68</v>
      </c>
      <c r="M14" s="16">
        <f>IFERROR(VLOOKUP($A14,집계!$B:$AD,MATCH(M$1,집계!$2:$2,0)-1,FALSE),"")</f>
        <v>76.666666666666671</v>
      </c>
      <c r="N14" s="16">
        <f>IFERROR(VLOOKUP($A14,집계!$B:$AD,MATCH(N$1,집계!$2:$2,0)-1,FALSE),"")</f>
        <v>0</v>
      </c>
      <c r="O14" s="16">
        <f>IFERROR(VLOOKUP($A14,집계!$B:$AD,MATCH(O$1,집계!$2:$2,0)-1,FALSE),"")</f>
        <v>76.666666666666671</v>
      </c>
      <c r="P14" s="31" t="str">
        <f>IFERROR(VLOOKUP($A14,집계!$B:$AD,MATCH(P$1,집계!$2:$2,0)-1,FALSE),"")</f>
        <v/>
      </c>
    </row>
    <row r="15" spans="1:16" ht="17.100000000000001" customHeight="1" x14ac:dyDescent="0.35">
      <c r="A15" s="2">
        <v>20420487</v>
      </c>
      <c r="B15" s="4">
        <f>IFERROR(VLOOKUP($A15,집계!$B:$AD,MATCH(B$1,집계!$2:$2,0)-1,FALSE),"")</f>
        <v>69</v>
      </c>
      <c r="C15" s="4" t="str">
        <f>IFERROR(VLOOKUP($A15,집계!$B:$AD,MATCH(C$1,집계!$2:$2,0)-1,FALSE),"")</f>
        <v>임서윤</v>
      </c>
      <c r="D15" s="4">
        <f>IFERROR(VLOOKUP($A15,집계!$B:$AD,MATCH(D$1,집계!$2:$2,0)-1,FALSE),"")</f>
        <v>20420487</v>
      </c>
      <c r="E15" s="4" t="str">
        <f>IFERROR(VLOOKUP($A15,집계!$B:$AD,MATCH(E$1,집계!$2:$2,0)-1,FALSE),"")</f>
        <v>업사이클링 천연 원료 기반 복합 기능 조성물 기술을 적용한 문제성 발톱 관리 제품</v>
      </c>
      <c r="F15" s="31">
        <f>IFERROR(VLOOKUP($A15,대상!$B:$AD,MATCH(F$1,대상!$1:$1,0)-1,FALSE),"")</f>
        <v>0</v>
      </c>
      <c r="G15" s="3">
        <f>IFERROR(VLOOKUP($A15,집계!$B:$AD,MATCH(G$1,집계!$2:$2,0)-1,FALSE),"")</f>
        <v>5</v>
      </c>
      <c r="H15" s="3">
        <f>IFERROR(VLOOKUP($A15,집계!$B:$AD,MATCH(H$1,집계!$2:$2,0)-1,FALSE),"")</f>
        <v>82</v>
      </c>
      <c r="I15" s="3">
        <f>IFERROR(VLOOKUP($A15,집계!$B:$AD,MATCH(I$1,집계!$2:$2,0)-1,FALSE),"")</f>
        <v>81</v>
      </c>
      <c r="J15" s="3">
        <f>IFERROR(VLOOKUP($A15,집계!$B:$AD,MATCH(J$1,집계!$2:$2,0)-1,FALSE),"")</f>
        <v>72</v>
      </c>
      <c r="K15" s="3">
        <f>IFERROR(VLOOKUP($A15,집계!$B:$AD,MATCH(K$1,집계!$2:$2,0)-1,FALSE),"")</f>
        <v>75</v>
      </c>
      <c r="L15" s="3">
        <f>IFERROR(VLOOKUP($A15,집계!$B:$AD,MATCH(L$1,집계!$2:$2,0)-1,FALSE),"")</f>
        <v>76</v>
      </c>
      <c r="M15" s="16">
        <f>IFERROR(VLOOKUP($A15,집계!$B:$AD,MATCH(M$1,집계!$2:$2,0)-1,FALSE),"")</f>
        <v>77.333333333333329</v>
      </c>
      <c r="N15" s="16">
        <f>IFERROR(VLOOKUP($A15,집계!$B:$AD,MATCH(N$1,집계!$2:$2,0)-1,FALSE),"")</f>
        <v>0</v>
      </c>
      <c r="O15" s="16">
        <f>IFERROR(VLOOKUP($A15,집계!$B:$AD,MATCH(O$1,집계!$2:$2,0)-1,FALSE),"")</f>
        <v>77.333333333333329</v>
      </c>
      <c r="P15" s="31" t="str">
        <f>IFERROR(VLOOKUP($A15,집계!$B:$AD,MATCH(P$1,집계!$2:$2,0)-1,FALSE),"")</f>
        <v/>
      </c>
    </row>
    <row r="16" spans="1:16" ht="17.100000000000001" customHeight="1" x14ac:dyDescent="0.35">
      <c r="A16" s="2">
        <v>20420834</v>
      </c>
      <c r="B16" s="4">
        <f>IFERROR(VLOOKUP($A16,집계!$B:$AD,MATCH(B$1,집계!$2:$2,0)-1,FALSE),"")</f>
        <v>29</v>
      </c>
      <c r="C16" s="4" t="str">
        <f>IFERROR(VLOOKUP($A16,집계!$B:$AD,MATCH(C$1,집계!$2:$2,0)-1,FALSE),"")</f>
        <v>김선호</v>
      </c>
      <c r="D16" s="4">
        <f>IFERROR(VLOOKUP($A16,집계!$B:$AD,MATCH(D$1,집계!$2:$2,0)-1,FALSE),"")</f>
        <v>20420834</v>
      </c>
      <c r="E16" s="4" t="str">
        <f>IFERROR(VLOOKUP($A16,집계!$B:$AD,MATCH(E$1,집계!$2:$2,0)-1,FALSE),"")</f>
        <v>키토산 소재기반, 피부노폐물을 안전하고 효과적으로 제거할 수 있는 화장품용 미립자 소재회</v>
      </c>
      <c r="F16" s="31">
        <f>IFERROR(VLOOKUP($A16,대상!$B:$AD,MATCH(F$1,대상!$1:$1,0)-1,FALSE),"")</f>
        <v>0</v>
      </c>
      <c r="G16" s="3">
        <f>IFERROR(VLOOKUP($A16,집계!$B:$AD,MATCH(G$1,집계!$2:$2,0)-1,FALSE),"")</f>
        <v>5</v>
      </c>
      <c r="H16" s="3">
        <f>IFERROR(VLOOKUP($A16,집계!$B:$AD,MATCH(H$1,집계!$2:$2,0)-1,FALSE),"")</f>
        <v>77</v>
      </c>
      <c r="I16" s="3">
        <f>IFERROR(VLOOKUP($A16,집계!$B:$AD,MATCH(I$1,집계!$2:$2,0)-1,FALSE),"")</f>
        <v>75</v>
      </c>
      <c r="J16" s="3">
        <f>IFERROR(VLOOKUP($A16,집계!$B:$AD,MATCH(J$1,집계!$2:$2,0)-1,FALSE),"")</f>
        <v>84</v>
      </c>
      <c r="K16" s="3">
        <f>IFERROR(VLOOKUP($A16,집계!$B:$AD,MATCH(K$1,집계!$2:$2,0)-1,FALSE),"")</f>
        <v>78</v>
      </c>
      <c r="L16" s="3">
        <f>IFERROR(VLOOKUP($A16,집계!$B:$AD,MATCH(L$1,집계!$2:$2,0)-1,FALSE),"")</f>
        <v>85</v>
      </c>
      <c r="M16" s="16">
        <f>IFERROR(VLOOKUP($A16,집계!$B:$AD,MATCH(M$1,집계!$2:$2,0)-1,FALSE),"")</f>
        <v>79.666666666666671</v>
      </c>
      <c r="N16" s="16">
        <f>IFERROR(VLOOKUP($A16,집계!$B:$AD,MATCH(N$1,집계!$2:$2,0)-1,FALSE),"")</f>
        <v>2</v>
      </c>
      <c r="O16" s="16">
        <f>IFERROR(VLOOKUP($A16,집계!$B:$AD,MATCH(O$1,집계!$2:$2,0)-1,FALSE),"")</f>
        <v>81.666666666666671</v>
      </c>
      <c r="P16" s="31" t="str">
        <f>IFERROR(VLOOKUP($A16,집계!$B:$AD,MATCH(P$1,집계!$2:$2,0)-1,FALSE),"")</f>
        <v/>
      </c>
    </row>
    <row r="17" spans="1:16" ht="17.100000000000001" customHeight="1" x14ac:dyDescent="0.35">
      <c r="A17" s="2">
        <v>20421385</v>
      </c>
      <c r="B17" s="4">
        <f>IFERROR(VLOOKUP($A17,집계!$B:$AD,MATCH(B$1,집계!$2:$2,0)-1,FALSE),"")</f>
        <v>18</v>
      </c>
      <c r="C17" s="4" t="str">
        <f>IFERROR(VLOOKUP($A17,집계!$B:$AD,MATCH(C$1,집계!$2:$2,0)-1,FALSE),"")</f>
        <v>이상민</v>
      </c>
      <c r="D17" s="4">
        <f>IFERROR(VLOOKUP($A17,집계!$B:$AD,MATCH(D$1,집계!$2:$2,0)-1,FALSE),"")</f>
        <v>20421385</v>
      </c>
      <c r="E17" s="4" t="str">
        <f>IFERROR(VLOOKUP($A17,집계!$B:$AD,MATCH(E$1,집계!$2:$2,0)-1,FALSE),"")</f>
        <v>분자증류를 이용한 전자재료용 고순도 Special Chemicals 제조 (Total 8종)</v>
      </c>
      <c r="F17" s="31">
        <f>IFERROR(VLOOKUP($A17,대상!$B:$AD,MATCH(F$1,대상!$1:$1,0)-1,FALSE),"")</f>
        <v>0</v>
      </c>
      <c r="G17" s="3">
        <f>IFERROR(VLOOKUP($A17,집계!$B:$AD,MATCH(G$1,집계!$2:$2,0)-1,FALSE),"")</f>
        <v>5</v>
      </c>
      <c r="H17" s="3">
        <f>IFERROR(VLOOKUP($A17,집계!$B:$AD,MATCH(H$1,집계!$2:$2,0)-1,FALSE),"")</f>
        <v>76</v>
      </c>
      <c r="I17" s="3">
        <f>IFERROR(VLOOKUP($A17,집계!$B:$AD,MATCH(I$1,집계!$2:$2,0)-1,FALSE),"")</f>
        <v>83</v>
      </c>
      <c r="J17" s="3">
        <f>IFERROR(VLOOKUP($A17,집계!$B:$AD,MATCH(J$1,집계!$2:$2,0)-1,FALSE),"")</f>
        <v>88</v>
      </c>
      <c r="K17" s="3">
        <f>IFERROR(VLOOKUP($A17,집계!$B:$AD,MATCH(K$1,집계!$2:$2,0)-1,FALSE),"")</f>
        <v>80</v>
      </c>
      <c r="L17" s="3">
        <f>IFERROR(VLOOKUP($A17,집계!$B:$AD,MATCH(L$1,집계!$2:$2,0)-1,FALSE),"")</f>
        <v>89</v>
      </c>
      <c r="M17" s="16">
        <f>IFERROR(VLOOKUP($A17,집계!$B:$AD,MATCH(M$1,집계!$2:$2,0)-1,FALSE),"")</f>
        <v>83.666666666666671</v>
      </c>
      <c r="N17" s="16">
        <f>IFERROR(VLOOKUP($A17,집계!$B:$AD,MATCH(N$1,집계!$2:$2,0)-1,FALSE),"")</f>
        <v>0</v>
      </c>
      <c r="O17" s="16">
        <f>IFERROR(VLOOKUP($A17,집계!$B:$AD,MATCH(O$1,집계!$2:$2,0)-1,FALSE),"")</f>
        <v>83.666666666666671</v>
      </c>
      <c r="P17" s="31" t="str">
        <f>IFERROR(VLOOKUP($A17,집계!$B:$AD,MATCH(P$1,집계!$2:$2,0)-1,FALSE),"")</f>
        <v/>
      </c>
    </row>
    <row r="18" spans="1:16" ht="17.100000000000001" customHeight="1" x14ac:dyDescent="0.35">
      <c r="A18" s="2">
        <v>20421895</v>
      </c>
      <c r="B18" s="4">
        <f>IFERROR(VLOOKUP($A18,집계!$B:$AD,MATCH(B$1,집계!$2:$2,0)-1,FALSE),"")</f>
        <v>57</v>
      </c>
      <c r="C18" s="4" t="str">
        <f>IFERROR(VLOOKUP($A18,집계!$B:$AD,MATCH(C$1,집계!$2:$2,0)-1,FALSE),"")</f>
        <v>전서영</v>
      </c>
      <c r="D18" s="4">
        <f>IFERROR(VLOOKUP($A18,집계!$B:$AD,MATCH(D$1,집계!$2:$2,0)-1,FALSE),"")</f>
        <v>20421895</v>
      </c>
      <c r="E18" s="4" t="str">
        <f>IFERROR(VLOOKUP($A18,집계!$B:$AD,MATCH(E$1,집계!$2:$2,0)-1,FALSE),"")</f>
        <v>손쉽게 눌러쓰는 압출식 2 in 1 버블 토너</v>
      </c>
      <c r="F18" s="31">
        <f>IFERROR(VLOOKUP($A18,대상!$B:$AD,MATCH(F$1,대상!$1:$1,0)-1,FALSE),"")</f>
        <v>0</v>
      </c>
      <c r="G18" s="3">
        <f>IFERROR(VLOOKUP($A18,집계!$B:$AD,MATCH(G$1,집계!$2:$2,0)-1,FALSE),"")</f>
        <v>5</v>
      </c>
      <c r="H18" s="3">
        <f>IFERROR(VLOOKUP($A18,집계!$B:$AD,MATCH(H$1,집계!$2:$2,0)-1,FALSE),"")</f>
        <v>78</v>
      </c>
      <c r="I18" s="3">
        <f>IFERROR(VLOOKUP($A18,집계!$B:$AD,MATCH(I$1,집계!$2:$2,0)-1,FALSE),"")</f>
        <v>68</v>
      </c>
      <c r="J18" s="3">
        <f>IFERROR(VLOOKUP($A18,집계!$B:$AD,MATCH(J$1,집계!$2:$2,0)-1,FALSE),"")</f>
        <v>71</v>
      </c>
      <c r="K18" s="3">
        <f>IFERROR(VLOOKUP($A18,집계!$B:$AD,MATCH(K$1,집계!$2:$2,0)-1,FALSE),"")</f>
        <v>86</v>
      </c>
      <c r="L18" s="3">
        <f>IFERROR(VLOOKUP($A18,집계!$B:$AD,MATCH(L$1,집계!$2:$2,0)-1,FALSE),"")</f>
        <v>87</v>
      </c>
      <c r="M18" s="16">
        <f>IFERROR(VLOOKUP($A18,집계!$B:$AD,MATCH(M$1,집계!$2:$2,0)-1,FALSE),"")</f>
        <v>78.333333333333329</v>
      </c>
      <c r="N18" s="16">
        <f>IFERROR(VLOOKUP($A18,집계!$B:$AD,MATCH(N$1,집계!$2:$2,0)-1,FALSE),"")</f>
        <v>0</v>
      </c>
      <c r="O18" s="16">
        <f>IFERROR(VLOOKUP($A18,집계!$B:$AD,MATCH(O$1,집계!$2:$2,0)-1,FALSE),"")</f>
        <v>78.333333333333329</v>
      </c>
      <c r="P18" s="31" t="str">
        <f>IFERROR(VLOOKUP($A18,집계!$B:$AD,MATCH(P$1,집계!$2:$2,0)-1,FALSE),"")</f>
        <v/>
      </c>
    </row>
    <row r="19" spans="1:16" ht="17.100000000000001" customHeight="1" x14ac:dyDescent="0.35">
      <c r="A19" s="2">
        <v>20422874</v>
      </c>
      <c r="B19" s="4">
        <f>IFERROR(VLOOKUP($A19,집계!$B:$AD,MATCH(B$1,집계!$2:$2,0)-1,FALSE),"")</f>
        <v>92</v>
      </c>
      <c r="C19" s="4" t="str">
        <f>IFERROR(VLOOKUP($A19,집계!$B:$AD,MATCH(C$1,집계!$2:$2,0)-1,FALSE),"")</f>
        <v>전승훈</v>
      </c>
      <c r="D19" s="4">
        <f>IFERROR(VLOOKUP($A19,집계!$B:$AD,MATCH(D$1,집계!$2:$2,0)-1,FALSE),"")</f>
        <v>20422874</v>
      </c>
      <c r="E19" s="4" t="str">
        <f>IFERROR(VLOOKUP($A19,집계!$B:$AD,MATCH(E$1,집계!$2:$2,0)-1,FALSE),"")</f>
        <v>굴패각과 리싸이클 패트병을 활용한 친환경 원단 개발 및 지속가능한 의류 제작</v>
      </c>
      <c r="F19" s="31">
        <f>IFERROR(VLOOKUP($A19,대상!$B:$AD,MATCH(F$1,대상!$1:$1,0)-1,FALSE),"")</f>
        <v>0</v>
      </c>
      <c r="G19" s="3">
        <f>IFERROR(VLOOKUP($A19,집계!$B:$AD,MATCH(G$1,집계!$2:$2,0)-1,FALSE),"")</f>
        <v>5</v>
      </c>
      <c r="H19" s="3">
        <f>IFERROR(VLOOKUP($A19,집계!$B:$AD,MATCH(H$1,집계!$2:$2,0)-1,FALSE),"")</f>
        <v>70</v>
      </c>
      <c r="I19" s="3">
        <f>IFERROR(VLOOKUP($A19,집계!$B:$AD,MATCH(I$1,집계!$2:$2,0)-1,FALSE),"")</f>
        <v>73</v>
      </c>
      <c r="J19" s="3">
        <f>IFERROR(VLOOKUP($A19,집계!$B:$AD,MATCH(J$1,집계!$2:$2,0)-1,FALSE),"")</f>
        <v>75</v>
      </c>
      <c r="K19" s="3">
        <f>IFERROR(VLOOKUP($A19,집계!$B:$AD,MATCH(K$1,집계!$2:$2,0)-1,FALSE),"")</f>
        <v>74</v>
      </c>
      <c r="L19" s="3">
        <f>IFERROR(VLOOKUP($A19,집계!$B:$AD,MATCH(L$1,집계!$2:$2,0)-1,FALSE),"")</f>
        <v>80</v>
      </c>
      <c r="M19" s="16">
        <f>IFERROR(VLOOKUP($A19,집계!$B:$AD,MATCH(M$1,집계!$2:$2,0)-1,FALSE),"")</f>
        <v>74</v>
      </c>
      <c r="N19" s="16">
        <f>IFERROR(VLOOKUP($A19,집계!$B:$AD,MATCH(N$1,집계!$2:$2,0)-1,FALSE),"")</f>
        <v>0</v>
      </c>
      <c r="O19" s="16">
        <f>IFERROR(VLOOKUP($A19,집계!$B:$AD,MATCH(O$1,집계!$2:$2,0)-1,FALSE),"")</f>
        <v>74</v>
      </c>
      <c r="P19" s="31" t="str">
        <f>IFERROR(VLOOKUP($A19,집계!$B:$AD,MATCH(P$1,집계!$2:$2,0)-1,FALSE),"")</f>
        <v/>
      </c>
    </row>
    <row r="20" spans="1:16" ht="17.100000000000001" customHeight="1" x14ac:dyDescent="0.35">
      <c r="A20" s="2">
        <v>20424187</v>
      </c>
      <c r="B20" s="4">
        <f>IFERROR(VLOOKUP($A20,집계!$B:$AD,MATCH(B$1,집계!$2:$2,0)-1,FALSE),"")</f>
        <v>114</v>
      </c>
      <c r="C20" s="4" t="str">
        <f>IFERROR(VLOOKUP($A20,집계!$B:$AD,MATCH(C$1,집계!$2:$2,0)-1,FALSE),"")</f>
        <v>김담희</v>
      </c>
      <c r="D20" s="4">
        <f>IFERROR(VLOOKUP($A20,집계!$B:$AD,MATCH(D$1,집계!$2:$2,0)-1,FALSE),"")</f>
        <v>20424187</v>
      </c>
      <c r="E20" s="4" t="str">
        <f>IFERROR(VLOOKUP($A20,집계!$B:$AD,MATCH(E$1,집계!$2:$2,0)-1,FALSE),"")</f>
        <v>지게미 업사이클링 기반 지역농산물 활용 K-디저트 개발</v>
      </c>
      <c r="F20" s="31">
        <f>IFERROR(VLOOKUP($A20,대상!$B:$AD,MATCH(F$1,대상!$1:$1,0)-1,FALSE),"")</f>
        <v>0</v>
      </c>
      <c r="G20" s="3">
        <f>IFERROR(VLOOKUP($A20,집계!$B:$AD,MATCH(G$1,집계!$2:$2,0)-1,FALSE),"")</f>
        <v>5</v>
      </c>
      <c r="H20" s="3">
        <f>IFERROR(VLOOKUP($A20,집계!$B:$AD,MATCH(H$1,집계!$2:$2,0)-1,FALSE),"")</f>
        <v>68</v>
      </c>
      <c r="I20" s="3">
        <f>IFERROR(VLOOKUP($A20,집계!$B:$AD,MATCH(I$1,집계!$2:$2,0)-1,FALSE),"")</f>
        <v>79</v>
      </c>
      <c r="J20" s="3">
        <f>IFERROR(VLOOKUP($A20,집계!$B:$AD,MATCH(J$1,집계!$2:$2,0)-1,FALSE),"")</f>
        <v>69</v>
      </c>
      <c r="K20" s="3">
        <f>IFERROR(VLOOKUP($A20,집계!$B:$AD,MATCH(K$1,집계!$2:$2,0)-1,FALSE),"")</f>
        <v>72</v>
      </c>
      <c r="L20" s="3">
        <f>IFERROR(VLOOKUP($A20,집계!$B:$AD,MATCH(L$1,집계!$2:$2,0)-1,FALSE),"")</f>
        <v>65</v>
      </c>
      <c r="M20" s="16">
        <f>IFERROR(VLOOKUP($A20,집계!$B:$AD,MATCH(M$1,집계!$2:$2,0)-1,FALSE),"")</f>
        <v>69.666666666666671</v>
      </c>
      <c r="N20" s="16">
        <f>IFERROR(VLOOKUP($A20,집계!$B:$AD,MATCH(N$1,집계!$2:$2,0)-1,FALSE),"")</f>
        <v>0</v>
      </c>
      <c r="O20" s="16">
        <f>IFERROR(VLOOKUP($A20,집계!$B:$AD,MATCH(O$1,집계!$2:$2,0)-1,FALSE),"")</f>
        <v>69.666666666666671</v>
      </c>
      <c r="P20" s="31" t="str">
        <f>IFERROR(VLOOKUP($A20,집계!$B:$AD,MATCH(P$1,집계!$2:$2,0)-1,FALSE),"")</f>
        <v/>
      </c>
    </row>
    <row r="21" spans="1:16" ht="17.100000000000001" customHeight="1" x14ac:dyDescent="0.35">
      <c r="A21" s="2">
        <v>20424264</v>
      </c>
      <c r="B21" s="4">
        <f>IFERROR(VLOOKUP($A21,집계!$B:$AD,MATCH(B$1,집계!$2:$2,0)-1,FALSE),"")</f>
        <v>69</v>
      </c>
      <c r="C21" s="4" t="str">
        <f>IFERROR(VLOOKUP($A21,집계!$B:$AD,MATCH(C$1,집계!$2:$2,0)-1,FALSE),"")</f>
        <v>오누리</v>
      </c>
      <c r="D21" s="4">
        <f>IFERROR(VLOOKUP($A21,집계!$B:$AD,MATCH(D$1,집계!$2:$2,0)-1,FALSE),"")</f>
        <v>20424264</v>
      </c>
      <c r="E21" s="4" t="str">
        <f>IFERROR(VLOOKUP($A21,집계!$B:$AD,MATCH(E$1,집계!$2:$2,0)-1,FALSE),"")</f>
        <v>Changpo-Cica Relief 기반, 꽉 묶는 헤어스타일로 인한 두피 통증 완화 및 견인성 탈모 예방 쿨링 스칼프 앰플</v>
      </c>
      <c r="F21" s="31">
        <f>IFERROR(VLOOKUP($A21,대상!$B:$AD,MATCH(F$1,대상!$1:$1,0)-1,FALSE),"")</f>
        <v>0</v>
      </c>
      <c r="G21" s="3">
        <f>IFERROR(VLOOKUP($A21,집계!$B:$AD,MATCH(G$1,집계!$2:$2,0)-1,FALSE),"")</f>
        <v>5</v>
      </c>
      <c r="H21" s="3">
        <f>IFERROR(VLOOKUP($A21,집계!$B:$AD,MATCH(H$1,집계!$2:$2,0)-1,FALSE),"")</f>
        <v>71</v>
      </c>
      <c r="I21" s="3">
        <f>IFERROR(VLOOKUP($A21,집계!$B:$AD,MATCH(I$1,집계!$2:$2,0)-1,FALSE),"")</f>
        <v>79</v>
      </c>
      <c r="J21" s="3">
        <f>IFERROR(VLOOKUP($A21,집계!$B:$AD,MATCH(J$1,집계!$2:$2,0)-1,FALSE),"")</f>
        <v>76</v>
      </c>
      <c r="K21" s="3">
        <f>IFERROR(VLOOKUP($A21,집계!$B:$AD,MATCH(K$1,집계!$2:$2,0)-1,FALSE),"")</f>
        <v>68</v>
      </c>
      <c r="L21" s="3">
        <f>IFERROR(VLOOKUP($A21,집계!$B:$AD,MATCH(L$1,집계!$2:$2,0)-1,FALSE),"")</f>
        <v>84</v>
      </c>
      <c r="M21" s="16">
        <f>IFERROR(VLOOKUP($A21,집계!$B:$AD,MATCH(M$1,집계!$2:$2,0)-1,FALSE),"")</f>
        <v>75.333333333333329</v>
      </c>
      <c r="N21" s="16">
        <f>IFERROR(VLOOKUP($A21,집계!$B:$AD,MATCH(N$1,집계!$2:$2,0)-1,FALSE),"")</f>
        <v>2</v>
      </c>
      <c r="O21" s="16">
        <f>IFERROR(VLOOKUP($A21,집계!$B:$AD,MATCH(O$1,집계!$2:$2,0)-1,FALSE),"")</f>
        <v>77.333333333333329</v>
      </c>
      <c r="P21" s="31" t="str">
        <f>IFERROR(VLOOKUP($A21,집계!$B:$AD,MATCH(P$1,집계!$2:$2,0)-1,FALSE),"")</f>
        <v/>
      </c>
    </row>
    <row r="22" spans="1:16" ht="17.100000000000001" customHeight="1" x14ac:dyDescent="0.35">
      <c r="A22" s="2">
        <v>20424266</v>
      </c>
      <c r="B22" s="4">
        <f>IFERROR(VLOOKUP($A22,집계!$B:$AD,MATCH(B$1,집계!$2:$2,0)-1,FALSE),"")</f>
        <v>113</v>
      </c>
      <c r="C22" s="4" t="str">
        <f>IFERROR(VLOOKUP($A22,집계!$B:$AD,MATCH(C$1,집계!$2:$2,0)-1,FALSE),"")</f>
        <v>전미혜</v>
      </c>
      <c r="D22" s="4">
        <f>IFERROR(VLOOKUP($A22,집계!$B:$AD,MATCH(D$1,집계!$2:$2,0)-1,FALSE),"")</f>
        <v>20424266</v>
      </c>
      <c r="E22" s="4" t="str">
        <f>IFERROR(VLOOKUP($A22,집계!$B:$AD,MATCH(E$1,집계!$2:$2,0)-1,FALSE),"")</f>
        <v>AI 자가 피부진단 기반 맞춤형 화장품 제품화 및 글로벌 K-뷰티 진출</v>
      </c>
      <c r="F22" s="31">
        <f>IFERROR(VLOOKUP($A22,대상!$B:$AD,MATCH(F$1,대상!$1:$1,0)-1,FALSE),"")</f>
        <v>0</v>
      </c>
      <c r="G22" s="3">
        <f>IFERROR(VLOOKUP($A22,집계!$B:$AD,MATCH(G$1,집계!$2:$2,0)-1,FALSE),"")</f>
        <v>5</v>
      </c>
      <c r="H22" s="3">
        <f>IFERROR(VLOOKUP($A22,집계!$B:$AD,MATCH(H$1,집계!$2:$2,0)-1,FALSE),"")</f>
        <v>74</v>
      </c>
      <c r="I22" s="3">
        <f>IFERROR(VLOOKUP($A22,집계!$B:$AD,MATCH(I$1,집계!$2:$2,0)-1,FALSE),"")</f>
        <v>68</v>
      </c>
      <c r="J22" s="3">
        <f>IFERROR(VLOOKUP($A22,집계!$B:$AD,MATCH(J$1,집계!$2:$2,0)-1,FALSE),"")</f>
        <v>78</v>
      </c>
      <c r="K22" s="3">
        <f>IFERROR(VLOOKUP($A22,집계!$B:$AD,MATCH(K$1,집계!$2:$2,0)-1,FALSE),"")</f>
        <v>68</v>
      </c>
      <c r="L22" s="3">
        <f>IFERROR(VLOOKUP($A22,집계!$B:$AD,MATCH(L$1,집계!$2:$2,0)-1,FALSE),"")</f>
        <v>66</v>
      </c>
      <c r="M22" s="16">
        <f>IFERROR(VLOOKUP($A22,집계!$B:$AD,MATCH(M$1,집계!$2:$2,0)-1,FALSE),"")</f>
        <v>70</v>
      </c>
      <c r="N22" s="16">
        <f>IFERROR(VLOOKUP($A22,집계!$B:$AD,MATCH(N$1,집계!$2:$2,0)-1,FALSE),"")</f>
        <v>0</v>
      </c>
      <c r="O22" s="16">
        <f>IFERROR(VLOOKUP($A22,집계!$B:$AD,MATCH(O$1,집계!$2:$2,0)-1,FALSE),"")</f>
        <v>70</v>
      </c>
      <c r="P22" s="31" t="str">
        <f>IFERROR(VLOOKUP($A22,집계!$B:$AD,MATCH(P$1,집계!$2:$2,0)-1,FALSE),"")</f>
        <v/>
      </c>
    </row>
    <row r="23" spans="1:16" ht="17.100000000000001" customHeight="1" x14ac:dyDescent="0.35">
      <c r="A23" s="2">
        <v>20426667</v>
      </c>
      <c r="B23" s="4">
        <f>IFERROR(VLOOKUP($A23,집계!$B:$AD,MATCH(B$1,집계!$2:$2,0)-1,FALSE),"")</f>
        <v>29</v>
      </c>
      <c r="C23" s="4" t="str">
        <f>IFERROR(VLOOKUP($A23,집계!$B:$AD,MATCH(C$1,집계!$2:$2,0)-1,FALSE),"")</f>
        <v>이민재</v>
      </c>
      <c r="D23" s="4">
        <f>IFERROR(VLOOKUP($A23,집계!$B:$AD,MATCH(D$1,집계!$2:$2,0)-1,FALSE),"")</f>
        <v>20426667</v>
      </c>
      <c r="E23" s="4" t="str">
        <f>IFERROR(VLOOKUP($A23,집계!$B:$AD,MATCH(E$1,집계!$2:$2,0)-1,FALSE),"")</f>
        <v>민감성 피부를 위한 단계 조절형 분리형 스피큘 볼 스킨케어 세트</v>
      </c>
      <c r="F23" s="31">
        <f>IFERROR(VLOOKUP($A23,대상!$B:$AD,MATCH(F$1,대상!$1:$1,0)-1,FALSE),"")</f>
        <v>0</v>
      </c>
      <c r="G23" s="3">
        <f>IFERROR(VLOOKUP($A23,집계!$B:$AD,MATCH(G$1,집계!$2:$2,0)-1,FALSE),"")</f>
        <v>5</v>
      </c>
      <c r="H23" s="3">
        <f>IFERROR(VLOOKUP($A23,집계!$B:$AD,MATCH(H$1,집계!$2:$2,0)-1,FALSE),"")</f>
        <v>81</v>
      </c>
      <c r="I23" s="3">
        <f>IFERROR(VLOOKUP($A23,집계!$B:$AD,MATCH(I$1,집계!$2:$2,0)-1,FALSE),"")</f>
        <v>74</v>
      </c>
      <c r="J23" s="3">
        <f>IFERROR(VLOOKUP($A23,집계!$B:$AD,MATCH(J$1,집계!$2:$2,0)-1,FALSE),"")</f>
        <v>81</v>
      </c>
      <c r="K23" s="3">
        <f>IFERROR(VLOOKUP($A23,집계!$B:$AD,MATCH(K$1,집계!$2:$2,0)-1,FALSE),"")</f>
        <v>77</v>
      </c>
      <c r="L23" s="3">
        <f>IFERROR(VLOOKUP($A23,집계!$B:$AD,MATCH(L$1,집계!$2:$2,0)-1,FALSE),"")</f>
        <v>84</v>
      </c>
      <c r="M23" s="16">
        <f>IFERROR(VLOOKUP($A23,집계!$B:$AD,MATCH(M$1,집계!$2:$2,0)-1,FALSE),"")</f>
        <v>79.666666666666671</v>
      </c>
      <c r="N23" s="16">
        <f>IFERROR(VLOOKUP($A23,집계!$B:$AD,MATCH(N$1,집계!$2:$2,0)-1,FALSE),"")</f>
        <v>2</v>
      </c>
      <c r="O23" s="16">
        <f>IFERROR(VLOOKUP($A23,집계!$B:$AD,MATCH(O$1,집계!$2:$2,0)-1,FALSE),"")</f>
        <v>81.666666666666671</v>
      </c>
      <c r="P23" s="31" t="str">
        <f>IFERROR(VLOOKUP($A23,집계!$B:$AD,MATCH(P$1,집계!$2:$2,0)-1,FALSE),"")</f>
        <v/>
      </c>
    </row>
    <row r="24" spans="1:16" ht="17.100000000000001" customHeight="1" x14ac:dyDescent="0.35">
      <c r="A24" s="2">
        <v>20426750</v>
      </c>
      <c r="B24" s="4">
        <f>IFERROR(VLOOKUP($A24,집계!$B:$AD,MATCH(B$1,집계!$2:$2,0)-1,FALSE),"")</f>
        <v>19</v>
      </c>
      <c r="C24" s="4" t="str">
        <f>IFERROR(VLOOKUP($A24,집계!$B:$AD,MATCH(C$1,집계!$2:$2,0)-1,FALSE),"")</f>
        <v>조현지</v>
      </c>
      <c r="D24" s="4">
        <f>IFERROR(VLOOKUP($A24,집계!$B:$AD,MATCH(D$1,집계!$2:$2,0)-1,FALSE),"")</f>
        <v>20426750</v>
      </c>
      <c r="E24" s="4" t="str">
        <f>IFERROR(VLOOKUP($A24,집계!$B:$AD,MATCH(E$1,집계!$2:$2,0)-1,FALSE),"")</f>
        <v>AI 제형 최적화 기술 기반 스마트 올인원 젤과 네일숍을 위한 AI 제고 운영 관리 SaaS 솔루션, ARO NAIL</v>
      </c>
      <c r="F24" s="31">
        <f>IFERROR(VLOOKUP($A24,대상!$B:$AD,MATCH(F$1,대상!$1:$1,0)-1,FALSE),"")</f>
        <v>0</v>
      </c>
      <c r="G24" s="3">
        <f>IFERROR(VLOOKUP($A24,집계!$B:$AD,MATCH(G$1,집계!$2:$2,0)-1,FALSE),"")</f>
        <v>5</v>
      </c>
      <c r="H24" s="3">
        <f>IFERROR(VLOOKUP($A24,집계!$B:$AD,MATCH(H$1,집계!$2:$2,0)-1,FALSE),"")</f>
        <v>76</v>
      </c>
      <c r="I24" s="3">
        <f>IFERROR(VLOOKUP($A24,집계!$B:$AD,MATCH(I$1,집계!$2:$2,0)-1,FALSE),"")</f>
        <v>87</v>
      </c>
      <c r="J24" s="3">
        <f>IFERROR(VLOOKUP($A24,집계!$B:$AD,MATCH(J$1,집계!$2:$2,0)-1,FALSE),"")</f>
        <v>74</v>
      </c>
      <c r="K24" s="3">
        <f>IFERROR(VLOOKUP($A24,집계!$B:$AD,MATCH(K$1,집계!$2:$2,0)-1,FALSE),"")</f>
        <v>89</v>
      </c>
      <c r="L24" s="3">
        <f>IFERROR(VLOOKUP($A24,집계!$B:$AD,MATCH(L$1,집계!$2:$2,0)-1,FALSE),"")</f>
        <v>87</v>
      </c>
      <c r="M24" s="16">
        <f>IFERROR(VLOOKUP($A24,집계!$B:$AD,MATCH(M$1,집계!$2:$2,0)-1,FALSE),"")</f>
        <v>83.333333333333329</v>
      </c>
      <c r="N24" s="16">
        <f>IFERROR(VLOOKUP($A24,집계!$B:$AD,MATCH(N$1,집계!$2:$2,0)-1,FALSE),"")</f>
        <v>0</v>
      </c>
      <c r="O24" s="16">
        <f>IFERROR(VLOOKUP($A24,집계!$B:$AD,MATCH(O$1,집계!$2:$2,0)-1,FALSE),"")</f>
        <v>83.333333333333329</v>
      </c>
      <c r="P24" s="31" t="str">
        <f>IFERROR(VLOOKUP($A24,집계!$B:$AD,MATCH(P$1,집계!$2:$2,0)-1,FALSE),"")</f>
        <v/>
      </c>
    </row>
    <row r="25" spans="1:16" ht="17.100000000000001" customHeight="1" x14ac:dyDescent="0.35">
      <c r="A25" s="2">
        <v>20426973</v>
      </c>
      <c r="B25" s="4">
        <f>IFERROR(VLOOKUP($A25,집계!$B:$AD,MATCH(B$1,집계!$2:$2,0)-1,FALSE),"")</f>
        <v>107</v>
      </c>
      <c r="C25" s="4" t="str">
        <f>IFERROR(VLOOKUP($A25,집계!$B:$AD,MATCH(C$1,집계!$2:$2,0)-1,FALSE),"")</f>
        <v>김지호</v>
      </c>
      <c r="D25" s="4">
        <f>IFERROR(VLOOKUP($A25,집계!$B:$AD,MATCH(D$1,집계!$2:$2,0)-1,FALSE),"")</f>
        <v>20426973</v>
      </c>
      <c r="E25" s="4" t="str">
        <f>IFERROR(VLOOKUP($A25,집계!$B:$AD,MATCH(E$1,집계!$2:$2,0)-1,FALSE),"")</f>
        <v>혁신신소재 에어로젤을 활용한 응용소비재</v>
      </c>
      <c r="F25" s="31">
        <f>IFERROR(VLOOKUP($A25,대상!$B:$AD,MATCH(F$1,대상!$1:$1,0)-1,FALSE),"")</f>
        <v>0</v>
      </c>
      <c r="G25" s="3">
        <f>IFERROR(VLOOKUP($A25,집계!$B:$AD,MATCH(G$1,집계!$2:$2,0)-1,FALSE),"")</f>
        <v>5</v>
      </c>
      <c r="H25" s="3">
        <f>IFERROR(VLOOKUP($A25,집계!$B:$AD,MATCH(H$1,집계!$2:$2,0)-1,FALSE),"")</f>
        <v>73</v>
      </c>
      <c r="I25" s="3">
        <f>IFERROR(VLOOKUP($A25,집계!$B:$AD,MATCH(I$1,집계!$2:$2,0)-1,FALSE),"")</f>
        <v>66</v>
      </c>
      <c r="J25" s="3">
        <f>IFERROR(VLOOKUP($A25,집계!$B:$AD,MATCH(J$1,집계!$2:$2,0)-1,FALSE),"")</f>
        <v>67</v>
      </c>
      <c r="K25" s="3">
        <f>IFERROR(VLOOKUP($A25,집계!$B:$AD,MATCH(K$1,집계!$2:$2,0)-1,FALSE),"")</f>
        <v>77</v>
      </c>
      <c r="L25" s="3">
        <f>IFERROR(VLOOKUP($A25,집계!$B:$AD,MATCH(L$1,집계!$2:$2,0)-1,FALSE),"")</f>
        <v>69</v>
      </c>
      <c r="M25" s="16">
        <f>IFERROR(VLOOKUP($A25,집계!$B:$AD,MATCH(M$1,집계!$2:$2,0)-1,FALSE),"")</f>
        <v>69.666666666666671</v>
      </c>
      <c r="N25" s="16">
        <f>IFERROR(VLOOKUP($A25,집계!$B:$AD,MATCH(N$1,집계!$2:$2,0)-1,FALSE),"")</f>
        <v>2</v>
      </c>
      <c r="O25" s="16">
        <f>IFERROR(VLOOKUP($A25,집계!$B:$AD,MATCH(O$1,집계!$2:$2,0)-1,FALSE),"")</f>
        <v>71.666666666666671</v>
      </c>
      <c r="P25" s="31" t="str">
        <f>IFERROR(VLOOKUP($A25,집계!$B:$AD,MATCH(P$1,집계!$2:$2,0)-1,FALSE),"")</f>
        <v/>
      </c>
    </row>
    <row r="26" spans="1:16" ht="17.100000000000001" customHeight="1" x14ac:dyDescent="0.35">
      <c r="A26" s="2">
        <v>20427911</v>
      </c>
      <c r="B26" s="4">
        <f>IFERROR(VLOOKUP($A26,집계!$B:$AD,MATCH(B$1,집계!$2:$2,0)-1,FALSE),"")</f>
        <v>81</v>
      </c>
      <c r="C26" s="4" t="str">
        <f>IFERROR(VLOOKUP($A26,집계!$B:$AD,MATCH(C$1,집계!$2:$2,0)-1,FALSE),"")</f>
        <v>박지원</v>
      </c>
      <c r="D26" s="4">
        <f>IFERROR(VLOOKUP($A26,집계!$B:$AD,MATCH(D$1,집계!$2:$2,0)-1,FALSE),"")</f>
        <v>20427911</v>
      </c>
      <c r="E26" s="4" t="str">
        <f>IFERROR(VLOOKUP($A26,집계!$B:$AD,MATCH(E$1,집계!$2:$2,0)-1,FALSE),"")</f>
        <v>탄닌계 바이오 매염제 기반 저온 편물 가먼트 염색 기술이 적용된 냉·온감 기능 유지 및 색상 확장 기능의 홀가먼트 침구</v>
      </c>
      <c r="F26" s="31">
        <f>IFERROR(VLOOKUP($A26,대상!$B:$AD,MATCH(F$1,대상!$1:$1,0)-1,FALSE),"")</f>
        <v>0</v>
      </c>
      <c r="G26" s="3">
        <f>IFERROR(VLOOKUP($A26,집계!$B:$AD,MATCH(G$1,집계!$2:$2,0)-1,FALSE),"")</f>
        <v>5</v>
      </c>
      <c r="H26" s="3">
        <f>IFERROR(VLOOKUP($A26,집계!$B:$AD,MATCH(H$1,집계!$2:$2,0)-1,FALSE),"")</f>
        <v>73</v>
      </c>
      <c r="I26" s="3">
        <f>IFERROR(VLOOKUP($A26,집계!$B:$AD,MATCH(I$1,집계!$2:$2,0)-1,FALSE),"")</f>
        <v>78</v>
      </c>
      <c r="J26" s="3">
        <f>IFERROR(VLOOKUP($A26,집계!$B:$AD,MATCH(J$1,집계!$2:$2,0)-1,FALSE),"")</f>
        <v>70</v>
      </c>
      <c r="K26" s="3">
        <f>IFERROR(VLOOKUP($A26,집계!$B:$AD,MATCH(K$1,집계!$2:$2,0)-1,FALSE),"")</f>
        <v>77</v>
      </c>
      <c r="L26" s="3">
        <f>IFERROR(VLOOKUP($A26,집계!$B:$AD,MATCH(L$1,집계!$2:$2,0)-1,FALSE),"")</f>
        <v>87</v>
      </c>
      <c r="M26" s="16">
        <f>IFERROR(VLOOKUP($A26,집계!$B:$AD,MATCH(M$1,집계!$2:$2,0)-1,FALSE),"")</f>
        <v>76</v>
      </c>
      <c r="N26" s="16">
        <f>IFERROR(VLOOKUP($A26,집계!$B:$AD,MATCH(N$1,집계!$2:$2,0)-1,FALSE),"")</f>
        <v>0</v>
      </c>
      <c r="O26" s="16">
        <f>IFERROR(VLOOKUP($A26,집계!$B:$AD,MATCH(O$1,집계!$2:$2,0)-1,FALSE),"")</f>
        <v>76</v>
      </c>
      <c r="P26" s="31" t="str">
        <f>IFERROR(VLOOKUP($A26,집계!$B:$AD,MATCH(P$1,집계!$2:$2,0)-1,FALSE),"")</f>
        <v/>
      </c>
    </row>
    <row r="27" spans="1:16" ht="17.100000000000001" customHeight="1" x14ac:dyDescent="0.35">
      <c r="A27" s="2">
        <v>20428898</v>
      </c>
      <c r="B27" s="4">
        <f>IFERROR(VLOOKUP($A27,집계!$B:$AD,MATCH(B$1,집계!$2:$2,0)-1,FALSE),"")</f>
        <v>120</v>
      </c>
      <c r="C27" s="4" t="str">
        <f>IFERROR(VLOOKUP($A27,집계!$B:$AD,MATCH(C$1,집계!$2:$2,0)-1,FALSE),"")</f>
        <v>최희원</v>
      </c>
      <c r="D27" s="4">
        <f>IFERROR(VLOOKUP($A27,집계!$B:$AD,MATCH(D$1,집계!$2:$2,0)-1,FALSE),"")</f>
        <v>20428898</v>
      </c>
      <c r="E27" s="4" t="str">
        <f>IFERROR(VLOOKUP($A27,집계!$B:$AD,MATCH(E$1,집계!$2:$2,0)-1,FALSE),"")</f>
        <v>천연소재 복합배합 기반 친환경 반려동물 위생용품 개발</v>
      </c>
      <c r="F27" s="31">
        <f>IFERROR(VLOOKUP($A27,대상!$B:$AD,MATCH(F$1,대상!$1:$1,0)-1,FALSE),"")</f>
        <v>0</v>
      </c>
      <c r="G27" s="3">
        <f>IFERROR(VLOOKUP($A27,집계!$B:$AD,MATCH(G$1,집계!$2:$2,0)-1,FALSE),"")</f>
        <v>5</v>
      </c>
      <c r="H27" s="3">
        <f>IFERROR(VLOOKUP($A27,집계!$B:$AD,MATCH(H$1,집계!$2:$2,0)-1,FALSE),"")</f>
        <v>61</v>
      </c>
      <c r="I27" s="3">
        <f>IFERROR(VLOOKUP($A27,집계!$B:$AD,MATCH(I$1,집계!$2:$2,0)-1,FALSE),"")</f>
        <v>78</v>
      </c>
      <c r="J27" s="3">
        <f>IFERROR(VLOOKUP($A27,집계!$B:$AD,MATCH(J$1,집계!$2:$2,0)-1,FALSE),"")</f>
        <v>65</v>
      </c>
      <c r="K27" s="3">
        <f>IFERROR(VLOOKUP($A27,집계!$B:$AD,MATCH(K$1,집계!$2:$2,0)-1,FALSE),"")</f>
        <v>70</v>
      </c>
      <c r="L27" s="3">
        <f>IFERROR(VLOOKUP($A27,집계!$B:$AD,MATCH(L$1,집계!$2:$2,0)-1,FALSE),"")</f>
        <v>62</v>
      </c>
      <c r="M27" s="16">
        <f>IFERROR(VLOOKUP($A27,집계!$B:$AD,MATCH(M$1,집계!$2:$2,0)-1,FALSE),"")</f>
        <v>65.666666666666671</v>
      </c>
      <c r="N27" s="16">
        <f>IFERROR(VLOOKUP($A27,집계!$B:$AD,MATCH(N$1,집계!$2:$2,0)-1,FALSE),"")</f>
        <v>0</v>
      </c>
      <c r="O27" s="16">
        <f>IFERROR(VLOOKUP($A27,집계!$B:$AD,MATCH(O$1,집계!$2:$2,0)-1,FALSE),"")</f>
        <v>65.666666666666671</v>
      </c>
      <c r="P27" s="31" t="str">
        <f>IFERROR(VLOOKUP($A27,집계!$B:$AD,MATCH(P$1,집계!$2:$2,0)-1,FALSE),"")</f>
        <v/>
      </c>
    </row>
    <row r="28" spans="1:16" ht="17.100000000000001" customHeight="1" x14ac:dyDescent="0.35">
      <c r="A28" s="2">
        <v>20430515</v>
      </c>
      <c r="B28" s="4">
        <f>IFERROR(VLOOKUP($A28,집계!$B:$AD,MATCH(B$1,집계!$2:$2,0)-1,FALSE),"")</f>
        <v>33</v>
      </c>
      <c r="C28" s="4" t="str">
        <f>IFERROR(VLOOKUP($A28,집계!$B:$AD,MATCH(C$1,집계!$2:$2,0)-1,FALSE),"")</f>
        <v>김도연</v>
      </c>
      <c r="D28" s="4">
        <f>IFERROR(VLOOKUP($A28,집계!$B:$AD,MATCH(D$1,집계!$2:$2,0)-1,FALSE),"")</f>
        <v>20430515</v>
      </c>
      <c r="E28" s="4" t="str">
        <f>IFERROR(VLOOKUP($A28,집계!$B:$AD,MATCH(E$1,집계!$2:$2,0)-1,FALSE),"")</f>
        <v>소재의 한지의 느낌을 살려 수묵화 등 한국 전통의 디자인을 적용한  글로벌 진출용 친환경(타이벡) 양산</v>
      </c>
      <c r="F28" s="31">
        <f>IFERROR(VLOOKUP($A28,대상!$B:$AD,MATCH(F$1,대상!$1:$1,0)-1,FALSE),"")</f>
        <v>0</v>
      </c>
      <c r="G28" s="3">
        <f>IFERROR(VLOOKUP($A28,집계!$B:$AD,MATCH(G$1,집계!$2:$2,0)-1,FALSE),"")</f>
        <v>5</v>
      </c>
      <c r="H28" s="3">
        <f>IFERROR(VLOOKUP($A28,집계!$B:$AD,MATCH(H$1,집계!$2:$2,0)-1,FALSE),"")</f>
        <v>76</v>
      </c>
      <c r="I28" s="3">
        <f>IFERROR(VLOOKUP($A28,집계!$B:$AD,MATCH(I$1,집계!$2:$2,0)-1,FALSE),"")</f>
        <v>84</v>
      </c>
      <c r="J28" s="3">
        <f>IFERROR(VLOOKUP($A28,집계!$B:$AD,MATCH(J$1,집계!$2:$2,0)-1,FALSE),"")</f>
        <v>84</v>
      </c>
      <c r="K28" s="3">
        <f>IFERROR(VLOOKUP($A28,집계!$B:$AD,MATCH(K$1,집계!$2:$2,0)-1,FALSE),"")</f>
        <v>85</v>
      </c>
      <c r="L28" s="3">
        <f>IFERROR(VLOOKUP($A28,집계!$B:$AD,MATCH(L$1,집계!$2:$2,0)-1,FALSE),"")</f>
        <v>63</v>
      </c>
      <c r="M28" s="16">
        <f>IFERROR(VLOOKUP($A28,집계!$B:$AD,MATCH(M$1,집계!$2:$2,0)-1,FALSE),"")</f>
        <v>81.333333333333329</v>
      </c>
      <c r="N28" s="16">
        <f>IFERROR(VLOOKUP($A28,집계!$B:$AD,MATCH(N$1,집계!$2:$2,0)-1,FALSE),"")</f>
        <v>0</v>
      </c>
      <c r="O28" s="16">
        <f>IFERROR(VLOOKUP($A28,집계!$B:$AD,MATCH(O$1,집계!$2:$2,0)-1,FALSE),"")</f>
        <v>81.333333333333329</v>
      </c>
      <c r="P28" s="31" t="str">
        <f>IFERROR(VLOOKUP($A28,집계!$B:$AD,MATCH(P$1,집계!$2:$2,0)-1,FALSE),"")</f>
        <v/>
      </c>
    </row>
    <row r="29" spans="1:16" ht="17.100000000000001" customHeight="1" x14ac:dyDescent="0.35">
      <c r="A29" s="2">
        <v>20430698</v>
      </c>
      <c r="B29" s="4">
        <f>IFERROR(VLOOKUP($A29,집계!$B:$AD,MATCH(B$1,집계!$2:$2,0)-1,FALSE),"")</f>
        <v>103</v>
      </c>
      <c r="C29" s="4" t="str">
        <f>IFERROR(VLOOKUP($A29,집계!$B:$AD,MATCH(C$1,집계!$2:$2,0)-1,FALSE),"")</f>
        <v>박아영</v>
      </c>
      <c r="D29" s="4">
        <f>IFERROR(VLOOKUP($A29,집계!$B:$AD,MATCH(D$1,집계!$2:$2,0)-1,FALSE),"")</f>
        <v>20430698</v>
      </c>
      <c r="E29" s="4" t="str">
        <f>IFERROR(VLOOKUP($A29,집계!$B:$AD,MATCH(E$1,집계!$2:$2,0)-1,FALSE),"")</f>
        <v>그래핀 복합 원사 기술이 적용된 항균·소취 기능의 쾌적한 수면 환경을 제공하는 기능성 침구 제품</v>
      </c>
      <c r="F29" s="31">
        <f>IFERROR(VLOOKUP($A29,대상!$B:$AD,MATCH(F$1,대상!$1:$1,0)-1,FALSE),"")</f>
        <v>0</v>
      </c>
      <c r="G29" s="3">
        <f>IFERROR(VLOOKUP($A29,집계!$B:$AD,MATCH(G$1,집계!$2:$2,0)-1,FALSE),"")</f>
        <v>5</v>
      </c>
      <c r="H29" s="3">
        <f>IFERROR(VLOOKUP($A29,집계!$B:$AD,MATCH(H$1,집계!$2:$2,0)-1,FALSE),"")</f>
        <v>81</v>
      </c>
      <c r="I29" s="3">
        <f>IFERROR(VLOOKUP($A29,집계!$B:$AD,MATCH(I$1,집계!$2:$2,0)-1,FALSE),"")</f>
        <v>78</v>
      </c>
      <c r="J29" s="3">
        <f>IFERROR(VLOOKUP($A29,집계!$B:$AD,MATCH(J$1,집계!$2:$2,0)-1,FALSE),"")</f>
        <v>66</v>
      </c>
      <c r="K29" s="3">
        <f>IFERROR(VLOOKUP($A29,집계!$B:$AD,MATCH(K$1,집계!$2:$2,0)-1,FALSE),"")</f>
        <v>73</v>
      </c>
      <c r="L29" s="3">
        <f>IFERROR(VLOOKUP($A29,집계!$B:$AD,MATCH(L$1,집계!$2:$2,0)-1,FALSE),"")</f>
        <v>67</v>
      </c>
      <c r="M29" s="16">
        <f>IFERROR(VLOOKUP($A29,집계!$B:$AD,MATCH(M$1,집계!$2:$2,0)-1,FALSE),"")</f>
        <v>72.666666666666671</v>
      </c>
      <c r="N29" s="16">
        <f>IFERROR(VLOOKUP($A29,집계!$B:$AD,MATCH(N$1,집계!$2:$2,0)-1,FALSE),"")</f>
        <v>0</v>
      </c>
      <c r="O29" s="16">
        <f>IFERROR(VLOOKUP($A29,집계!$B:$AD,MATCH(O$1,집계!$2:$2,0)-1,FALSE),"")</f>
        <v>72.666666666666671</v>
      </c>
      <c r="P29" s="31" t="str">
        <f>IFERROR(VLOOKUP($A29,집계!$B:$AD,MATCH(P$1,집계!$2:$2,0)-1,FALSE),"")</f>
        <v/>
      </c>
    </row>
    <row r="30" spans="1:16" ht="17.100000000000001" customHeight="1" x14ac:dyDescent="0.35">
      <c r="A30" s="2">
        <v>20430941</v>
      </c>
      <c r="B30" s="4">
        <f>IFERROR(VLOOKUP($A30,집계!$B:$AD,MATCH(B$1,집계!$2:$2,0)-1,FALSE),"")</f>
        <v>33</v>
      </c>
      <c r="C30" s="4" t="str">
        <f>IFERROR(VLOOKUP($A30,집계!$B:$AD,MATCH(C$1,집계!$2:$2,0)-1,FALSE),"")</f>
        <v>기근혜</v>
      </c>
      <c r="D30" s="4">
        <f>IFERROR(VLOOKUP($A30,집계!$B:$AD,MATCH(D$1,집계!$2:$2,0)-1,FALSE),"")</f>
        <v>20430941</v>
      </c>
      <c r="E30" s="4" t="str">
        <f>IFERROR(VLOOKUP($A30,집계!$B:$AD,MATCH(E$1,집계!$2:$2,0)-1,FALSE),"")</f>
        <v>버려지는 농업 부산물을 고기능 원료로 전환하고 에어리스 구조로 위생적이고 깔끔한 사용감을 구현한 클렌징 밤</v>
      </c>
      <c r="F30" s="31">
        <f>IFERROR(VLOOKUP($A30,대상!$B:$AD,MATCH(F$1,대상!$1:$1,0)-1,FALSE),"")</f>
        <v>0</v>
      </c>
      <c r="G30" s="3">
        <f>IFERROR(VLOOKUP($A30,집계!$B:$AD,MATCH(G$1,집계!$2:$2,0)-1,FALSE),"")</f>
        <v>5</v>
      </c>
      <c r="H30" s="3">
        <f>IFERROR(VLOOKUP($A30,집계!$B:$AD,MATCH(H$1,집계!$2:$2,0)-1,FALSE),"")</f>
        <v>83</v>
      </c>
      <c r="I30" s="3">
        <f>IFERROR(VLOOKUP($A30,집계!$B:$AD,MATCH(I$1,집계!$2:$2,0)-1,FALSE),"")</f>
        <v>85</v>
      </c>
      <c r="J30" s="3">
        <f>IFERROR(VLOOKUP($A30,집계!$B:$AD,MATCH(J$1,집계!$2:$2,0)-1,FALSE),"")</f>
        <v>69</v>
      </c>
      <c r="K30" s="3">
        <f>IFERROR(VLOOKUP($A30,집계!$B:$AD,MATCH(K$1,집계!$2:$2,0)-1,FALSE),"")</f>
        <v>78</v>
      </c>
      <c r="L30" s="3">
        <f>IFERROR(VLOOKUP($A30,집계!$B:$AD,MATCH(L$1,집계!$2:$2,0)-1,FALSE),"")</f>
        <v>83</v>
      </c>
      <c r="M30" s="16">
        <f>IFERROR(VLOOKUP($A30,집계!$B:$AD,MATCH(M$1,집계!$2:$2,0)-1,FALSE),"")</f>
        <v>81.333333333333329</v>
      </c>
      <c r="N30" s="16">
        <f>IFERROR(VLOOKUP($A30,집계!$B:$AD,MATCH(N$1,집계!$2:$2,0)-1,FALSE),"")</f>
        <v>0</v>
      </c>
      <c r="O30" s="16">
        <f>IFERROR(VLOOKUP($A30,집계!$B:$AD,MATCH(O$1,집계!$2:$2,0)-1,FALSE),"")</f>
        <v>81.333333333333329</v>
      </c>
      <c r="P30" s="31" t="str">
        <f>IFERROR(VLOOKUP($A30,집계!$B:$AD,MATCH(P$1,집계!$2:$2,0)-1,FALSE),"")</f>
        <v/>
      </c>
    </row>
    <row r="31" spans="1:16" ht="17.100000000000001" customHeight="1" x14ac:dyDescent="0.35">
      <c r="A31" s="2">
        <v>20432239</v>
      </c>
      <c r="B31" s="4">
        <f>IFERROR(VLOOKUP($A31,집계!$B:$AD,MATCH(B$1,집계!$2:$2,0)-1,FALSE),"")</f>
        <v>57</v>
      </c>
      <c r="C31" s="4" t="str">
        <f>IFERROR(VLOOKUP($A31,집계!$B:$AD,MATCH(C$1,집계!$2:$2,0)-1,FALSE),"")</f>
        <v>문규리</v>
      </c>
      <c r="D31" s="4">
        <f>IFERROR(VLOOKUP($A31,집계!$B:$AD,MATCH(D$1,집계!$2:$2,0)-1,FALSE),"")</f>
        <v>20432239</v>
      </c>
      <c r="E31" s="4" t="str">
        <f>IFERROR(VLOOKUP($A31,집계!$B:$AD,MATCH(E$1,집계!$2:$2,0)-1,FALSE),"")</f>
        <v>플라스틱 업사이클링 기술이 적용된 셀프케어 기능의 홈 퍼머넌트 키트</v>
      </c>
      <c r="F31" s="31">
        <f>IFERROR(VLOOKUP($A31,대상!$B:$AD,MATCH(F$1,대상!$1:$1,0)-1,FALSE),"")</f>
        <v>0</v>
      </c>
      <c r="G31" s="3">
        <f>IFERROR(VLOOKUP($A31,집계!$B:$AD,MATCH(G$1,집계!$2:$2,0)-1,FALSE),"")</f>
        <v>5</v>
      </c>
      <c r="H31" s="3">
        <f>IFERROR(VLOOKUP($A31,집계!$B:$AD,MATCH(H$1,집계!$2:$2,0)-1,FALSE),"")</f>
        <v>76</v>
      </c>
      <c r="I31" s="3">
        <f>IFERROR(VLOOKUP($A31,집계!$B:$AD,MATCH(I$1,집계!$2:$2,0)-1,FALSE),"")</f>
        <v>83</v>
      </c>
      <c r="J31" s="3">
        <f>IFERROR(VLOOKUP($A31,집계!$B:$AD,MATCH(J$1,집계!$2:$2,0)-1,FALSE),"")</f>
        <v>76</v>
      </c>
      <c r="K31" s="3">
        <f>IFERROR(VLOOKUP($A31,집계!$B:$AD,MATCH(K$1,집계!$2:$2,0)-1,FALSE),"")</f>
        <v>76</v>
      </c>
      <c r="L31" s="3">
        <f>IFERROR(VLOOKUP($A31,집계!$B:$AD,MATCH(L$1,집계!$2:$2,0)-1,FALSE),"")</f>
        <v>83</v>
      </c>
      <c r="M31" s="16">
        <f>IFERROR(VLOOKUP($A31,집계!$B:$AD,MATCH(M$1,집계!$2:$2,0)-1,FALSE),"")</f>
        <v>78.333333333333329</v>
      </c>
      <c r="N31" s="16">
        <f>IFERROR(VLOOKUP($A31,집계!$B:$AD,MATCH(N$1,집계!$2:$2,0)-1,FALSE),"")</f>
        <v>0</v>
      </c>
      <c r="O31" s="16">
        <f>IFERROR(VLOOKUP($A31,집계!$B:$AD,MATCH(O$1,집계!$2:$2,0)-1,FALSE),"")</f>
        <v>78.333333333333329</v>
      </c>
      <c r="P31" s="31" t="str">
        <f>IFERROR(VLOOKUP($A31,집계!$B:$AD,MATCH(P$1,집계!$2:$2,0)-1,FALSE),"")</f>
        <v/>
      </c>
    </row>
    <row r="32" spans="1:16" ht="17.100000000000001" customHeight="1" x14ac:dyDescent="0.35">
      <c r="A32" s="2">
        <v>20432665</v>
      </c>
      <c r="B32" s="4">
        <f>IFERROR(VLOOKUP($A32,집계!$B:$AD,MATCH(B$1,집계!$2:$2,0)-1,FALSE),"")</f>
        <v>40</v>
      </c>
      <c r="C32" s="4" t="str">
        <f>IFERROR(VLOOKUP($A32,집계!$B:$AD,MATCH(C$1,집계!$2:$2,0)-1,FALSE),"")</f>
        <v>최현</v>
      </c>
      <c r="D32" s="4">
        <f>IFERROR(VLOOKUP($A32,집계!$B:$AD,MATCH(D$1,집계!$2:$2,0)-1,FALSE),"")</f>
        <v>20432665</v>
      </c>
      <c r="E32" s="4" t="str">
        <f>IFERROR(VLOOKUP($A32,집계!$B:$AD,MATCH(E$1,집계!$2:$2,0)-1,FALSE),"")</f>
        <v>워크웨어의 진화에 맞춘 툴벨트의 세대교체, 모듈러 테크기어 ‘T.C.R.P.’</v>
      </c>
      <c r="F32" s="31">
        <f>IFERROR(VLOOKUP($A32,대상!$B:$AD,MATCH(F$1,대상!$1:$1,0)-1,FALSE),"")</f>
        <v>0</v>
      </c>
      <c r="G32" s="3">
        <f>IFERROR(VLOOKUP($A32,집계!$B:$AD,MATCH(G$1,집계!$2:$2,0)-1,FALSE),"")</f>
        <v>5</v>
      </c>
      <c r="H32" s="3">
        <f>IFERROR(VLOOKUP($A32,집계!$B:$AD,MATCH(H$1,집계!$2:$2,0)-1,FALSE),"")</f>
        <v>79</v>
      </c>
      <c r="I32" s="3">
        <f>IFERROR(VLOOKUP($A32,집계!$B:$AD,MATCH(I$1,집계!$2:$2,0)-1,FALSE),"")</f>
        <v>82</v>
      </c>
      <c r="J32" s="3">
        <f>IFERROR(VLOOKUP($A32,집계!$B:$AD,MATCH(J$1,집계!$2:$2,0)-1,FALSE),"")</f>
        <v>79</v>
      </c>
      <c r="K32" s="3">
        <f>IFERROR(VLOOKUP($A32,집계!$B:$AD,MATCH(K$1,집계!$2:$2,0)-1,FALSE),"")</f>
        <v>71</v>
      </c>
      <c r="L32" s="3">
        <f>IFERROR(VLOOKUP($A32,집계!$B:$AD,MATCH(L$1,집계!$2:$2,0)-1,FALSE),"")</f>
        <v>85</v>
      </c>
      <c r="M32" s="16">
        <f>IFERROR(VLOOKUP($A32,집계!$B:$AD,MATCH(M$1,집계!$2:$2,0)-1,FALSE),"")</f>
        <v>80</v>
      </c>
      <c r="N32" s="16">
        <f>IFERROR(VLOOKUP($A32,집계!$B:$AD,MATCH(N$1,집계!$2:$2,0)-1,FALSE),"")</f>
        <v>0</v>
      </c>
      <c r="O32" s="16">
        <f>IFERROR(VLOOKUP($A32,집계!$B:$AD,MATCH(O$1,집계!$2:$2,0)-1,FALSE),"")</f>
        <v>80</v>
      </c>
      <c r="P32" s="31" t="str">
        <f>IFERROR(VLOOKUP($A32,집계!$B:$AD,MATCH(P$1,집계!$2:$2,0)-1,FALSE),"")</f>
        <v/>
      </c>
    </row>
    <row r="33" spans="1:16" ht="17.100000000000001" customHeight="1" x14ac:dyDescent="0.35">
      <c r="A33" s="2">
        <v>20439838</v>
      </c>
      <c r="B33" s="4">
        <f>IFERROR(VLOOKUP($A33,집계!$B:$AD,MATCH(B$1,집계!$2:$2,0)-1,FALSE),"")</f>
        <v>116</v>
      </c>
      <c r="C33" s="4" t="str">
        <f>IFERROR(VLOOKUP($A33,집계!$B:$AD,MATCH(C$1,집계!$2:$2,0)-1,FALSE),"")</f>
        <v>김기범</v>
      </c>
      <c r="D33" s="4">
        <f>IFERROR(VLOOKUP($A33,집계!$B:$AD,MATCH(D$1,집계!$2:$2,0)-1,FALSE),"")</f>
        <v>20439838</v>
      </c>
      <c r="E33" s="4" t="str">
        <f>IFERROR(VLOOKUP($A33,집계!$B:$AD,MATCH(E$1,집계!$2:$2,0)-1,FALSE),"")</f>
        <v>핏 중심 기능성 러닝웨어 브랜드 개발 및 사업화</v>
      </c>
      <c r="F33" s="31">
        <f>IFERROR(VLOOKUP($A33,대상!$B:$AD,MATCH(F$1,대상!$1:$1,0)-1,FALSE),"")</f>
        <v>0</v>
      </c>
      <c r="G33" s="3">
        <f>IFERROR(VLOOKUP($A33,집계!$B:$AD,MATCH(G$1,집계!$2:$2,0)-1,FALSE),"")</f>
        <v>5</v>
      </c>
      <c r="H33" s="3">
        <f>IFERROR(VLOOKUP($A33,집계!$B:$AD,MATCH(H$1,집계!$2:$2,0)-1,FALSE),"")</f>
        <v>63</v>
      </c>
      <c r="I33" s="3">
        <f>IFERROR(VLOOKUP($A33,집계!$B:$AD,MATCH(I$1,집계!$2:$2,0)-1,FALSE),"")</f>
        <v>69</v>
      </c>
      <c r="J33" s="3">
        <f>IFERROR(VLOOKUP($A33,집계!$B:$AD,MATCH(J$1,집계!$2:$2,0)-1,FALSE),"")</f>
        <v>65</v>
      </c>
      <c r="K33" s="3">
        <f>IFERROR(VLOOKUP($A33,집계!$B:$AD,MATCH(K$1,집계!$2:$2,0)-1,FALSE),"")</f>
        <v>70</v>
      </c>
      <c r="L33" s="3">
        <f>IFERROR(VLOOKUP($A33,집계!$B:$AD,MATCH(L$1,집계!$2:$2,0)-1,FALSE),"")</f>
        <v>72</v>
      </c>
      <c r="M33" s="16">
        <f>IFERROR(VLOOKUP($A33,집계!$B:$AD,MATCH(M$1,집계!$2:$2,0)-1,FALSE),"")</f>
        <v>68</v>
      </c>
      <c r="N33" s="16">
        <f>IFERROR(VLOOKUP($A33,집계!$B:$AD,MATCH(N$1,집계!$2:$2,0)-1,FALSE),"")</f>
        <v>0</v>
      </c>
      <c r="O33" s="16">
        <f>IFERROR(VLOOKUP($A33,집계!$B:$AD,MATCH(O$1,집계!$2:$2,0)-1,FALSE),"")</f>
        <v>68</v>
      </c>
      <c r="P33" s="31" t="str">
        <f>IFERROR(VLOOKUP($A33,집계!$B:$AD,MATCH(P$1,집계!$2:$2,0)-1,FALSE),"")</f>
        <v/>
      </c>
    </row>
    <row r="34" spans="1:16" ht="17.100000000000001" customHeight="1" x14ac:dyDescent="0.35">
      <c r="A34" s="2">
        <v>20440097</v>
      </c>
      <c r="B34" s="4">
        <f>IFERROR(VLOOKUP($A34,집계!$B:$AD,MATCH(B$1,집계!$2:$2,0)-1,FALSE),"")</f>
        <v>81</v>
      </c>
      <c r="C34" s="4" t="str">
        <f>IFERROR(VLOOKUP($A34,집계!$B:$AD,MATCH(C$1,집계!$2:$2,0)-1,FALSE),"")</f>
        <v>박소슬</v>
      </c>
      <c r="D34" s="4">
        <f>IFERROR(VLOOKUP($A34,집계!$B:$AD,MATCH(D$1,집계!$2:$2,0)-1,FALSE),"")</f>
        <v>20440097</v>
      </c>
      <c r="E34" s="4" t="str">
        <f>IFERROR(VLOOKUP($A34,집계!$B:$AD,MATCH(E$1,집계!$2:$2,0)-1,FALSE),"")</f>
        <v>더마리프(DermaLeaf)</v>
      </c>
      <c r="F34" s="31">
        <f>IFERROR(VLOOKUP($A34,대상!$B:$AD,MATCH(F$1,대상!$1:$1,0)-1,FALSE),"")</f>
        <v>0</v>
      </c>
      <c r="G34" s="3">
        <f>IFERROR(VLOOKUP($A34,집계!$B:$AD,MATCH(G$1,집계!$2:$2,0)-1,FALSE),"")</f>
        <v>5</v>
      </c>
      <c r="H34" s="3">
        <f>IFERROR(VLOOKUP($A34,집계!$B:$AD,MATCH(H$1,집계!$2:$2,0)-1,FALSE),"")</f>
        <v>81</v>
      </c>
      <c r="I34" s="3">
        <f>IFERROR(VLOOKUP($A34,집계!$B:$AD,MATCH(I$1,집계!$2:$2,0)-1,FALSE),"")</f>
        <v>76</v>
      </c>
      <c r="J34" s="3">
        <f>IFERROR(VLOOKUP($A34,집계!$B:$AD,MATCH(J$1,집계!$2:$2,0)-1,FALSE),"")</f>
        <v>72</v>
      </c>
      <c r="K34" s="3">
        <f>IFERROR(VLOOKUP($A34,집계!$B:$AD,MATCH(K$1,집계!$2:$2,0)-1,FALSE),"")</f>
        <v>73</v>
      </c>
      <c r="L34" s="3">
        <f>IFERROR(VLOOKUP($A34,집계!$B:$AD,MATCH(L$1,집계!$2:$2,0)-1,FALSE),"")</f>
        <v>79</v>
      </c>
      <c r="M34" s="16">
        <f>IFERROR(VLOOKUP($A34,집계!$B:$AD,MATCH(M$1,집계!$2:$2,0)-1,FALSE),"")</f>
        <v>76</v>
      </c>
      <c r="N34" s="16">
        <f>IFERROR(VLOOKUP($A34,집계!$B:$AD,MATCH(N$1,집계!$2:$2,0)-1,FALSE),"")</f>
        <v>0</v>
      </c>
      <c r="O34" s="16">
        <f>IFERROR(VLOOKUP($A34,집계!$B:$AD,MATCH(O$1,집계!$2:$2,0)-1,FALSE),"")</f>
        <v>76</v>
      </c>
      <c r="P34" s="31" t="str">
        <f>IFERROR(VLOOKUP($A34,집계!$B:$AD,MATCH(P$1,집계!$2:$2,0)-1,FALSE),"")</f>
        <v/>
      </c>
    </row>
    <row r="35" spans="1:16" ht="17.100000000000001" customHeight="1" x14ac:dyDescent="0.35">
      <c r="A35" s="2">
        <v>20440240</v>
      </c>
      <c r="B35" s="4">
        <f>IFERROR(VLOOKUP($A35,집계!$B:$AD,MATCH(B$1,집계!$2:$2,0)-1,FALSE),"")</f>
        <v>19</v>
      </c>
      <c r="C35" s="4" t="str">
        <f>IFERROR(VLOOKUP($A35,집계!$B:$AD,MATCH(C$1,집계!$2:$2,0)-1,FALSE),"")</f>
        <v>주한나</v>
      </c>
      <c r="D35" s="4">
        <f>IFERROR(VLOOKUP($A35,집계!$B:$AD,MATCH(D$1,집계!$2:$2,0)-1,FALSE),"")</f>
        <v>20440240</v>
      </c>
      <c r="E35" s="4" t="str">
        <f>IFERROR(VLOOKUP($A35,집계!$B:$AD,MATCH(E$1,집계!$2:$2,0)-1,FALSE),"")</f>
        <v>살균·세정 기능이 결합된 듀얼 챔버 2in1 플러셔블 위생 티슈 '털썩&amp;뽀득'</v>
      </c>
      <c r="F35" s="31">
        <f>IFERROR(VLOOKUP($A35,대상!$B:$AD,MATCH(F$1,대상!$1:$1,0)-1,FALSE),"")</f>
        <v>0</v>
      </c>
      <c r="G35" s="3">
        <f>IFERROR(VLOOKUP($A35,집계!$B:$AD,MATCH(G$1,집계!$2:$2,0)-1,FALSE),"")</f>
        <v>5</v>
      </c>
      <c r="H35" s="3">
        <f>IFERROR(VLOOKUP($A35,집계!$B:$AD,MATCH(H$1,집계!$2:$2,0)-1,FALSE),"")</f>
        <v>83</v>
      </c>
      <c r="I35" s="3">
        <f>IFERROR(VLOOKUP($A35,집계!$B:$AD,MATCH(I$1,집계!$2:$2,0)-1,FALSE),"")</f>
        <v>78</v>
      </c>
      <c r="J35" s="3">
        <f>IFERROR(VLOOKUP($A35,집계!$B:$AD,MATCH(J$1,집계!$2:$2,0)-1,FALSE),"")</f>
        <v>85</v>
      </c>
      <c r="K35" s="3">
        <f>IFERROR(VLOOKUP($A35,집계!$B:$AD,MATCH(K$1,집계!$2:$2,0)-1,FALSE),"")</f>
        <v>83</v>
      </c>
      <c r="L35" s="3">
        <f>IFERROR(VLOOKUP($A35,집계!$B:$AD,MATCH(L$1,집계!$2:$2,0)-1,FALSE),"")</f>
        <v>84</v>
      </c>
      <c r="M35" s="16">
        <f>IFERROR(VLOOKUP($A35,집계!$B:$AD,MATCH(M$1,집계!$2:$2,0)-1,FALSE),"")</f>
        <v>83.333333333333329</v>
      </c>
      <c r="N35" s="16">
        <f>IFERROR(VLOOKUP($A35,집계!$B:$AD,MATCH(N$1,집계!$2:$2,0)-1,FALSE),"")</f>
        <v>0</v>
      </c>
      <c r="O35" s="16">
        <f>IFERROR(VLOOKUP($A35,집계!$B:$AD,MATCH(O$1,집계!$2:$2,0)-1,FALSE),"")</f>
        <v>83.333333333333329</v>
      </c>
      <c r="P35" s="31" t="str">
        <f>IFERROR(VLOOKUP($A35,집계!$B:$AD,MATCH(P$1,집계!$2:$2,0)-1,FALSE),"")</f>
        <v/>
      </c>
    </row>
    <row r="36" spans="1:16" ht="17.100000000000001" customHeight="1" x14ac:dyDescent="0.35">
      <c r="A36" s="2">
        <v>20421393</v>
      </c>
      <c r="B36" s="4" t="str">
        <f>IFERROR(VLOOKUP($A36,집계!$B:$AD,MATCH(B$1,집계!$2:$2,0)-1,FALSE),"")</f>
        <v/>
      </c>
      <c r="C36" s="4" t="str">
        <f>IFERROR(VLOOKUP($A36,집계!$B:$AD,MATCH(C$1,집계!$2:$2,0)-1,FALSE),"")</f>
        <v>류영대</v>
      </c>
      <c r="D36" s="4">
        <f>IFERROR(VLOOKUP($A36,집계!$B:$AD,MATCH(D$1,집계!$2:$2,0)-1,FALSE),"")</f>
        <v>20421393</v>
      </c>
      <c r="E36" s="4" t="str">
        <f>IFERROR(VLOOKUP($A36,집계!$B:$AD,MATCH(E$1,집계!$2:$2,0)-1,FALSE),"")</f>
        <v>AI, IOT 다중시설 환경 위생관리 솔루션</v>
      </c>
      <c r="F36" s="31" t="str">
        <f>IFERROR(VLOOKUP($A36,대상!$B:$AD,MATCH(F$1,대상!$1:$1,0)-1,FALSE),"")</f>
        <v>요건탈락</v>
      </c>
      <c r="G36" s="3">
        <f>IFERROR(VLOOKUP($A36,집계!$B:$AD,MATCH(G$1,집계!$2:$2,0)-1,FALSE),"")</f>
        <v>5</v>
      </c>
      <c r="H36" s="3" t="str">
        <f>IFERROR(VLOOKUP($A36,집계!$B:$AD,MATCH(H$1,집계!$2:$2,0)-1,FALSE),"")</f>
        <v/>
      </c>
      <c r="I36" s="3" t="str">
        <f>IFERROR(VLOOKUP($A36,집계!$B:$AD,MATCH(I$1,집계!$2:$2,0)-1,FALSE),"")</f>
        <v/>
      </c>
      <c r="J36" s="3" t="str">
        <f>IFERROR(VLOOKUP($A36,집계!$B:$AD,MATCH(J$1,집계!$2:$2,0)-1,FALSE),"")</f>
        <v/>
      </c>
      <c r="K36" s="3" t="str">
        <f>IFERROR(VLOOKUP($A36,집계!$B:$AD,MATCH(K$1,집계!$2:$2,0)-1,FALSE),"")</f>
        <v/>
      </c>
      <c r="L36" s="3" t="str">
        <f>IFERROR(VLOOKUP($A36,집계!$B:$AD,MATCH(L$1,집계!$2:$2,0)-1,FALSE),"")</f>
        <v/>
      </c>
      <c r="M36" s="16">
        <f>IFERROR(VLOOKUP($A36,집계!$B:$AD,MATCH(M$1,집계!$2:$2,0)-1,FALSE),"")</f>
        <v>0</v>
      </c>
      <c r="N36" s="16">
        <f>IFERROR(VLOOKUP($A36,집계!$B:$AD,MATCH(N$1,집계!$2:$2,0)-1,FALSE),"")</f>
        <v>0</v>
      </c>
      <c r="O36" s="16">
        <f>IFERROR(VLOOKUP($A36,집계!$B:$AD,MATCH(O$1,집계!$2:$2,0)-1,FALSE),"")</f>
        <v>0</v>
      </c>
      <c r="P36" s="31" t="str">
        <f>IFERROR(VLOOKUP($A36,집계!$B:$AD,MATCH(P$1,집계!$2:$2,0)-1,FALSE),"")</f>
        <v/>
      </c>
    </row>
    <row r="37" spans="1:16" ht="17.100000000000001" customHeight="1" x14ac:dyDescent="0.35">
      <c r="A37" s="2">
        <v>20400362</v>
      </c>
      <c r="B37" s="4">
        <f>IFERROR(VLOOKUP($A37,집계!$B:$AD,MATCH(B$1,집계!$2:$2,0)-1,FALSE),"")</f>
        <v>21</v>
      </c>
      <c r="C37" s="4" t="str">
        <f>IFERROR(VLOOKUP($A37,집계!$B:$AD,MATCH(C$1,집계!$2:$2,0)-1,FALSE),"")</f>
        <v>이승주</v>
      </c>
      <c r="D37" s="4">
        <f>IFERROR(VLOOKUP($A37,집계!$B:$AD,MATCH(D$1,집계!$2:$2,0)-1,FALSE),"")</f>
        <v>20400362</v>
      </c>
      <c r="E37" s="4" t="str">
        <f>IFERROR(VLOOKUP($A37,집계!$B:$AD,MATCH(E$1,집계!$2:$2,0)-1,FALSE),"")</f>
        <v>고기능성 반려견 퀵-레이스 하네스</v>
      </c>
      <c r="F37" s="31">
        <f>IFERROR(VLOOKUP($A37,대상!$B:$AD,MATCH(F$1,대상!$1:$1,0)-1,FALSE),"")</f>
        <v>0</v>
      </c>
      <c r="G37" s="3">
        <f>IFERROR(VLOOKUP($A37,집계!$B:$AD,MATCH(G$1,집계!$2:$2,0)-1,FALSE),"")</f>
        <v>5</v>
      </c>
      <c r="H37" s="3">
        <f>IFERROR(VLOOKUP($A37,집계!$B:$AD,MATCH(H$1,집계!$2:$2,0)-1,FALSE),"")</f>
        <v>83</v>
      </c>
      <c r="I37" s="3">
        <f>IFERROR(VLOOKUP($A37,집계!$B:$AD,MATCH(I$1,집계!$2:$2,0)-1,FALSE),"")</f>
        <v>83</v>
      </c>
      <c r="J37" s="3">
        <f>IFERROR(VLOOKUP($A37,집계!$B:$AD,MATCH(J$1,집계!$2:$2,0)-1,FALSE),"")</f>
        <v>83</v>
      </c>
      <c r="K37" s="3">
        <f>IFERROR(VLOOKUP($A37,집계!$B:$AD,MATCH(K$1,집계!$2:$2,0)-1,FALSE),"")</f>
        <v>73</v>
      </c>
      <c r="L37" s="3">
        <f>IFERROR(VLOOKUP($A37,집계!$B:$AD,MATCH(L$1,집계!$2:$2,0)-1,FALSE),"")</f>
        <v>88</v>
      </c>
      <c r="M37" s="16">
        <f>IFERROR(VLOOKUP($A37,집계!$B:$AD,MATCH(M$1,집계!$2:$2,0)-1,FALSE),"")</f>
        <v>83</v>
      </c>
      <c r="N37" s="16">
        <f>IFERROR(VLOOKUP($A37,집계!$B:$AD,MATCH(N$1,집계!$2:$2,0)-1,FALSE),"")</f>
        <v>0</v>
      </c>
      <c r="O37" s="16">
        <f>IFERROR(VLOOKUP($A37,집계!$B:$AD,MATCH(O$1,집계!$2:$2,0)-1,FALSE),"")</f>
        <v>83</v>
      </c>
      <c r="P37" s="31" t="str">
        <f>IFERROR(VLOOKUP($A37,집계!$B:$AD,MATCH(P$1,집계!$2:$2,0)-1,FALSE),"")</f>
        <v/>
      </c>
    </row>
    <row r="38" spans="1:16" ht="17.100000000000001" customHeight="1" x14ac:dyDescent="0.35">
      <c r="A38" s="2">
        <v>20401269</v>
      </c>
      <c r="B38" s="4">
        <f>IFERROR(VLOOKUP($A38,집계!$B:$AD,MATCH(B$1,집계!$2:$2,0)-1,FALSE),"")</f>
        <v>1</v>
      </c>
      <c r="C38" s="4" t="str">
        <f>IFERROR(VLOOKUP($A38,집계!$B:$AD,MATCH(C$1,집계!$2:$2,0)-1,FALSE),"")</f>
        <v>윤수정</v>
      </c>
      <c r="D38" s="4">
        <f>IFERROR(VLOOKUP($A38,집계!$B:$AD,MATCH(D$1,집계!$2:$2,0)-1,FALSE),"")</f>
        <v>20401269</v>
      </c>
      <c r="E38" s="4" t="str">
        <f>IFERROR(VLOOKUP($A38,집계!$B:$AD,MATCH(E$1,집계!$2:$2,0)-1,FALSE),"")</f>
        <v>수상 스포츠 이후 아로마테라피를 활용한 ‘After-Water Ritual’ 스킨케어 브랜드</v>
      </c>
      <c r="F38" s="31" t="str">
        <f>IFERROR(VLOOKUP($A38,대상!$B:$AD,MATCH(F$1,대상!$1:$1,0)-1,FALSE),"")</f>
        <v>면제</v>
      </c>
      <c r="G38" s="3">
        <f>IFERROR(VLOOKUP($A38,집계!$B:$AD,MATCH(G$1,집계!$2:$2,0)-1,FALSE),"")</f>
        <v>5</v>
      </c>
      <c r="H38" s="3" t="str">
        <f>IFERROR(VLOOKUP($A38,집계!$B:$AD,MATCH(H$1,집계!$2:$2,0)-1,FALSE),"")</f>
        <v/>
      </c>
      <c r="I38" s="3" t="str">
        <f>IFERROR(VLOOKUP($A38,집계!$B:$AD,MATCH(I$1,집계!$2:$2,0)-1,FALSE),"")</f>
        <v/>
      </c>
      <c r="J38" s="3" t="str">
        <f>IFERROR(VLOOKUP($A38,집계!$B:$AD,MATCH(J$1,집계!$2:$2,0)-1,FALSE),"")</f>
        <v/>
      </c>
      <c r="K38" s="3" t="str">
        <f>IFERROR(VLOOKUP($A38,집계!$B:$AD,MATCH(K$1,집계!$2:$2,0)-1,FALSE),"")</f>
        <v/>
      </c>
      <c r="L38" s="3" t="str">
        <f>IFERROR(VLOOKUP($A38,집계!$B:$AD,MATCH(L$1,집계!$2:$2,0)-1,FALSE),"")</f>
        <v/>
      </c>
      <c r="M38" s="16">
        <f>IFERROR(VLOOKUP($A38,집계!$B:$AD,MATCH(M$1,집계!$2:$2,0)-1,FALSE),"")</f>
        <v>0</v>
      </c>
      <c r="N38" s="16">
        <f>IFERROR(VLOOKUP($A38,집계!$B:$AD,MATCH(N$1,집계!$2:$2,0)-1,FALSE),"")</f>
        <v>0</v>
      </c>
      <c r="O38" s="16">
        <f>IFERROR(VLOOKUP($A38,집계!$B:$AD,MATCH(O$1,집계!$2:$2,0)-1,FALSE),"")</f>
        <v>100</v>
      </c>
      <c r="P38" s="31" t="str">
        <f>IFERROR(VLOOKUP($A38,집계!$B:$AD,MATCH(P$1,집계!$2:$2,0)-1,FALSE),"")</f>
        <v/>
      </c>
    </row>
    <row r="39" spans="1:16" ht="17.100000000000001" customHeight="1" x14ac:dyDescent="0.35">
      <c r="A39" s="2">
        <v>20401779</v>
      </c>
      <c r="B39" s="4">
        <f>IFERROR(VLOOKUP($A39,집계!$B:$AD,MATCH(B$1,집계!$2:$2,0)-1,FALSE),"")</f>
        <v>89</v>
      </c>
      <c r="C39" s="4" t="str">
        <f>IFERROR(VLOOKUP($A39,집계!$B:$AD,MATCH(C$1,집계!$2:$2,0)-1,FALSE),"")</f>
        <v>김병만</v>
      </c>
      <c r="D39" s="4">
        <f>IFERROR(VLOOKUP($A39,집계!$B:$AD,MATCH(D$1,집계!$2:$2,0)-1,FALSE),"")</f>
        <v>20401779</v>
      </c>
      <c r="E39" s="4" t="str">
        <f>IFERROR(VLOOKUP($A39,집계!$B:$AD,MATCH(E$1,집계!$2:$2,0)-1,FALSE),"")</f>
        <v>안자극이 없는 수경 안티포그액</v>
      </c>
      <c r="F39" s="31">
        <f>IFERROR(VLOOKUP($A39,대상!$B:$AD,MATCH(F$1,대상!$1:$1,0)-1,FALSE),"")</f>
        <v>0</v>
      </c>
      <c r="G39" s="3">
        <f>IFERROR(VLOOKUP($A39,집계!$B:$AD,MATCH(G$1,집계!$2:$2,0)-1,FALSE),"")</f>
        <v>5</v>
      </c>
      <c r="H39" s="3">
        <f>IFERROR(VLOOKUP($A39,집계!$B:$AD,MATCH(H$1,집계!$2:$2,0)-1,FALSE),"")</f>
        <v>83</v>
      </c>
      <c r="I39" s="3">
        <f>IFERROR(VLOOKUP($A39,집계!$B:$AD,MATCH(I$1,집계!$2:$2,0)-1,FALSE),"")</f>
        <v>86</v>
      </c>
      <c r="J39" s="3">
        <f>IFERROR(VLOOKUP($A39,집계!$B:$AD,MATCH(J$1,집계!$2:$2,0)-1,FALSE),"")</f>
        <v>70</v>
      </c>
      <c r="K39" s="3">
        <f>IFERROR(VLOOKUP($A39,집계!$B:$AD,MATCH(K$1,집계!$2:$2,0)-1,FALSE),"")</f>
        <v>72</v>
      </c>
      <c r="L39" s="3">
        <f>IFERROR(VLOOKUP($A39,집계!$B:$AD,MATCH(L$1,집계!$2:$2,0)-1,FALSE),"")</f>
        <v>66</v>
      </c>
      <c r="M39" s="16">
        <f>IFERROR(VLOOKUP($A39,집계!$B:$AD,MATCH(M$1,집계!$2:$2,0)-1,FALSE),"")</f>
        <v>75</v>
      </c>
      <c r="N39" s="16">
        <f>IFERROR(VLOOKUP($A39,집계!$B:$AD,MATCH(N$1,집계!$2:$2,0)-1,FALSE),"")</f>
        <v>0</v>
      </c>
      <c r="O39" s="16">
        <f>IFERROR(VLOOKUP($A39,집계!$B:$AD,MATCH(O$1,집계!$2:$2,0)-1,FALSE),"")</f>
        <v>75</v>
      </c>
      <c r="P39" s="31" t="str">
        <f>IFERROR(VLOOKUP($A39,집계!$B:$AD,MATCH(P$1,집계!$2:$2,0)-1,FALSE),"")</f>
        <v/>
      </c>
    </row>
    <row r="40" spans="1:16" ht="17.100000000000001" customHeight="1" x14ac:dyDescent="0.35">
      <c r="A40" s="2">
        <v>20402078</v>
      </c>
      <c r="B40" s="4">
        <f>IFERROR(VLOOKUP($A40,집계!$B:$AD,MATCH(B$1,집계!$2:$2,0)-1,FALSE),"")</f>
        <v>7</v>
      </c>
      <c r="C40" s="4" t="str">
        <f>IFERROR(VLOOKUP($A40,집계!$B:$AD,MATCH(C$1,집계!$2:$2,0)-1,FALSE),"")</f>
        <v>이윤진</v>
      </c>
      <c r="D40" s="4">
        <f>IFERROR(VLOOKUP($A40,집계!$B:$AD,MATCH(D$1,집계!$2:$2,0)-1,FALSE),"")</f>
        <v>20402078</v>
      </c>
      <c r="E40" s="4" t="str">
        <f>IFERROR(VLOOKUP($A40,집계!$B:$AD,MATCH(E$1,집계!$2:$2,0)-1,FALSE),"")</f>
        <v>[글로벌 타겟] AI 톤적응 마이크로캡슐 기반 스킨케어형 컬러체인지 커버선크림 개발 및 사업화</v>
      </c>
      <c r="F40" s="31">
        <f>IFERROR(VLOOKUP($A40,대상!$B:$AD,MATCH(F$1,대상!$1:$1,0)-1,FALSE),"")</f>
        <v>0</v>
      </c>
      <c r="G40" s="3">
        <f>IFERROR(VLOOKUP($A40,집계!$B:$AD,MATCH(G$1,집계!$2:$2,0)-1,FALSE),"")</f>
        <v>5</v>
      </c>
      <c r="H40" s="3">
        <f>IFERROR(VLOOKUP($A40,집계!$B:$AD,MATCH(H$1,집계!$2:$2,0)-1,FALSE),"")</f>
        <v>91</v>
      </c>
      <c r="I40" s="3">
        <f>IFERROR(VLOOKUP($A40,집계!$B:$AD,MATCH(I$1,집계!$2:$2,0)-1,FALSE),"")</f>
        <v>90</v>
      </c>
      <c r="J40" s="3">
        <f>IFERROR(VLOOKUP($A40,집계!$B:$AD,MATCH(J$1,집계!$2:$2,0)-1,FALSE),"")</f>
        <v>92</v>
      </c>
      <c r="K40" s="3">
        <f>IFERROR(VLOOKUP($A40,집계!$B:$AD,MATCH(K$1,집계!$2:$2,0)-1,FALSE),"")</f>
        <v>89</v>
      </c>
      <c r="L40" s="3">
        <f>IFERROR(VLOOKUP($A40,집계!$B:$AD,MATCH(L$1,집계!$2:$2,0)-1,FALSE),"")</f>
        <v>91</v>
      </c>
      <c r="M40" s="16">
        <f>IFERROR(VLOOKUP($A40,집계!$B:$AD,MATCH(M$1,집계!$2:$2,0)-1,FALSE),"")</f>
        <v>90.666666666666671</v>
      </c>
      <c r="N40" s="16">
        <f>IFERROR(VLOOKUP($A40,집계!$B:$AD,MATCH(N$1,집계!$2:$2,0)-1,FALSE),"")</f>
        <v>2</v>
      </c>
      <c r="O40" s="16">
        <f>IFERROR(VLOOKUP($A40,집계!$B:$AD,MATCH(O$1,집계!$2:$2,0)-1,FALSE),"")</f>
        <v>92.666666666666671</v>
      </c>
      <c r="P40" s="31" t="str">
        <f>IFERROR(VLOOKUP($A40,집계!$B:$AD,MATCH(P$1,집계!$2:$2,0)-1,FALSE),"")</f>
        <v/>
      </c>
    </row>
    <row r="41" spans="1:16" ht="17.100000000000001" customHeight="1" x14ac:dyDescent="0.35">
      <c r="A41" s="2">
        <v>20403598</v>
      </c>
      <c r="B41" s="4">
        <f>IFERROR(VLOOKUP($A41,집계!$B:$AD,MATCH(B$1,집계!$2:$2,0)-1,FALSE),"")</f>
        <v>102</v>
      </c>
      <c r="C41" s="4" t="str">
        <f>IFERROR(VLOOKUP($A41,집계!$B:$AD,MATCH(C$1,집계!$2:$2,0)-1,FALSE),"")</f>
        <v>이혜진</v>
      </c>
      <c r="D41" s="4">
        <f>IFERROR(VLOOKUP($A41,집계!$B:$AD,MATCH(D$1,집계!$2:$2,0)-1,FALSE),"")</f>
        <v>20403598</v>
      </c>
      <c r="E41" s="4" t="str">
        <f>IFERROR(VLOOKUP($A41,집계!$B:$AD,MATCH(E$1,집계!$2:$2,0)-1,FALSE),"")</f>
        <v>리텐션 고도화형 B2B 글로벌 수출 K-뷰티 속눈썹·글루 제품</v>
      </c>
      <c r="F41" s="31">
        <f>IFERROR(VLOOKUP($A41,대상!$B:$AD,MATCH(F$1,대상!$1:$1,0)-1,FALSE),"")</f>
        <v>0</v>
      </c>
      <c r="G41" s="3">
        <f>IFERROR(VLOOKUP($A41,집계!$B:$AD,MATCH(G$1,집계!$2:$2,0)-1,FALSE),"")</f>
        <v>5</v>
      </c>
      <c r="H41" s="3">
        <f>IFERROR(VLOOKUP($A41,집계!$B:$AD,MATCH(H$1,집계!$2:$2,0)-1,FALSE),"")</f>
        <v>74</v>
      </c>
      <c r="I41" s="3">
        <f>IFERROR(VLOOKUP($A41,집계!$B:$AD,MATCH(I$1,집계!$2:$2,0)-1,FALSE),"")</f>
        <v>68</v>
      </c>
      <c r="J41" s="3">
        <f>IFERROR(VLOOKUP($A41,집계!$B:$AD,MATCH(J$1,집계!$2:$2,0)-1,FALSE),"")</f>
        <v>67</v>
      </c>
      <c r="K41" s="3">
        <f>IFERROR(VLOOKUP($A41,집계!$B:$AD,MATCH(K$1,집계!$2:$2,0)-1,FALSE),"")</f>
        <v>80</v>
      </c>
      <c r="L41" s="3">
        <f>IFERROR(VLOOKUP($A41,집계!$B:$AD,MATCH(L$1,집계!$2:$2,0)-1,FALSE),"")</f>
        <v>77</v>
      </c>
      <c r="M41" s="16">
        <f>IFERROR(VLOOKUP($A41,집계!$B:$AD,MATCH(M$1,집계!$2:$2,0)-1,FALSE),"")</f>
        <v>73</v>
      </c>
      <c r="N41" s="16">
        <f>IFERROR(VLOOKUP($A41,집계!$B:$AD,MATCH(N$1,집계!$2:$2,0)-1,FALSE),"")</f>
        <v>0</v>
      </c>
      <c r="O41" s="16">
        <f>IFERROR(VLOOKUP($A41,집계!$B:$AD,MATCH(O$1,집계!$2:$2,0)-1,FALSE),"")</f>
        <v>73</v>
      </c>
      <c r="P41" s="31" t="str">
        <f>IFERROR(VLOOKUP($A41,집계!$B:$AD,MATCH(P$1,집계!$2:$2,0)-1,FALSE),"")</f>
        <v/>
      </c>
    </row>
    <row r="42" spans="1:16" ht="17.100000000000001" customHeight="1" x14ac:dyDescent="0.35">
      <c r="A42" s="2">
        <v>20404733</v>
      </c>
      <c r="B42" s="4">
        <f>IFERROR(VLOOKUP($A42,집계!$B:$AD,MATCH(B$1,집계!$2:$2,0)-1,FALSE),"")</f>
        <v>45</v>
      </c>
      <c r="C42" s="4" t="str">
        <f>IFERROR(VLOOKUP($A42,집계!$B:$AD,MATCH(C$1,집계!$2:$2,0)-1,FALSE),"")</f>
        <v>김도형</v>
      </c>
      <c r="D42" s="4">
        <f>IFERROR(VLOOKUP($A42,집계!$B:$AD,MATCH(D$1,집계!$2:$2,0)-1,FALSE),"")</f>
        <v>20404733</v>
      </c>
      <c r="E42" s="4" t="str">
        <f>IFERROR(VLOOKUP($A42,집계!$B:$AD,MATCH(E$1,집계!$2:$2,0)-1,FALSE),"")</f>
        <v xml:space="preserve">기능성 재활용 필름 기술이 적용된 방취, 고강도 기능의 친환경 반려동물 위생 소재 </v>
      </c>
      <c r="F42" s="31">
        <f>IFERROR(VLOOKUP($A42,대상!$B:$AD,MATCH(F$1,대상!$1:$1,0)-1,FALSE),"")</f>
        <v>0</v>
      </c>
      <c r="G42" s="3">
        <f>IFERROR(VLOOKUP($A42,집계!$B:$AD,MATCH(G$1,집계!$2:$2,0)-1,FALSE),"")</f>
        <v>5</v>
      </c>
      <c r="H42" s="3">
        <f>IFERROR(VLOOKUP($A42,집계!$B:$AD,MATCH(H$1,집계!$2:$2,0)-1,FALSE),"")</f>
        <v>74</v>
      </c>
      <c r="I42" s="3">
        <f>IFERROR(VLOOKUP($A42,집계!$B:$AD,MATCH(I$1,집계!$2:$2,0)-1,FALSE),"")</f>
        <v>78</v>
      </c>
      <c r="J42" s="3">
        <f>IFERROR(VLOOKUP($A42,집계!$B:$AD,MATCH(J$1,집계!$2:$2,0)-1,FALSE),"")</f>
        <v>86</v>
      </c>
      <c r="K42" s="3">
        <f>IFERROR(VLOOKUP($A42,집계!$B:$AD,MATCH(K$1,집계!$2:$2,0)-1,FALSE),"")</f>
        <v>87</v>
      </c>
      <c r="L42" s="3">
        <f>IFERROR(VLOOKUP($A42,집계!$B:$AD,MATCH(L$1,집계!$2:$2,0)-1,FALSE),"")</f>
        <v>71</v>
      </c>
      <c r="M42" s="16">
        <f>IFERROR(VLOOKUP($A42,집계!$B:$AD,MATCH(M$1,집계!$2:$2,0)-1,FALSE),"")</f>
        <v>79.333333333333329</v>
      </c>
      <c r="N42" s="16">
        <f>IFERROR(VLOOKUP($A42,집계!$B:$AD,MATCH(N$1,집계!$2:$2,0)-1,FALSE),"")</f>
        <v>0</v>
      </c>
      <c r="O42" s="16">
        <f>IFERROR(VLOOKUP($A42,집계!$B:$AD,MATCH(O$1,집계!$2:$2,0)-1,FALSE),"")</f>
        <v>79.333333333333329</v>
      </c>
      <c r="P42" s="31" t="str">
        <f>IFERROR(VLOOKUP($A42,집계!$B:$AD,MATCH(P$1,집계!$2:$2,0)-1,FALSE),"")</f>
        <v/>
      </c>
    </row>
    <row r="43" spans="1:16" ht="17.100000000000001" customHeight="1" x14ac:dyDescent="0.35">
      <c r="A43" s="2">
        <v>20406503</v>
      </c>
      <c r="B43" s="4">
        <f>IFERROR(VLOOKUP($A43,집계!$B:$AD,MATCH(B$1,집계!$2:$2,0)-1,FALSE),"")</f>
        <v>21</v>
      </c>
      <c r="C43" s="4" t="str">
        <f>IFERROR(VLOOKUP($A43,집계!$B:$AD,MATCH(C$1,집계!$2:$2,0)-1,FALSE),"")</f>
        <v>오권</v>
      </c>
      <c r="D43" s="4">
        <f>IFERROR(VLOOKUP($A43,집계!$B:$AD,MATCH(D$1,집계!$2:$2,0)-1,FALSE),"")</f>
        <v>20406503</v>
      </c>
      <c r="E43" s="4" t="str">
        <f>IFERROR(VLOOKUP($A43,집계!$B:$AD,MATCH(E$1,집계!$2:$2,0)-1,FALSE),"")</f>
        <v>친환경 생분해 소재 기반 HDPE(High-Density Polyethylene) 대체용  탄소절감, 빗물 재활용, 수목 성장촉진을 위한 수목통 기관 설계 개발</v>
      </c>
      <c r="F43" s="31">
        <f>IFERROR(VLOOKUP($A43,대상!$B:$AD,MATCH(F$1,대상!$1:$1,0)-1,FALSE),"")</f>
        <v>0</v>
      </c>
      <c r="G43" s="3">
        <f>IFERROR(VLOOKUP($A43,집계!$B:$AD,MATCH(G$1,집계!$2:$2,0)-1,FALSE),"")</f>
        <v>5</v>
      </c>
      <c r="H43" s="3">
        <f>IFERROR(VLOOKUP($A43,집계!$B:$AD,MATCH(H$1,집계!$2:$2,0)-1,FALSE),"")</f>
        <v>79</v>
      </c>
      <c r="I43" s="3">
        <f>IFERROR(VLOOKUP($A43,집계!$B:$AD,MATCH(I$1,집계!$2:$2,0)-1,FALSE),"")</f>
        <v>82</v>
      </c>
      <c r="J43" s="3">
        <f>IFERROR(VLOOKUP($A43,집계!$B:$AD,MATCH(J$1,집계!$2:$2,0)-1,FALSE),"")</f>
        <v>88</v>
      </c>
      <c r="K43" s="3">
        <f>IFERROR(VLOOKUP($A43,집계!$B:$AD,MATCH(K$1,집계!$2:$2,0)-1,FALSE),"")</f>
        <v>70</v>
      </c>
      <c r="L43" s="3">
        <f>IFERROR(VLOOKUP($A43,집계!$B:$AD,MATCH(L$1,집계!$2:$2,0)-1,FALSE),"")</f>
        <v>88</v>
      </c>
      <c r="M43" s="16">
        <f>IFERROR(VLOOKUP($A43,집계!$B:$AD,MATCH(M$1,집계!$2:$2,0)-1,FALSE),"")</f>
        <v>83</v>
      </c>
      <c r="N43" s="16">
        <f>IFERROR(VLOOKUP($A43,집계!$B:$AD,MATCH(N$1,집계!$2:$2,0)-1,FALSE),"")</f>
        <v>0</v>
      </c>
      <c r="O43" s="16">
        <f>IFERROR(VLOOKUP($A43,집계!$B:$AD,MATCH(O$1,집계!$2:$2,0)-1,FALSE),"")</f>
        <v>83</v>
      </c>
      <c r="P43" s="31" t="str">
        <f>IFERROR(VLOOKUP($A43,집계!$B:$AD,MATCH(P$1,집계!$2:$2,0)-1,FALSE),"")</f>
        <v/>
      </c>
    </row>
    <row r="44" spans="1:16" ht="17.100000000000001" customHeight="1" x14ac:dyDescent="0.35">
      <c r="A44" s="2">
        <v>20407388</v>
      </c>
      <c r="B44" s="4">
        <f>IFERROR(VLOOKUP($A44,집계!$B:$AD,MATCH(B$1,집계!$2:$2,0)-1,FALSE),"")</f>
        <v>52</v>
      </c>
      <c r="C44" s="4" t="str">
        <f>IFERROR(VLOOKUP($A44,집계!$B:$AD,MATCH(C$1,집계!$2:$2,0)-1,FALSE),"")</f>
        <v>염시원</v>
      </c>
      <c r="D44" s="4">
        <f>IFERROR(VLOOKUP($A44,집계!$B:$AD,MATCH(D$1,집계!$2:$2,0)-1,FALSE),"")</f>
        <v>20407388</v>
      </c>
      <c r="E44" s="4" t="str">
        <f>IFERROR(VLOOKUP($A44,집계!$B:$AD,MATCH(E$1,집계!$2:$2,0)-1,FALSE),"")</f>
        <v>F.BRX - 동대문 소상공인 원단업체을 위한 섬유 특화 3D/AI 기반 디지털 콘텐츠 제작 서비스</v>
      </c>
      <c r="F44" s="31">
        <f>IFERROR(VLOOKUP($A44,대상!$B:$AD,MATCH(F$1,대상!$1:$1,0)-1,FALSE),"")</f>
        <v>0</v>
      </c>
      <c r="G44" s="3">
        <f>IFERROR(VLOOKUP($A44,집계!$B:$AD,MATCH(G$1,집계!$2:$2,0)-1,FALSE),"")</f>
        <v>5</v>
      </c>
      <c r="H44" s="3">
        <f>IFERROR(VLOOKUP($A44,집계!$B:$AD,MATCH(H$1,집계!$2:$2,0)-1,FALSE),"")</f>
        <v>81</v>
      </c>
      <c r="I44" s="3">
        <f>IFERROR(VLOOKUP($A44,집계!$B:$AD,MATCH(I$1,집계!$2:$2,0)-1,FALSE),"")</f>
        <v>68</v>
      </c>
      <c r="J44" s="3">
        <f>IFERROR(VLOOKUP($A44,집계!$B:$AD,MATCH(J$1,집계!$2:$2,0)-1,FALSE),"")</f>
        <v>84</v>
      </c>
      <c r="K44" s="3">
        <f>IFERROR(VLOOKUP($A44,집계!$B:$AD,MATCH(K$1,집계!$2:$2,0)-1,FALSE),"")</f>
        <v>82</v>
      </c>
      <c r="L44" s="3">
        <f>IFERROR(VLOOKUP($A44,집계!$B:$AD,MATCH(L$1,집계!$2:$2,0)-1,FALSE),"")</f>
        <v>73</v>
      </c>
      <c r="M44" s="16">
        <f>IFERROR(VLOOKUP($A44,집계!$B:$AD,MATCH(M$1,집계!$2:$2,0)-1,FALSE),"")</f>
        <v>78.666666666666671</v>
      </c>
      <c r="N44" s="16">
        <f>IFERROR(VLOOKUP($A44,집계!$B:$AD,MATCH(N$1,집계!$2:$2,0)-1,FALSE),"")</f>
        <v>0</v>
      </c>
      <c r="O44" s="16">
        <f>IFERROR(VLOOKUP($A44,집계!$B:$AD,MATCH(O$1,집계!$2:$2,0)-1,FALSE),"")</f>
        <v>78.666666666666671</v>
      </c>
      <c r="P44" s="31" t="str">
        <f>IFERROR(VLOOKUP($A44,집계!$B:$AD,MATCH(P$1,집계!$2:$2,0)-1,FALSE),"")</f>
        <v/>
      </c>
    </row>
    <row r="45" spans="1:16" ht="17.100000000000001" customHeight="1" x14ac:dyDescent="0.35">
      <c r="A45" s="2">
        <v>20407919</v>
      </c>
      <c r="B45" s="4">
        <f>IFERROR(VLOOKUP($A45,집계!$B:$AD,MATCH(B$1,집계!$2:$2,0)-1,FALSE),"")</f>
        <v>91</v>
      </c>
      <c r="C45" s="4" t="str">
        <f>IFERROR(VLOOKUP($A45,집계!$B:$AD,MATCH(C$1,집계!$2:$2,0)-1,FALSE),"")</f>
        <v>박은지</v>
      </c>
      <c r="D45" s="4">
        <f>IFERROR(VLOOKUP($A45,집계!$B:$AD,MATCH(D$1,집계!$2:$2,0)-1,FALSE),"")</f>
        <v>20407919</v>
      </c>
      <c r="E45" s="4" t="str">
        <f>IFERROR(VLOOKUP($A45,집계!$B:$AD,MATCH(E$1,집계!$2:$2,0)-1,FALSE),"")</f>
        <v>세제를 함유하고 간편한 일회용 건식 수세미</v>
      </c>
      <c r="F45" s="31">
        <f>IFERROR(VLOOKUP($A45,대상!$B:$AD,MATCH(F$1,대상!$1:$1,0)-1,FALSE),"")</f>
        <v>0</v>
      </c>
      <c r="G45" s="3">
        <f>IFERROR(VLOOKUP($A45,집계!$B:$AD,MATCH(G$1,집계!$2:$2,0)-1,FALSE),"")</f>
        <v>5</v>
      </c>
      <c r="H45" s="3">
        <f>IFERROR(VLOOKUP($A45,집계!$B:$AD,MATCH(H$1,집계!$2:$2,0)-1,FALSE),"")</f>
        <v>72</v>
      </c>
      <c r="I45" s="3">
        <f>IFERROR(VLOOKUP($A45,집계!$B:$AD,MATCH(I$1,집계!$2:$2,0)-1,FALSE),"")</f>
        <v>65</v>
      </c>
      <c r="J45" s="3">
        <f>IFERROR(VLOOKUP($A45,집계!$B:$AD,MATCH(J$1,집계!$2:$2,0)-1,FALSE),"")</f>
        <v>83</v>
      </c>
      <c r="K45" s="3">
        <f>IFERROR(VLOOKUP($A45,집계!$B:$AD,MATCH(K$1,집계!$2:$2,0)-1,FALSE),"")</f>
        <v>74</v>
      </c>
      <c r="L45" s="3">
        <f>IFERROR(VLOOKUP($A45,집계!$B:$AD,MATCH(L$1,집계!$2:$2,0)-1,FALSE),"")</f>
        <v>77</v>
      </c>
      <c r="M45" s="16">
        <f>IFERROR(VLOOKUP($A45,집계!$B:$AD,MATCH(M$1,집계!$2:$2,0)-1,FALSE),"")</f>
        <v>74.333333333333329</v>
      </c>
      <c r="N45" s="16">
        <f>IFERROR(VLOOKUP($A45,집계!$B:$AD,MATCH(N$1,집계!$2:$2,0)-1,FALSE),"")</f>
        <v>0</v>
      </c>
      <c r="O45" s="16">
        <f>IFERROR(VLOOKUP($A45,집계!$B:$AD,MATCH(O$1,집계!$2:$2,0)-1,FALSE),"")</f>
        <v>74.333333333333329</v>
      </c>
      <c r="P45" s="31" t="str">
        <f>IFERROR(VLOOKUP($A45,집계!$B:$AD,MATCH(P$1,집계!$2:$2,0)-1,FALSE),"")</f>
        <v/>
      </c>
    </row>
    <row r="46" spans="1:16" ht="17.100000000000001" customHeight="1" x14ac:dyDescent="0.35">
      <c r="A46" s="2">
        <v>20408878</v>
      </c>
      <c r="B46" s="4">
        <f>IFERROR(VLOOKUP($A46,집계!$B:$AD,MATCH(B$1,집계!$2:$2,0)-1,FALSE),"")</f>
        <v>101</v>
      </c>
      <c r="C46" s="4" t="str">
        <f>IFERROR(VLOOKUP($A46,집계!$B:$AD,MATCH(C$1,집계!$2:$2,0)-1,FALSE),"")</f>
        <v>PARK SUNNY</v>
      </c>
      <c r="D46" s="4">
        <f>IFERROR(VLOOKUP($A46,집계!$B:$AD,MATCH(D$1,집계!$2:$2,0)-1,FALSE),"")</f>
        <v>20408878</v>
      </c>
      <c r="E46" s="4" t="str">
        <f>IFERROR(VLOOKUP($A46,집계!$B:$AD,MATCH(E$1,집계!$2:$2,0)-1,FALSE),"")</f>
        <v>HERMEN – Preserve Line [스킨 케어 브랜드 (화장품)]</v>
      </c>
      <c r="F46" s="31">
        <f>IFERROR(VLOOKUP($A46,대상!$B:$AD,MATCH(F$1,대상!$1:$1,0)-1,FALSE),"")</f>
        <v>0</v>
      </c>
      <c r="G46" s="3">
        <f>IFERROR(VLOOKUP($A46,집계!$B:$AD,MATCH(G$1,집계!$2:$2,0)-1,FALSE),"")</f>
        <v>5</v>
      </c>
      <c r="H46" s="3">
        <f>IFERROR(VLOOKUP($A46,집계!$B:$AD,MATCH(H$1,집계!$2:$2,0)-1,FALSE),"")</f>
        <v>81</v>
      </c>
      <c r="I46" s="3">
        <f>IFERROR(VLOOKUP($A46,집계!$B:$AD,MATCH(I$1,집계!$2:$2,0)-1,FALSE),"")</f>
        <v>73</v>
      </c>
      <c r="J46" s="3">
        <f>IFERROR(VLOOKUP($A46,집계!$B:$AD,MATCH(J$1,집계!$2:$2,0)-1,FALSE),"")</f>
        <v>77</v>
      </c>
      <c r="K46" s="3">
        <f>IFERROR(VLOOKUP($A46,집계!$B:$AD,MATCH(K$1,집계!$2:$2,0)-1,FALSE),"")</f>
        <v>70</v>
      </c>
      <c r="L46" s="3">
        <f>IFERROR(VLOOKUP($A46,집계!$B:$AD,MATCH(L$1,집계!$2:$2,0)-1,FALSE),"")</f>
        <v>68</v>
      </c>
      <c r="M46" s="16">
        <f>IFERROR(VLOOKUP($A46,집계!$B:$AD,MATCH(M$1,집계!$2:$2,0)-1,FALSE),"")</f>
        <v>73.333333333333329</v>
      </c>
      <c r="N46" s="16">
        <f>IFERROR(VLOOKUP($A46,집계!$B:$AD,MATCH(N$1,집계!$2:$2,0)-1,FALSE),"")</f>
        <v>0</v>
      </c>
      <c r="O46" s="16">
        <f>IFERROR(VLOOKUP($A46,집계!$B:$AD,MATCH(O$1,집계!$2:$2,0)-1,FALSE),"")</f>
        <v>73.333333333333329</v>
      </c>
      <c r="P46" s="31" t="str">
        <f>IFERROR(VLOOKUP($A46,집계!$B:$AD,MATCH(P$1,집계!$2:$2,0)-1,FALSE),"")</f>
        <v/>
      </c>
    </row>
    <row r="47" spans="1:16" ht="17.100000000000001" customHeight="1" x14ac:dyDescent="0.35">
      <c r="A47" s="2">
        <v>20409143</v>
      </c>
      <c r="B47" s="4">
        <f>IFERROR(VLOOKUP($A47,집계!$B:$AD,MATCH(B$1,집계!$2:$2,0)-1,FALSE),"")</f>
        <v>79</v>
      </c>
      <c r="C47" s="4" t="str">
        <f>IFERROR(VLOOKUP($A47,집계!$B:$AD,MATCH(C$1,집계!$2:$2,0)-1,FALSE),"")</f>
        <v>손영필</v>
      </c>
      <c r="D47" s="4">
        <f>IFERROR(VLOOKUP($A47,집계!$B:$AD,MATCH(D$1,집계!$2:$2,0)-1,FALSE),"")</f>
        <v>20409143</v>
      </c>
      <c r="E47" s="4" t="str">
        <f>IFERROR(VLOOKUP($A47,집계!$B:$AD,MATCH(E$1,집계!$2:$2,0)-1,FALSE),"")</f>
        <v>N52 등급 자성 결합 기술과 하이브리드 소재 공정을 적용한 맥세이프 부착형 프리미엄 립 케어 모듈 개발</v>
      </c>
      <c r="F47" s="31">
        <f>IFERROR(VLOOKUP($A47,대상!$B:$AD,MATCH(F$1,대상!$1:$1,0)-1,FALSE),"")</f>
        <v>0</v>
      </c>
      <c r="G47" s="3">
        <f>IFERROR(VLOOKUP($A47,집계!$B:$AD,MATCH(G$1,집계!$2:$2,0)-1,FALSE),"")</f>
        <v>5</v>
      </c>
      <c r="H47" s="3">
        <f>IFERROR(VLOOKUP($A47,집계!$B:$AD,MATCH(H$1,집계!$2:$2,0)-1,FALSE),"")</f>
        <v>78</v>
      </c>
      <c r="I47" s="3">
        <f>IFERROR(VLOOKUP($A47,집계!$B:$AD,MATCH(I$1,집계!$2:$2,0)-1,FALSE),"")</f>
        <v>76</v>
      </c>
      <c r="J47" s="3">
        <f>IFERROR(VLOOKUP($A47,집계!$B:$AD,MATCH(J$1,집계!$2:$2,0)-1,FALSE),"")</f>
        <v>75</v>
      </c>
      <c r="K47" s="3">
        <f>IFERROR(VLOOKUP($A47,집계!$B:$AD,MATCH(K$1,집계!$2:$2,0)-1,FALSE),"")</f>
        <v>88</v>
      </c>
      <c r="L47" s="3">
        <f>IFERROR(VLOOKUP($A47,집계!$B:$AD,MATCH(L$1,집계!$2:$2,0)-1,FALSE),"")</f>
        <v>65</v>
      </c>
      <c r="M47" s="16">
        <f>IFERROR(VLOOKUP($A47,집계!$B:$AD,MATCH(M$1,집계!$2:$2,0)-1,FALSE),"")</f>
        <v>76.333333333333329</v>
      </c>
      <c r="N47" s="16">
        <f>IFERROR(VLOOKUP($A47,집계!$B:$AD,MATCH(N$1,집계!$2:$2,0)-1,FALSE),"")</f>
        <v>0</v>
      </c>
      <c r="O47" s="16">
        <f>IFERROR(VLOOKUP($A47,집계!$B:$AD,MATCH(O$1,집계!$2:$2,0)-1,FALSE),"")</f>
        <v>76.333333333333329</v>
      </c>
      <c r="P47" s="31" t="str">
        <f>IFERROR(VLOOKUP($A47,집계!$B:$AD,MATCH(P$1,집계!$2:$2,0)-1,FALSE),"")</f>
        <v/>
      </c>
    </row>
    <row r="48" spans="1:16" ht="17.100000000000001" customHeight="1" x14ac:dyDescent="0.35">
      <c r="A48" s="2">
        <v>20410189</v>
      </c>
      <c r="B48" s="4">
        <f>IFERROR(VLOOKUP($A48,집계!$B:$AD,MATCH(B$1,집계!$2:$2,0)-1,FALSE),"")</f>
        <v>26</v>
      </c>
      <c r="C48" s="4" t="str">
        <f>IFERROR(VLOOKUP($A48,집계!$B:$AD,MATCH(C$1,집계!$2:$2,0)-1,FALSE),"")</f>
        <v>황현두</v>
      </c>
      <c r="D48" s="4">
        <f>IFERROR(VLOOKUP($A48,집계!$B:$AD,MATCH(D$1,집계!$2:$2,0)-1,FALSE),"")</f>
        <v>20410189</v>
      </c>
      <c r="E48" s="4" t="str">
        <f>IFERROR(VLOOKUP($A48,집계!$B:$AD,MATCH(E$1,집계!$2:$2,0)-1,FALSE),"")</f>
        <v>모듈형 교체식 관절 연동 체결 기술을 적용한 소프트 스윔베이트 (Soft Swim Bait Incorporating Modular Interchangeable Articulated Joint Coupling Technology)</v>
      </c>
      <c r="F48" s="31">
        <f>IFERROR(VLOOKUP($A48,대상!$B:$AD,MATCH(F$1,대상!$1:$1,0)-1,FALSE),"")</f>
        <v>0</v>
      </c>
      <c r="G48" s="3">
        <f>IFERROR(VLOOKUP($A48,집계!$B:$AD,MATCH(G$1,집계!$2:$2,0)-1,FALSE),"")</f>
        <v>5</v>
      </c>
      <c r="H48" s="3">
        <f>IFERROR(VLOOKUP($A48,집계!$B:$AD,MATCH(H$1,집계!$2:$2,0)-1,FALSE),"")</f>
        <v>77</v>
      </c>
      <c r="I48" s="3">
        <f>IFERROR(VLOOKUP($A48,집계!$B:$AD,MATCH(I$1,집계!$2:$2,0)-1,FALSE),"")</f>
        <v>78</v>
      </c>
      <c r="J48" s="3">
        <f>IFERROR(VLOOKUP($A48,집계!$B:$AD,MATCH(J$1,집계!$2:$2,0)-1,FALSE),"")</f>
        <v>82</v>
      </c>
      <c r="K48" s="3">
        <f>IFERROR(VLOOKUP($A48,집계!$B:$AD,MATCH(K$1,집계!$2:$2,0)-1,FALSE),"")</f>
        <v>89</v>
      </c>
      <c r="L48" s="3">
        <f>IFERROR(VLOOKUP($A48,집계!$B:$AD,MATCH(L$1,집계!$2:$2,0)-1,FALSE),"")</f>
        <v>86</v>
      </c>
      <c r="M48" s="16">
        <f>IFERROR(VLOOKUP($A48,집계!$B:$AD,MATCH(M$1,집계!$2:$2,0)-1,FALSE),"")</f>
        <v>82</v>
      </c>
      <c r="N48" s="16">
        <f>IFERROR(VLOOKUP($A48,집계!$B:$AD,MATCH(N$1,집계!$2:$2,0)-1,FALSE),"")</f>
        <v>0</v>
      </c>
      <c r="O48" s="16">
        <f>IFERROR(VLOOKUP($A48,집계!$B:$AD,MATCH(O$1,집계!$2:$2,0)-1,FALSE),"")</f>
        <v>82</v>
      </c>
      <c r="P48" s="31" t="str">
        <f>IFERROR(VLOOKUP($A48,집계!$B:$AD,MATCH(P$1,집계!$2:$2,0)-1,FALSE),"")</f>
        <v/>
      </c>
    </row>
    <row r="49" spans="1:32" ht="17.100000000000001" customHeight="1" x14ac:dyDescent="0.35">
      <c r="A49" s="2">
        <v>20411654</v>
      </c>
      <c r="B49" s="4">
        <f>IFERROR(VLOOKUP($A49,집계!$B:$AD,MATCH(B$1,집계!$2:$2,0)-1,FALSE),"")</f>
        <v>118</v>
      </c>
      <c r="C49" s="4" t="str">
        <f>IFERROR(VLOOKUP($A49,집계!$B:$AD,MATCH(C$1,집계!$2:$2,0)-1,FALSE),"")</f>
        <v>염성일</v>
      </c>
      <c r="D49" s="4">
        <f>IFERROR(VLOOKUP($A49,집계!$B:$AD,MATCH(D$1,집계!$2:$2,0)-1,FALSE),"")</f>
        <v>20411654</v>
      </c>
      <c r="E49" s="4" t="str">
        <f>IFERROR(VLOOKUP($A49,집계!$B:$AD,MATCH(E$1,집계!$2:$2,0)-1,FALSE),"")</f>
        <v>여성 착용 편안성을 개선한 기능성 심리스 브라 및 언더웨어 제품 개발 사업</v>
      </c>
      <c r="F49" s="31">
        <f>IFERROR(VLOOKUP($A49,대상!$B:$AD,MATCH(F$1,대상!$1:$1,0)-1,FALSE),"")</f>
        <v>0</v>
      </c>
      <c r="G49" s="3">
        <f>IFERROR(VLOOKUP($A49,집계!$B:$AD,MATCH(G$1,집계!$2:$2,0)-1,FALSE),"")</f>
        <v>5</v>
      </c>
      <c r="H49" s="3">
        <f>IFERROR(VLOOKUP($A49,집계!$B:$AD,MATCH(H$1,집계!$2:$2,0)-1,FALSE),"")</f>
        <v>68</v>
      </c>
      <c r="I49" s="3">
        <f>IFERROR(VLOOKUP($A49,집계!$B:$AD,MATCH(I$1,집계!$2:$2,0)-1,FALSE),"")</f>
        <v>69</v>
      </c>
      <c r="J49" s="3">
        <f>IFERROR(VLOOKUP($A49,집계!$B:$AD,MATCH(J$1,집계!$2:$2,0)-1,FALSE),"")</f>
        <v>65</v>
      </c>
      <c r="K49" s="3">
        <f>IFERROR(VLOOKUP($A49,집계!$B:$AD,MATCH(K$1,집계!$2:$2,0)-1,FALSE),"")</f>
        <v>70</v>
      </c>
      <c r="L49" s="3">
        <f>IFERROR(VLOOKUP($A49,집계!$B:$AD,MATCH(L$1,집계!$2:$2,0)-1,FALSE),"")</f>
        <v>63</v>
      </c>
      <c r="M49" s="16">
        <f>IFERROR(VLOOKUP($A49,집계!$B:$AD,MATCH(M$1,집계!$2:$2,0)-1,FALSE),"")</f>
        <v>67.333333333333329</v>
      </c>
      <c r="N49" s="16">
        <f>IFERROR(VLOOKUP($A49,집계!$B:$AD,MATCH(N$1,집계!$2:$2,0)-1,FALSE),"")</f>
        <v>0</v>
      </c>
      <c r="O49" s="16">
        <f>IFERROR(VLOOKUP($A49,집계!$B:$AD,MATCH(O$1,집계!$2:$2,0)-1,FALSE),"")</f>
        <v>67.333333333333329</v>
      </c>
      <c r="P49" s="31" t="str">
        <f>IFERROR(VLOOKUP($A49,집계!$B:$AD,MATCH(P$1,집계!$2:$2,0)-1,FALSE),"")</f>
        <v/>
      </c>
    </row>
    <row r="50" spans="1:32" ht="17.100000000000001" customHeight="1" x14ac:dyDescent="0.35">
      <c r="A50" s="2">
        <v>20411886</v>
      </c>
      <c r="B50" s="4">
        <f>IFERROR(VLOOKUP($A50,집계!$B:$AD,MATCH(B$1,집계!$2:$2,0)-1,FALSE),"")</f>
        <v>98</v>
      </c>
      <c r="C50" s="4" t="str">
        <f>IFERROR(VLOOKUP($A50,집계!$B:$AD,MATCH(C$1,집계!$2:$2,0)-1,FALSE),"")</f>
        <v>신동진</v>
      </c>
      <c r="D50" s="4">
        <f>IFERROR(VLOOKUP($A50,집계!$B:$AD,MATCH(D$1,집계!$2:$2,0)-1,FALSE),"")</f>
        <v>20411886</v>
      </c>
      <c r="E50" s="4" t="str">
        <f>IFERROR(VLOOKUP($A50,집계!$B:$AD,MATCH(E$1,집계!$2:$2,0)-1,FALSE),"")</f>
        <v>마이크로에센셜 포물러 기술이 적용된 패밀리 더마 웰니스 바디케어 키트 개발</v>
      </c>
      <c r="F50" s="31">
        <f>IFERROR(VLOOKUP($A50,대상!$B:$AD,MATCH(F$1,대상!$1:$1,0)-1,FALSE),"")</f>
        <v>0</v>
      </c>
      <c r="G50" s="3">
        <f>IFERROR(VLOOKUP($A50,집계!$B:$AD,MATCH(G$1,집계!$2:$2,0)-1,FALSE),"")</f>
        <v>5</v>
      </c>
      <c r="H50" s="3">
        <f>IFERROR(VLOOKUP($A50,집계!$B:$AD,MATCH(H$1,집계!$2:$2,0)-1,FALSE),"")</f>
        <v>75</v>
      </c>
      <c r="I50" s="3">
        <f>IFERROR(VLOOKUP($A50,집계!$B:$AD,MATCH(I$1,집계!$2:$2,0)-1,FALSE),"")</f>
        <v>65</v>
      </c>
      <c r="J50" s="3">
        <f>IFERROR(VLOOKUP($A50,집계!$B:$AD,MATCH(J$1,집계!$2:$2,0)-1,FALSE),"")</f>
        <v>74</v>
      </c>
      <c r="K50" s="3">
        <f>IFERROR(VLOOKUP($A50,집계!$B:$AD,MATCH(K$1,집계!$2:$2,0)-1,FALSE),"")</f>
        <v>72</v>
      </c>
      <c r="L50" s="3">
        <f>IFERROR(VLOOKUP($A50,집계!$B:$AD,MATCH(L$1,집계!$2:$2,0)-1,FALSE),"")</f>
        <v>78</v>
      </c>
      <c r="M50" s="16">
        <f>IFERROR(VLOOKUP($A50,집계!$B:$AD,MATCH(M$1,집계!$2:$2,0)-1,FALSE),"")</f>
        <v>73.666666666666671</v>
      </c>
      <c r="N50" s="16">
        <f>IFERROR(VLOOKUP($A50,집계!$B:$AD,MATCH(N$1,집계!$2:$2,0)-1,FALSE),"")</f>
        <v>0</v>
      </c>
      <c r="O50" s="16">
        <f>IFERROR(VLOOKUP($A50,집계!$B:$AD,MATCH(O$1,집계!$2:$2,0)-1,FALSE),"")</f>
        <v>73.666666666666671</v>
      </c>
      <c r="P50" s="31" t="str">
        <f>IFERROR(VLOOKUP($A50,집계!$B:$AD,MATCH(P$1,집계!$2:$2,0)-1,FALSE),"")</f>
        <v/>
      </c>
    </row>
    <row r="51" spans="1:32" ht="17.100000000000001" customHeight="1" x14ac:dyDescent="0.35">
      <c r="A51" s="2">
        <v>20412771</v>
      </c>
      <c r="B51" s="4">
        <f>IFERROR(VLOOKUP($A51,집계!$B:$AD,MATCH(B$1,집계!$2:$2,0)-1,FALSE),"")</f>
        <v>38</v>
      </c>
      <c r="C51" s="4" t="str">
        <f>IFERROR(VLOOKUP($A51,집계!$B:$AD,MATCH(C$1,집계!$2:$2,0)-1,FALSE),"")</f>
        <v>김용환</v>
      </c>
      <c r="D51" s="4">
        <f>IFERROR(VLOOKUP($A51,집계!$B:$AD,MATCH(D$1,집계!$2:$2,0)-1,FALSE),"")</f>
        <v>20412771</v>
      </c>
      <c r="E51" s="4" t="str">
        <f>IFERROR(VLOOKUP($A51,집계!$B:$AD,MATCH(E$1,집계!$2:$2,0)-1,FALSE),"")</f>
        <v>고온 향 유지 기반 1인 가구 맞춤형 원스톱 조미료 제조 사업</v>
      </c>
      <c r="F51" s="31">
        <f>IFERROR(VLOOKUP($A51,대상!$B:$AD,MATCH(F$1,대상!$1:$1,0)-1,FALSE),"")</f>
        <v>0</v>
      </c>
      <c r="G51" s="3">
        <f>IFERROR(VLOOKUP($A51,집계!$B:$AD,MATCH(G$1,집계!$2:$2,0)-1,FALSE),"")</f>
        <v>5</v>
      </c>
      <c r="H51" s="3">
        <f>IFERROR(VLOOKUP($A51,집계!$B:$AD,MATCH(H$1,집계!$2:$2,0)-1,FALSE),"")</f>
        <v>81</v>
      </c>
      <c r="I51" s="3">
        <f>IFERROR(VLOOKUP($A51,집계!$B:$AD,MATCH(I$1,집계!$2:$2,0)-1,FALSE),"")</f>
        <v>70</v>
      </c>
      <c r="J51" s="3">
        <f>IFERROR(VLOOKUP($A51,집계!$B:$AD,MATCH(J$1,집계!$2:$2,0)-1,FALSE),"")</f>
        <v>83</v>
      </c>
      <c r="K51" s="3">
        <f>IFERROR(VLOOKUP($A51,집계!$B:$AD,MATCH(K$1,집계!$2:$2,0)-1,FALSE),"")</f>
        <v>74</v>
      </c>
      <c r="L51" s="3">
        <f>IFERROR(VLOOKUP($A51,집계!$B:$AD,MATCH(L$1,집계!$2:$2,0)-1,FALSE),"")</f>
        <v>80</v>
      </c>
      <c r="M51" s="16">
        <f>IFERROR(VLOOKUP($A51,집계!$B:$AD,MATCH(M$1,집계!$2:$2,0)-1,FALSE),"")</f>
        <v>78.333333333333329</v>
      </c>
      <c r="N51" s="16">
        <f>IFERROR(VLOOKUP($A51,집계!$B:$AD,MATCH(N$1,집계!$2:$2,0)-1,FALSE),"")</f>
        <v>2</v>
      </c>
      <c r="O51" s="16">
        <f>IFERROR(VLOOKUP($A51,집계!$B:$AD,MATCH(O$1,집계!$2:$2,0)-1,FALSE),"")</f>
        <v>80.333333333333329</v>
      </c>
      <c r="P51" s="31" t="str">
        <f>IFERROR(VLOOKUP($A51,집계!$B:$AD,MATCH(P$1,집계!$2:$2,0)-1,FALSE),"")</f>
        <v/>
      </c>
    </row>
    <row r="52" spans="1:32" ht="17.100000000000001" customHeight="1" x14ac:dyDescent="0.35">
      <c r="A52" s="2">
        <v>20413602</v>
      </c>
      <c r="B52" s="4">
        <f>IFERROR(VLOOKUP($A52,집계!$B:$AD,MATCH(B$1,집계!$2:$2,0)-1,FALSE),"")</f>
        <v>65</v>
      </c>
      <c r="C52" s="4" t="str">
        <f>IFERROR(VLOOKUP($A52,집계!$B:$AD,MATCH(C$1,집계!$2:$2,0)-1,FALSE),"")</f>
        <v>임유준</v>
      </c>
      <c r="D52" s="4">
        <f>IFERROR(VLOOKUP($A52,집계!$B:$AD,MATCH(D$1,집계!$2:$2,0)-1,FALSE),"")</f>
        <v>20413602</v>
      </c>
      <c r="E52" s="4" t="str">
        <f>IFERROR(VLOOKUP($A52,집계!$B:$AD,MATCH(E$1,집계!$2:$2,0)-1,FALSE),"")</f>
        <v>인플루언서 팬덤을 매출로 전환하는 제조 기반 커머스 플랫폼</v>
      </c>
      <c r="F52" s="31">
        <f>IFERROR(VLOOKUP($A52,대상!$B:$AD,MATCH(F$1,대상!$1:$1,0)-1,FALSE),"")</f>
        <v>0</v>
      </c>
      <c r="G52" s="3">
        <f>IFERROR(VLOOKUP($A52,집계!$B:$AD,MATCH(G$1,집계!$2:$2,0)-1,FALSE),"")</f>
        <v>5</v>
      </c>
      <c r="H52" s="3">
        <f>IFERROR(VLOOKUP($A52,집계!$B:$AD,MATCH(H$1,집계!$2:$2,0)-1,FALSE),"")</f>
        <v>85</v>
      </c>
      <c r="I52" s="3">
        <f>IFERROR(VLOOKUP($A52,집계!$B:$AD,MATCH(I$1,집계!$2:$2,0)-1,FALSE),"")</f>
        <v>64</v>
      </c>
      <c r="J52" s="3">
        <f>IFERROR(VLOOKUP($A52,집계!$B:$AD,MATCH(J$1,집계!$2:$2,0)-1,FALSE),"")</f>
        <v>79</v>
      </c>
      <c r="K52" s="3">
        <f>IFERROR(VLOOKUP($A52,집계!$B:$AD,MATCH(K$1,집계!$2:$2,0)-1,FALSE),"")</f>
        <v>73</v>
      </c>
      <c r="L52" s="3">
        <f>IFERROR(VLOOKUP($A52,집계!$B:$AD,MATCH(L$1,집계!$2:$2,0)-1,FALSE),"")</f>
        <v>81</v>
      </c>
      <c r="M52" s="16">
        <f>IFERROR(VLOOKUP($A52,집계!$B:$AD,MATCH(M$1,집계!$2:$2,0)-1,FALSE),"")</f>
        <v>77.666666666666671</v>
      </c>
      <c r="N52" s="16">
        <f>IFERROR(VLOOKUP($A52,집계!$B:$AD,MATCH(N$1,집계!$2:$2,0)-1,FALSE),"")</f>
        <v>0</v>
      </c>
      <c r="O52" s="16">
        <f>IFERROR(VLOOKUP($A52,집계!$B:$AD,MATCH(O$1,집계!$2:$2,0)-1,FALSE),"")</f>
        <v>77.666666666666671</v>
      </c>
      <c r="P52" s="31" t="str">
        <f>IFERROR(VLOOKUP($A52,집계!$B:$AD,MATCH(P$1,집계!$2:$2,0)-1,FALSE),"")</f>
        <v/>
      </c>
    </row>
    <row r="53" spans="1:32" ht="17.100000000000001" customHeight="1" x14ac:dyDescent="0.35">
      <c r="A53" s="2">
        <v>20413912</v>
      </c>
      <c r="B53" s="4">
        <f>IFERROR(VLOOKUP($A53,집계!$B:$AD,MATCH(B$1,집계!$2:$2,0)-1,FALSE),"")</f>
        <v>65</v>
      </c>
      <c r="C53" s="4" t="str">
        <f>IFERROR(VLOOKUP($A53,집계!$B:$AD,MATCH(C$1,집계!$2:$2,0)-1,FALSE),"")</f>
        <v>이세령</v>
      </c>
      <c r="D53" s="4">
        <f>IFERROR(VLOOKUP($A53,집계!$B:$AD,MATCH(D$1,집계!$2:$2,0)-1,FALSE),"")</f>
        <v>20413912</v>
      </c>
      <c r="E53" s="4" t="str">
        <f>IFERROR(VLOOKUP($A53,집계!$B:$AD,MATCH(E$1,집계!$2:$2,0)-1,FALSE),"")</f>
        <v>20만건 퍼스널컬러 진단 데이터를 기반으로 메이크업·패션 제품을 개인 맞춤 추천하는 AI 연계형 K-뷰티 글로벌 플랫폼</v>
      </c>
      <c r="F53" s="31">
        <f>IFERROR(VLOOKUP($A53,대상!$B:$AD,MATCH(F$1,대상!$1:$1,0)-1,FALSE),"")</f>
        <v>0</v>
      </c>
      <c r="G53" s="3">
        <f>IFERROR(VLOOKUP($A53,집계!$B:$AD,MATCH(G$1,집계!$2:$2,0)-1,FALSE),"")</f>
        <v>5</v>
      </c>
      <c r="H53" s="3">
        <f>IFERROR(VLOOKUP($A53,집계!$B:$AD,MATCH(H$1,집계!$2:$2,0)-1,FALSE),"")</f>
        <v>87</v>
      </c>
      <c r="I53" s="3">
        <f>IFERROR(VLOOKUP($A53,집계!$B:$AD,MATCH(I$1,집계!$2:$2,0)-1,FALSE),"")</f>
        <v>73</v>
      </c>
      <c r="J53" s="3">
        <f>IFERROR(VLOOKUP($A53,집계!$B:$AD,MATCH(J$1,집계!$2:$2,0)-1,FALSE),"")</f>
        <v>82</v>
      </c>
      <c r="K53" s="3">
        <f>IFERROR(VLOOKUP($A53,집계!$B:$AD,MATCH(K$1,집계!$2:$2,0)-1,FALSE),"")</f>
        <v>70</v>
      </c>
      <c r="L53" s="3">
        <f>IFERROR(VLOOKUP($A53,집계!$B:$AD,MATCH(L$1,집계!$2:$2,0)-1,FALSE),"")</f>
        <v>78</v>
      </c>
      <c r="M53" s="16">
        <f>IFERROR(VLOOKUP($A53,집계!$B:$AD,MATCH(M$1,집계!$2:$2,0)-1,FALSE),"")</f>
        <v>77.666666666666671</v>
      </c>
      <c r="N53" s="16">
        <f>IFERROR(VLOOKUP($A53,집계!$B:$AD,MATCH(N$1,집계!$2:$2,0)-1,FALSE),"")</f>
        <v>0</v>
      </c>
      <c r="O53" s="16">
        <f>IFERROR(VLOOKUP($A53,집계!$B:$AD,MATCH(O$1,집계!$2:$2,0)-1,FALSE),"")</f>
        <v>77.666666666666671</v>
      </c>
      <c r="P53" s="31" t="str">
        <f>IFERROR(VLOOKUP($A53,집계!$B:$AD,MATCH(P$1,집계!$2:$2,0)-1,FALSE),"")</f>
        <v/>
      </c>
    </row>
    <row r="54" spans="1:32" ht="17.100000000000001" customHeight="1" x14ac:dyDescent="0.35">
      <c r="A54" s="2">
        <v>20414538</v>
      </c>
      <c r="B54" s="4">
        <f>IFERROR(VLOOKUP($A54,집계!$B:$AD,MATCH(B$1,집계!$2:$2,0)-1,FALSE),"")</f>
        <v>40</v>
      </c>
      <c r="C54" s="4" t="str">
        <f>IFERROR(VLOOKUP($A54,집계!$B:$AD,MATCH(C$1,집계!$2:$2,0)-1,FALSE),"")</f>
        <v>윤나현</v>
      </c>
      <c r="D54" s="4">
        <f>IFERROR(VLOOKUP($A54,집계!$B:$AD,MATCH(D$1,집계!$2:$2,0)-1,FALSE),"")</f>
        <v>20414538</v>
      </c>
      <c r="E54" s="4" t="str">
        <f>IFERROR(VLOOKUP($A54,집계!$B:$AD,MATCH(E$1,집계!$2:$2,0)-1,FALSE),"")</f>
        <v>콘텐츠 반응 데이터 기반 소비자 니즈 분석을 통한 PB 제품 개발 및 운영 프로세스 기술 개발</v>
      </c>
      <c r="F54" s="31">
        <f>IFERROR(VLOOKUP($A54,대상!$B:$AD,MATCH(F$1,대상!$1:$1,0)-1,FALSE),"")</f>
        <v>0</v>
      </c>
      <c r="G54" s="3">
        <f>IFERROR(VLOOKUP($A54,집계!$B:$AD,MATCH(G$1,집계!$2:$2,0)-1,FALSE),"")</f>
        <v>5</v>
      </c>
      <c r="H54" s="3">
        <f>IFERROR(VLOOKUP($A54,집계!$B:$AD,MATCH(H$1,집계!$2:$2,0)-1,FALSE),"")</f>
        <v>83</v>
      </c>
      <c r="I54" s="3">
        <f>IFERROR(VLOOKUP($A54,집계!$B:$AD,MATCH(I$1,집계!$2:$2,0)-1,FALSE),"")</f>
        <v>74</v>
      </c>
      <c r="J54" s="3">
        <f>IFERROR(VLOOKUP($A54,집계!$B:$AD,MATCH(J$1,집계!$2:$2,0)-1,FALSE),"")</f>
        <v>83</v>
      </c>
      <c r="K54" s="3">
        <f>IFERROR(VLOOKUP($A54,집계!$B:$AD,MATCH(K$1,집계!$2:$2,0)-1,FALSE),"")</f>
        <v>70</v>
      </c>
      <c r="L54" s="3">
        <f>IFERROR(VLOOKUP($A54,집계!$B:$AD,MATCH(L$1,집계!$2:$2,0)-1,FALSE),"")</f>
        <v>89</v>
      </c>
      <c r="M54" s="16">
        <f>IFERROR(VLOOKUP($A54,집계!$B:$AD,MATCH(M$1,집계!$2:$2,0)-1,FALSE),"")</f>
        <v>80</v>
      </c>
      <c r="N54" s="16">
        <f>IFERROR(VLOOKUP($A54,집계!$B:$AD,MATCH(N$1,집계!$2:$2,0)-1,FALSE),"")</f>
        <v>0</v>
      </c>
      <c r="O54" s="16">
        <f>IFERROR(VLOOKUP($A54,집계!$B:$AD,MATCH(O$1,집계!$2:$2,0)-1,FALSE),"")</f>
        <v>80</v>
      </c>
      <c r="P54" s="31" t="str">
        <f>IFERROR(VLOOKUP($A54,집계!$B:$AD,MATCH(P$1,집계!$2:$2,0)-1,FALSE),"")</f>
        <v/>
      </c>
    </row>
    <row r="55" spans="1:32" ht="17.100000000000001" customHeight="1" x14ac:dyDescent="0.35">
      <c r="A55" s="2">
        <v>20414836</v>
      </c>
      <c r="B55" s="4">
        <f>IFERROR(VLOOKUP($A55,집계!$B:$AD,MATCH(B$1,집계!$2:$2,0)-1,FALSE),"")</f>
        <v>35</v>
      </c>
      <c r="C55" s="4" t="str">
        <f>IFERROR(VLOOKUP($A55,집계!$B:$AD,MATCH(C$1,집계!$2:$2,0)-1,FALSE),"")</f>
        <v>이현지</v>
      </c>
      <c r="D55" s="4">
        <f>IFERROR(VLOOKUP($A55,집계!$B:$AD,MATCH(D$1,집계!$2:$2,0)-1,FALSE),"")</f>
        <v>20414836</v>
      </c>
      <c r="E55" s="4" t="str">
        <f>IFERROR(VLOOKUP($A55,집계!$B:$AD,MATCH(E$1,집계!$2:$2,0)-1,FALSE),"")</f>
        <v>백리향 기반 pH 중화 기술을 적용한 친환경 섬유유연제</v>
      </c>
      <c r="F55" s="31">
        <f>IFERROR(VLOOKUP($A55,대상!$B:$AD,MATCH(F$1,대상!$1:$1,0)-1,FALSE),"")</f>
        <v>0</v>
      </c>
      <c r="G55" s="3">
        <f>IFERROR(VLOOKUP($A55,집계!$B:$AD,MATCH(G$1,집계!$2:$2,0)-1,FALSE),"")</f>
        <v>5</v>
      </c>
      <c r="H55" s="3">
        <f>IFERROR(VLOOKUP($A55,집계!$B:$AD,MATCH(H$1,집계!$2:$2,0)-1,FALSE),"")</f>
        <v>82</v>
      </c>
      <c r="I55" s="3">
        <f>IFERROR(VLOOKUP($A55,집계!$B:$AD,MATCH(I$1,집계!$2:$2,0)-1,FALSE),"")</f>
        <v>77</v>
      </c>
      <c r="J55" s="3">
        <f>IFERROR(VLOOKUP($A55,집계!$B:$AD,MATCH(J$1,집계!$2:$2,0)-1,FALSE),"")</f>
        <v>85</v>
      </c>
      <c r="K55" s="3">
        <f>IFERROR(VLOOKUP($A55,집계!$B:$AD,MATCH(K$1,집계!$2:$2,0)-1,FALSE),"")</f>
        <v>84</v>
      </c>
      <c r="L55" s="3">
        <f>IFERROR(VLOOKUP($A55,집계!$B:$AD,MATCH(L$1,집계!$2:$2,0)-1,FALSE),"")</f>
        <v>68</v>
      </c>
      <c r="M55" s="16">
        <f>IFERROR(VLOOKUP($A55,집계!$B:$AD,MATCH(M$1,집계!$2:$2,0)-1,FALSE),"")</f>
        <v>81</v>
      </c>
      <c r="N55" s="16">
        <f>IFERROR(VLOOKUP($A55,집계!$B:$AD,MATCH(N$1,집계!$2:$2,0)-1,FALSE),"")</f>
        <v>0</v>
      </c>
      <c r="O55" s="16">
        <f>IFERROR(VLOOKUP($A55,집계!$B:$AD,MATCH(O$1,집계!$2:$2,0)-1,FALSE),"")</f>
        <v>81</v>
      </c>
      <c r="P55" s="31" t="str">
        <f>IFERROR(VLOOKUP($A55,집계!$B:$AD,MATCH(P$1,집계!$2:$2,0)-1,FALSE),"")</f>
        <v/>
      </c>
    </row>
    <row r="56" spans="1:32" ht="17.100000000000001" customHeight="1" x14ac:dyDescent="0.35">
      <c r="A56" s="2">
        <v>20415499</v>
      </c>
      <c r="B56" s="4">
        <f>IFERROR(VLOOKUP($A56,집계!$B:$AD,MATCH(B$1,집계!$2:$2,0)-1,FALSE),"")</f>
        <v>7</v>
      </c>
      <c r="C56" s="4" t="str">
        <f>IFERROR(VLOOKUP($A56,집계!$B:$AD,MATCH(C$1,집계!$2:$2,0)-1,FALSE),"")</f>
        <v>정진우</v>
      </c>
      <c r="D56" s="4">
        <f>IFERROR(VLOOKUP($A56,집계!$B:$AD,MATCH(D$1,집계!$2:$2,0)-1,FALSE),"")</f>
        <v>20415499</v>
      </c>
      <c r="E56" s="4" t="str">
        <f>IFERROR(VLOOKUP($A56,집계!$B:$AD,MATCH(E$1,집계!$2:$2,0)-1,FALSE),"")</f>
        <v>초고속 냉연/도금 강판 생산 라인을 위한 반응형 초계면(Super-Interface) 탈지제</v>
      </c>
      <c r="F56" s="31">
        <f>IFERROR(VLOOKUP($A56,대상!$B:$AD,MATCH(F$1,대상!$1:$1,0)-1,FALSE),"")</f>
        <v>0</v>
      </c>
      <c r="G56" s="3">
        <f>IFERROR(VLOOKUP($A56,집계!$B:$AD,MATCH(G$1,집계!$2:$2,0)-1,FALSE),"")</f>
        <v>5</v>
      </c>
      <c r="H56" s="3">
        <f>IFERROR(VLOOKUP($A56,집계!$B:$AD,MATCH(H$1,집계!$2:$2,0)-1,FALSE),"")</f>
        <v>91</v>
      </c>
      <c r="I56" s="3">
        <f>IFERROR(VLOOKUP($A56,집계!$B:$AD,MATCH(I$1,집계!$2:$2,0)-1,FALSE),"")</f>
        <v>93</v>
      </c>
      <c r="J56" s="3">
        <f>IFERROR(VLOOKUP($A56,집계!$B:$AD,MATCH(J$1,집계!$2:$2,0)-1,FALSE),"")</f>
        <v>95</v>
      </c>
      <c r="K56" s="3">
        <f>IFERROR(VLOOKUP($A56,집계!$B:$AD,MATCH(K$1,집계!$2:$2,0)-1,FALSE),"")</f>
        <v>90</v>
      </c>
      <c r="L56" s="3">
        <f>IFERROR(VLOOKUP($A56,집계!$B:$AD,MATCH(L$1,집계!$2:$2,0)-1,FALSE),"")</f>
        <v>94</v>
      </c>
      <c r="M56" s="16">
        <f>IFERROR(VLOOKUP($A56,집계!$B:$AD,MATCH(M$1,집계!$2:$2,0)-1,FALSE),"")</f>
        <v>92.666666666666671</v>
      </c>
      <c r="N56" s="16">
        <f>IFERROR(VLOOKUP($A56,집계!$B:$AD,MATCH(N$1,집계!$2:$2,0)-1,FALSE),"")</f>
        <v>0</v>
      </c>
      <c r="O56" s="16">
        <f>IFERROR(VLOOKUP($A56,집계!$B:$AD,MATCH(O$1,집계!$2:$2,0)-1,FALSE),"")</f>
        <v>92.666666666666671</v>
      </c>
      <c r="P56" s="31" t="str">
        <f>IFERROR(VLOOKUP($A56,집계!$B:$AD,MATCH(P$1,집계!$2:$2,0)-1,FALSE),"")</f>
        <v/>
      </c>
    </row>
    <row r="57" spans="1:32" ht="17.100000000000001" customHeight="1" x14ac:dyDescent="0.35">
      <c r="A57" s="2">
        <v>20416443</v>
      </c>
      <c r="B57" s="4">
        <f>IFERROR(VLOOKUP($A57,집계!$B:$AD,MATCH(B$1,집계!$2:$2,0)-1,FALSE),"")</f>
        <v>6</v>
      </c>
      <c r="C57" s="4" t="str">
        <f>IFERROR(VLOOKUP($A57,집계!$B:$AD,MATCH(C$1,집계!$2:$2,0)-1,FALSE),"")</f>
        <v>김성진</v>
      </c>
      <c r="D57" s="4">
        <f>IFERROR(VLOOKUP($A57,집계!$B:$AD,MATCH(D$1,집계!$2:$2,0)-1,FALSE),"")</f>
        <v>20416443</v>
      </c>
      <c r="E57" s="4" t="str">
        <f>IFERROR(VLOOKUP($A57,집계!$B:$AD,MATCH(E$1,집계!$2:$2,0)-1,FALSE),"")</f>
        <v>고해상도 DFSR(Dry Film Solder Resist) 제조기술 개발</v>
      </c>
      <c r="F57" s="31">
        <f>IFERROR(VLOOKUP($A57,대상!$B:$AD,MATCH(F$1,대상!$1:$1,0)-1,FALSE),"")</f>
        <v>0</v>
      </c>
      <c r="G57" s="3">
        <f>IFERROR(VLOOKUP($A57,집계!$B:$AD,MATCH(G$1,집계!$2:$2,0)-1,FALSE),"")</f>
        <v>5</v>
      </c>
      <c r="H57" s="3">
        <f>IFERROR(VLOOKUP($A57,집계!$B:$AD,MATCH(H$1,집계!$2:$2,0)-1,FALSE),"")</f>
        <v>95</v>
      </c>
      <c r="I57" s="3">
        <f>IFERROR(VLOOKUP($A57,집계!$B:$AD,MATCH(I$1,집계!$2:$2,0)-1,FALSE),"")</f>
        <v>96</v>
      </c>
      <c r="J57" s="3">
        <f>IFERROR(VLOOKUP($A57,집계!$B:$AD,MATCH(J$1,집계!$2:$2,0)-1,FALSE),"")</f>
        <v>93</v>
      </c>
      <c r="K57" s="3">
        <f>IFERROR(VLOOKUP($A57,집계!$B:$AD,MATCH(K$1,집계!$2:$2,0)-1,FALSE),"")</f>
        <v>92</v>
      </c>
      <c r="L57" s="3">
        <f>IFERROR(VLOOKUP($A57,집계!$B:$AD,MATCH(L$1,집계!$2:$2,0)-1,FALSE),"")</f>
        <v>92</v>
      </c>
      <c r="M57" s="16">
        <f>IFERROR(VLOOKUP($A57,집계!$B:$AD,MATCH(M$1,집계!$2:$2,0)-1,FALSE),"")</f>
        <v>93.333333333333329</v>
      </c>
      <c r="N57" s="16">
        <f>IFERROR(VLOOKUP($A57,집계!$B:$AD,MATCH(N$1,집계!$2:$2,0)-1,FALSE),"")</f>
        <v>0</v>
      </c>
      <c r="O57" s="16">
        <f>IFERROR(VLOOKUP($A57,집계!$B:$AD,MATCH(O$1,집계!$2:$2,0)-1,FALSE),"")</f>
        <v>93.333333333333329</v>
      </c>
      <c r="P57" s="31" t="str">
        <f>IFERROR(VLOOKUP($A57,집계!$B:$AD,MATCH(P$1,집계!$2:$2,0)-1,FALSE),"")</f>
        <v/>
      </c>
    </row>
    <row r="58" spans="1:32" ht="17.100000000000001" customHeight="1" x14ac:dyDescent="0.35">
      <c r="A58" s="2">
        <v>20416549</v>
      </c>
      <c r="B58" s="4">
        <f>IFERROR(VLOOKUP($A58,집계!$B:$AD,MATCH(B$1,집계!$2:$2,0)-1,FALSE),"")</f>
        <v>14</v>
      </c>
      <c r="C58" s="4" t="str">
        <f>IFERROR(VLOOKUP($A58,집계!$B:$AD,MATCH(C$1,집계!$2:$2,0)-1,FALSE),"")</f>
        <v>한서진</v>
      </c>
      <c r="D58" s="4">
        <f>IFERROR(VLOOKUP($A58,집계!$B:$AD,MATCH(D$1,집계!$2:$2,0)-1,FALSE),"")</f>
        <v>20416549</v>
      </c>
      <c r="E58" s="4" t="str">
        <f>IFERROR(VLOOKUP($A58,집계!$B:$AD,MATCH(E$1,집계!$2:$2,0)-1,FALSE),"")</f>
        <v>특허 기반 3중 레이어 기술 적용 보습 패드팩 개발 및 글로벌 진출</v>
      </c>
      <c r="F58" s="31">
        <f>IFERROR(VLOOKUP($A58,대상!$B:$AD,MATCH(F$1,대상!$1:$1,0)-1,FALSE),"")</f>
        <v>0</v>
      </c>
      <c r="G58" s="3">
        <f>IFERROR(VLOOKUP($A58,집계!$B:$AD,MATCH(G$1,집계!$2:$2,0)-1,FALSE),"")</f>
        <v>5</v>
      </c>
      <c r="H58" s="3">
        <f>IFERROR(VLOOKUP($A58,집계!$B:$AD,MATCH(H$1,집계!$2:$2,0)-1,FALSE),"")</f>
        <v>84</v>
      </c>
      <c r="I58" s="3">
        <f>IFERROR(VLOOKUP($A58,집계!$B:$AD,MATCH(I$1,집계!$2:$2,0)-1,FALSE),"")</f>
        <v>86</v>
      </c>
      <c r="J58" s="3">
        <f>IFERROR(VLOOKUP($A58,집계!$B:$AD,MATCH(J$1,집계!$2:$2,0)-1,FALSE),"")</f>
        <v>84</v>
      </c>
      <c r="K58" s="3">
        <f>IFERROR(VLOOKUP($A58,집계!$B:$AD,MATCH(K$1,집계!$2:$2,0)-1,FALSE),"")</f>
        <v>78</v>
      </c>
      <c r="L58" s="3">
        <f>IFERROR(VLOOKUP($A58,집계!$B:$AD,MATCH(L$1,집계!$2:$2,0)-1,FALSE),"")</f>
        <v>83</v>
      </c>
      <c r="M58" s="16">
        <f>IFERROR(VLOOKUP($A58,집계!$B:$AD,MATCH(M$1,집계!$2:$2,0)-1,FALSE),"")</f>
        <v>83.666666666666671</v>
      </c>
      <c r="N58" s="16">
        <f>IFERROR(VLOOKUP($A58,집계!$B:$AD,MATCH(N$1,집계!$2:$2,0)-1,FALSE),"")</f>
        <v>2</v>
      </c>
      <c r="O58" s="16">
        <f>IFERROR(VLOOKUP($A58,집계!$B:$AD,MATCH(O$1,집계!$2:$2,0)-1,FALSE),"")</f>
        <v>85.666666666666671</v>
      </c>
      <c r="P58" s="31" t="str">
        <f>IFERROR(VLOOKUP($A58,집계!$B:$AD,MATCH(P$1,집계!$2:$2,0)-1,FALSE),"")</f>
        <v/>
      </c>
    </row>
    <row r="59" spans="1:32" ht="17.100000000000001" customHeight="1" x14ac:dyDescent="0.35">
      <c r="A59" s="2">
        <v>20417276</v>
      </c>
      <c r="B59" s="4">
        <f>IFERROR(VLOOKUP($A59,집계!$B:$AD,MATCH(B$1,집계!$2:$2,0)-1,FALSE),"")</f>
        <v>69</v>
      </c>
      <c r="C59" s="4" t="str">
        <f>IFERROR(VLOOKUP($A59,집계!$B:$AD,MATCH(C$1,집계!$2:$2,0)-1,FALSE),"")</f>
        <v>한의현</v>
      </c>
      <c r="D59" s="4">
        <f>IFERROR(VLOOKUP($A59,집계!$B:$AD,MATCH(D$1,집계!$2:$2,0)-1,FALSE),"")</f>
        <v>20417276</v>
      </c>
      <c r="E59" s="4" t="str">
        <f>IFERROR(VLOOKUP($A59,집계!$B:$AD,MATCH(E$1,집계!$2:$2,0)-1,FALSE),"")</f>
        <v>AI기술이 적용된 수면 피부 맞춤 침구 솔루션 제품 서비스</v>
      </c>
      <c r="F59" s="31">
        <f>IFERROR(VLOOKUP($A59,대상!$B:$AD,MATCH(F$1,대상!$1:$1,0)-1,FALSE),"")</f>
        <v>0</v>
      </c>
      <c r="G59" s="3">
        <f>IFERROR(VLOOKUP($A59,집계!$B:$AD,MATCH(G$1,집계!$2:$2,0)-1,FALSE),"")</f>
        <v>5</v>
      </c>
      <c r="H59" s="3">
        <f>IFERROR(VLOOKUP($A59,집계!$B:$AD,MATCH(H$1,집계!$2:$2,0)-1,FALSE),"")</f>
        <v>79</v>
      </c>
      <c r="I59" s="3">
        <f>IFERROR(VLOOKUP($A59,집계!$B:$AD,MATCH(I$1,집계!$2:$2,0)-1,FALSE),"")</f>
        <v>78</v>
      </c>
      <c r="J59" s="3">
        <f>IFERROR(VLOOKUP($A59,집계!$B:$AD,MATCH(J$1,집계!$2:$2,0)-1,FALSE),"")</f>
        <v>75</v>
      </c>
      <c r="K59" s="3">
        <f>IFERROR(VLOOKUP($A59,집계!$B:$AD,MATCH(K$1,집계!$2:$2,0)-1,FALSE),"")</f>
        <v>86</v>
      </c>
      <c r="L59" s="3">
        <f>IFERROR(VLOOKUP($A59,집계!$B:$AD,MATCH(L$1,집계!$2:$2,0)-1,FALSE),"")</f>
        <v>67</v>
      </c>
      <c r="M59" s="16">
        <f>IFERROR(VLOOKUP($A59,집계!$B:$AD,MATCH(M$1,집계!$2:$2,0)-1,FALSE),"")</f>
        <v>77.333333333333329</v>
      </c>
      <c r="N59" s="16">
        <f>IFERROR(VLOOKUP($A59,집계!$B:$AD,MATCH(N$1,집계!$2:$2,0)-1,FALSE),"")</f>
        <v>0</v>
      </c>
      <c r="O59" s="16">
        <f>IFERROR(VLOOKUP($A59,집계!$B:$AD,MATCH(O$1,집계!$2:$2,0)-1,FALSE),"")</f>
        <v>77.333333333333329</v>
      </c>
      <c r="P59" s="31" t="str">
        <f>IFERROR(VLOOKUP($A59,집계!$B:$AD,MATCH(P$1,집계!$2:$2,0)-1,FALSE),"")</f>
        <v/>
      </c>
    </row>
    <row r="60" spans="1:32" ht="17.100000000000001" customHeight="1" x14ac:dyDescent="0.35">
      <c r="A60" s="2">
        <v>20417321</v>
      </c>
      <c r="B60" s="4">
        <f>IFERROR(VLOOKUP($A60,집계!$B:$AD,MATCH(B$1,집계!$2:$2,0)-1,FALSE),"")</f>
        <v>61</v>
      </c>
      <c r="C60" s="4" t="str">
        <f>IFERROR(VLOOKUP($A60,집계!$B:$AD,MATCH(C$1,집계!$2:$2,0)-1,FALSE),"")</f>
        <v>김민규</v>
      </c>
      <c r="D60" s="4">
        <f>IFERROR(VLOOKUP($A60,집계!$B:$AD,MATCH(D$1,집계!$2:$2,0)-1,FALSE),"")</f>
        <v>20417321</v>
      </c>
      <c r="E60" s="4" t="str">
        <f>IFERROR(VLOOKUP($A60,집계!$B:$AD,MATCH(E$1,집계!$2:$2,0)-1,FALSE),"")</f>
        <v>롤러형먼지크리너겸용방충포집기</v>
      </c>
      <c r="F60" s="31">
        <f>IFERROR(VLOOKUP($A60,대상!$B:$AD,MATCH(F$1,대상!$1:$1,0)-1,FALSE),"")</f>
        <v>0</v>
      </c>
      <c r="G60" s="3">
        <f>IFERROR(VLOOKUP($A60,집계!$B:$AD,MATCH(G$1,집계!$2:$2,0)-1,FALSE),"")</f>
        <v>5</v>
      </c>
      <c r="H60" s="3">
        <f>IFERROR(VLOOKUP($A60,집계!$B:$AD,MATCH(H$1,집계!$2:$2,0)-1,FALSE),"")</f>
        <v>78</v>
      </c>
      <c r="I60" s="3">
        <f>IFERROR(VLOOKUP($A60,집계!$B:$AD,MATCH(I$1,집계!$2:$2,0)-1,FALSE),"")</f>
        <v>83</v>
      </c>
      <c r="J60" s="3">
        <f>IFERROR(VLOOKUP($A60,집계!$B:$AD,MATCH(J$1,집계!$2:$2,0)-1,FALSE),"")</f>
        <v>67</v>
      </c>
      <c r="K60" s="3">
        <f>IFERROR(VLOOKUP($A60,집계!$B:$AD,MATCH(K$1,집계!$2:$2,0)-1,FALSE),"")</f>
        <v>88</v>
      </c>
      <c r="L60" s="3">
        <f>IFERROR(VLOOKUP($A60,집계!$B:$AD,MATCH(L$1,집계!$2:$2,0)-1,FALSE),"")</f>
        <v>73</v>
      </c>
      <c r="M60" s="16">
        <f>IFERROR(VLOOKUP($A60,집계!$B:$AD,MATCH(M$1,집계!$2:$2,0)-1,FALSE),"")</f>
        <v>78</v>
      </c>
      <c r="N60" s="16">
        <f>IFERROR(VLOOKUP($A60,집계!$B:$AD,MATCH(N$1,집계!$2:$2,0)-1,FALSE),"")</f>
        <v>0</v>
      </c>
      <c r="O60" s="16">
        <f>IFERROR(VLOOKUP($A60,집계!$B:$AD,MATCH(O$1,집계!$2:$2,0)-1,FALSE),"")</f>
        <v>78</v>
      </c>
      <c r="P60" s="31" t="str">
        <f>IFERROR(VLOOKUP($A60,집계!$B:$AD,MATCH(P$1,집계!$2:$2,0)-1,FALSE),"")</f>
        <v/>
      </c>
    </row>
    <row r="61" spans="1:32" s="5" customFormat="1" ht="17.100000000000001" customHeight="1" x14ac:dyDescent="0.35">
      <c r="A61" s="2">
        <v>20417527</v>
      </c>
      <c r="B61" s="4">
        <f>IFERROR(VLOOKUP($A61,집계!$B:$AD,MATCH(B$1,집계!$2:$2,0)-1,FALSE),"")</f>
        <v>57</v>
      </c>
      <c r="C61" s="4" t="str">
        <f>IFERROR(VLOOKUP($A61,집계!$B:$AD,MATCH(C$1,집계!$2:$2,0)-1,FALSE),"")</f>
        <v>왕효원</v>
      </c>
      <c r="D61" s="4">
        <f>IFERROR(VLOOKUP($A61,집계!$B:$AD,MATCH(D$1,집계!$2:$2,0)-1,FALSE),"")</f>
        <v>20417527</v>
      </c>
      <c r="E61" s="4" t="str">
        <f>IFERROR(VLOOKUP($A61,집계!$B:$AD,MATCH(E$1,집계!$2:$2,0)-1,FALSE),"")</f>
        <v>초보자도 손쉽게 제모 가능한 고기능성 슈가페이스트 및 자동 충진 제조 시스템의 사업화</v>
      </c>
      <c r="F61" s="31">
        <f>IFERROR(VLOOKUP($A61,대상!$B:$AD,MATCH(F$1,대상!$1:$1,0)-1,FALSE),"")</f>
        <v>0</v>
      </c>
      <c r="G61" s="3">
        <f>IFERROR(VLOOKUP($A61,집계!$B:$AD,MATCH(G$1,집계!$2:$2,0)-1,FALSE),"")</f>
        <v>5</v>
      </c>
      <c r="H61" s="3">
        <f>IFERROR(VLOOKUP($A61,집계!$B:$AD,MATCH(H$1,집계!$2:$2,0)-1,FALSE),"")</f>
        <v>79</v>
      </c>
      <c r="I61" s="3">
        <f>IFERROR(VLOOKUP($A61,집계!$B:$AD,MATCH(I$1,집계!$2:$2,0)-1,FALSE),"")</f>
        <v>86</v>
      </c>
      <c r="J61" s="3">
        <f>IFERROR(VLOOKUP($A61,집계!$B:$AD,MATCH(J$1,집계!$2:$2,0)-1,FALSE),"")</f>
        <v>66</v>
      </c>
      <c r="K61" s="3">
        <f>IFERROR(VLOOKUP($A61,집계!$B:$AD,MATCH(K$1,집계!$2:$2,0)-1,FALSE),"")</f>
        <v>80</v>
      </c>
      <c r="L61" s="3">
        <f>IFERROR(VLOOKUP($A61,집계!$B:$AD,MATCH(L$1,집계!$2:$2,0)-1,FALSE),"")</f>
        <v>76</v>
      </c>
      <c r="M61" s="16">
        <f>IFERROR(VLOOKUP($A61,집계!$B:$AD,MATCH(M$1,집계!$2:$2,0)-1,FALSE),"")</f>
        <v>78.333333333333329</v>
      </c>
      <c r="N61" s="16">
        <f>IFERROR(VLOOKUP($A61,집계!$B:$AD,MATCH(N$1,집계!$2:$2,0)-1,FALSE),"")</f>
        <v>0</v>
      </c>
      <c r="O61" s="16">
        <f>IFERROR(VLOOKUP($A61,집계!$B:$AD,MATCH(O$1,집계!$2:$2,0)-1,FALSE),"")</f>
        <v>78.333333333333329</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20417598</v>
      </c>
      <c r="B62" s="4">
        <f>IFERROR(VLOOKUP($A62,집계!$B:$AD,MATCH(B$1,집계!$2:$2,0)-1,FALSE),"")</f>
        <v>36</v>
      </c>
      <c r="C62" s="4" t="str">
        <f>IFERROR(VLOOKUP($A62,집계!$B:$AD,MATCH(C$1,집계!$2:$2,0)-1,FALSE),"")</f>
        <v>서인석</v>
      </c>
      <c r="D62" s="4">
        <f>IFERROR(VLOOKUP($A62,집계!$B:$AD,MATCH(D$1,집계!$2:$2,0)-1,FALSE),"")</f>
        <v>20417598</v>
      </c>
      <c r="E62" s="4" t="str">
        <f>IFERROR(VLOOKUP($A62,집계!$B:$AD,MATCH(E$1,집계!$2:$2,0)-1,FALSE),"")</f>
        <v>편리한 위생관리를 위한 건조형 음식물처리기 전용세제</v>
      </c>
      <c r="F62" s="31">
        <f>IFERROR(VLOOKUP($A62,대상!$B:$AD,MATCH(F$1,대상!$1:$1,0)-1,FALSE),"")</f>
        <v>0</v>
      </c>
      <c r="G62" s="3">
        <f>IFERROR(VLOOKUP($A62,집계!$B:$AD,MATCH(G$1,집계!$2:$2,0)-1,FALSE),"")</f>
        <v>5</v>
      </c>
      <c r="H62" s="3">
        <f>IFERROR(VLOOKUP($A62,집계!$B:$AD,MATCH(H$1,집계!$2:$2,0)-1,FALSE),"")</f>
        <v>76</v>
      </c>
      <c r="I62" s="3">
        <f>IFERROR(VLOOKUP($A62,집계!$B:$AD,MATCH(I$1,집계!$2:$2,0)-1,FALSE),"")</f>
        <v>83</v>
      </c>
      <c r="J62" s="3">
        <f>IFERROR(VLOOKUP($A62,집계!$B:$AD,MATCH(J$1,집계!$2:$2,0)-1,FALSE),"")</f>
        <v>83</v>
      </c>
      <c r="K62" s="3">
        <f>IFERROR(VLOOKUP($A62,집계!$B:$AD,MATCH(K$1,집계!$2:$2,0)-1,FALSE),"")</f>
        <v>86</v>
      </c>
      <c r="L62" s="3">
        <f>IFERROR(VLOOKUP($A62,집계!$B:$AD,MATCH(L$1,집계!$2:$2,0)-1,FALSE),"")</f>
        <v>67</v>
      </c>
      <c r="M62" s="16">
        <f>IFERROR(VLOOKUP($A62,집계!$B:$AD,MATCH(M$1,집계!$2:$2,0)-1,FALSE),"")</f>
        <v>80.666666666666671</v>
      </c>
      <c r="N62" s="16">
        <f>IFERROR(VLOOKUP($A62,집계!$B:$AD,MATCH(N$1,집계!$2:$2,0)-1,FALSE),"")</f>
        <v>0</v>
      </c>
      <c r="O62" s="16">
        <f>IFERROR(VLOOKUP($A62,집계!$B:$AD,MATCH(O$1,집계!$2:$2,0)-1,FALSE),"")</f>
        <v>80.666666666666671</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20417853</v>
      </c>
      <c r="B63" s="4">
        <f>IFERROR(VLOOKUP($A63,집계!$B:$AD,MATCH(B$1,집계!$2:$2,0)-1,FALSE),"")</f>
        <v>106</v>
      </c>
      <c r="C63" s="4" t="str">
        <f>IFERROR(VLOOKUP($A63,집계!$B:$AD,MATCH(C$1,집계!$2:$2,0)-1,FALSE),"")</f>
        <v>남효정</v>
      </c>
      <c r="D63" s="4">
        <f>IFERROR(VLOOKUP($A63,집계!$B:$AD,MATCH(D$1,집계!$2:$2,0)-1,FALSE),"")</f>
        <v>20417853</v>
      </c>
      <c r="E63" s="4" t="str">
        <f>IFERROR(VLOOKUP($A63,집계!$B:$AD,MATCH(E$1,집계!$2:$2,0)-1,FALSE),"")</f>
        <v>AI 가상피팅 기반의 데이터 검증 및 고객 반응형 생산 D2C 패션 브랜드</v>
      </c>
      <c r="F63" s="31">
        <f>IFERROR(VLOOKUP($A63,대상!$B:$AD,MATCH(F$1,대상!$1:$1,0)-1,FALSE),"")</f>
        <v>0</v>
      </c>
      <c r="G63" s="3">
        <f>IFERROR(VLOOKUP($A63,집계!$B:$AD,MATCH(G$1,집계!$2:$2,0)-1,FALSE),"")</f>
        <v>5</v>
      </c>
      <c r="H63" s="3">
        <f>IFERROR(VLOOKUP($A63,집계!$B:$AD,MATCH(H$1,집계!$2:$2,0)-1,FALSE),"")</f>
        <v>79</v>
      </c>
      <c r="I63" s="3">
        <f>IFERROR(VLOOKUP($A63,집계!$B:$AD,MATCH(I$1,집계!$2:$2,0)-1,FALSE),"")</f>
        <v>69</v>
      </c>
      <c r="J63" s="3">
        <f>IFERROR(VLOOKUP($A63,집계!$B:$AD,MATCH(J$1,집계!$2:$2,0)-1,FALSE),"")</f>
        <v>76</v>
      </c>
      <c r="K63" s="3">
        <f>IFERROR(VLOOKUP($A63,집계!$B:$AD,MATCH(K$1,집계!$2:$2,0)-1,FALSE),"")</f>
        <v>71</v>
      </c>
      <c r="L63" s="3">
        <f>IFERROR(VLOOKUP($A63,집계!$B:$AD,MATCH(L$1,집계!$2:$2,0)-1,FALSE),"")</f>
        <v>66</v>
      </c>
      <c r="M63" s="16">
        <f>IFERROR(VLOOKUP($A63,집계!$B:$AD,MATCH(M$1,집계!$2:$2,0)-1,FALSE),"")</f>
        <v>72</v>
      </c>
      <c r="N63" s="16">
        <f>IFERROR(VLOOKUP($A63,집계!$B:$AD,MATCH(N$1,집계!$2:$2,0)-1,FALSE),"")</f>
        <v>0</v>
      </c>
      <c r="O63" s="16">
        <f>IFERROR(VLOOKUP($A63,집계!$B:$AD,MATCH(O$1,집계!$2:$2,0)-1,FALSE),"")</f>
        <v>72</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20417978</v>
      </c>
      <c r="B64" s="4">
        <f>IFERROR(VLOOKUP($A64,집계!$B:$AD,MATCH(B$1,집계!$2:$2,0)-1,FALSE),"")</f>
        <v>52</v>
      </c>
      <c r="C64" s="4" t="str">
        <f>IFERROR(VLOOKUP($A64,집계!$B:$AD,MATCH(C$1,집계!$2:$2,0)-1,FALSE),"")</f>
        <v>박규진</v>
      </c>
      <c r="D64" s="4">
        <f>IFERROR(VLOOKUP($A64,집계!$B:$AD,MATCH(D$1,집계!$2:$2,0)-1,FALSE),"")</f>
        <v>20417978</v>
      </c>
      <c r="E64" s="4" t="str">
        <f>IFERROR(VLOOKUP($A64,집계!$B:$AD,MATCH(E$1,집계!$2:$2,0)-1,FALSE),"")</f>
        <v>캡 자동닫힘 물티슈 수분건조 방지, 위생, 편의, 실용성, 혜택 서비스를 제공</v>
      </c>
      <c r="F64" s="31">
        <f>IFERROR(VLOOKUP($A64,대상!$B:$AD,MATCH(F$1,대상!$1:$1,0)-1,FALSE),"")</f>
        <v>0</v>
      </c>
      <c r="G64" s="3">
        <f>IFERROR(VLOOKUP($A64,집계!$B:$AD,MATCH(G$1,집계!$2:$2,0)-1,FALSE),"")</f>
        <v>5</v>
      </c>
      <c r="H64" s="3">
        <f>IFERROR(VLOOKUP($A64,집계!$B:$AD,MATCH(H$1,집계!$2:$2,0)-1,FALSE),"")</f>
        <v>73</v>
      </c>
      <c r="I64" s="3">
        <f>IFERROR(VLOOKUP($A64,집계!$B:$AD,MATCH(I$1,집계!$2:$2,0)-1,FALSE),"")</f>
        <v>81</v>
      </c>
      <c r="J64" s="3">
        <f>IFERROR(VLOOKUP($A64,집계!$B:$AD,MATCH(J$1,집계!$2:$2,0)-1,FALSE),"")</f>
        <v>79</v>
      </c>
      <c r="K64" s="3">
        <f>IFERROR(VLOOKUP($A64,집계!$B:$AD,MATCH(K$1,집계!$2:$2,0)-1,FALSE),"")</f>
        <v>89</v>
      </c>
      <c r="L64" s="3">
        <f>IFERROR(VLOOKUP($A64,집계!$B:$AD,MATCH(L$1,집계!$2:$2,0)-1,FALSE),"")</f>
        <v>76</v>
      </c>
      <c r="M64" s="16">
        <f>IFERROR(VLOOKUP($A64,집계!$B:$AD,MATCH(M$1,집계!$2:$2,0)-1,FALSE),"")</f>
        <v>78.666666666666671</v>
      </c>
      <c r="N64" s="16">
        <f>IFERROR(VLOOKUP($A64,집계!$B:$AD,MATCH(N$1,집계!$2:$2,0)-1,FALSE),"")</f>
        <v>0</v>
      </c>
      <c r="O64" s="16">
        <f>IFERROR(VLOOKUP($A64,집계!$B:$AD,MATCH(O$1,집계!$2:$2,0)-1,FALSE),"")</f>
        <v>78.666666666666671</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20419492</v>
      </c>
      <c r="B65" s="4">
        <f>IFERROR(VLOOKUP($A65,집계!$B:$AD,MATCH(B$1,집계!$2:$2,0)-1,FALSE),"")</f>
        <v>75</v>
      </c>
      <c r="C65" s="4" t="str">
        <f>IFERROR(VLOOKUP($A65,집계!$B:$AD,MATCH(C$1,집계!$2:$2,0)-1,FALSE),"")</f>
        <v>문소영</v>
      </c>
      <c r="D65" s="4">
        <f>IFERROR(VLOOKUP($A65,집계!$B:$AD,MATCH(D$1,집계!$2:$2,0)-1,FALSE),"")</f>
        <v>20419492</v>
      </c>
      <c r="E65" s="4" t="str">
        <f>IFERROR(VLOOKUP($A65,집계!$B:$AD,MATCH(E$1,집계!$2:$2,0)-1,FALSE),"")</f>
        <v>스마트 소재와 인체공학적 보정 패턴 기술이 융합된  5060 시니어 여성 특화 데일리 캐주얼 &amp;lt;헤이린드&amp;gt;</v>
      </c>
      <c r="F65" s="31">
        <f>IFERROR(VLOOKUP($A65,대상!$B:$AD,MATCH(F$1,대상!$1:$1,0)-1,FALSE),"")</f>
        <v>0</v>
      </c>
      <c r="G65" s="3">
        <f>IFERROR(VLOOKUP($A65,집계!$B:$AD,MATCH(G$1,집계!$2:$2,0)-1,FALSE),"")</f>
        <v>5</v>
      </c>
      <c r="H65" s="3">
        <f>IFERROR(VLOOKUP($A65,집계!$B:$AD,MATCH(H$1,집계!$2:$2,0)-1,FALSE),"")</f>
        <v>77</v>
      </c>
      <c r="I65" s="3">
        <f>IFERROR(VLOOKUP($A65,집계!$B:$AD,MATCH(I$1,집계!$2:$2,0)-1,FALSE),"")</f>
        <v>76</v>
      </c>
      <c r="J65" s="3">
        <f>IFERROR(VLOOKUP($A65,집계!$B:$AD,MATCH(J$1,집계!$2:$2,0)-1,FALSE),"")</f>
        <v>77</v>
      </c>
      <c r="K65" s="3">
        <f>IFERROR(VLOOKUP($A65,집계!$B:$AD,MATCH(K$1,집계!$2:$2,0)-1,FALSE),"")</f>
        <v>86</v>
      </c>
      <c r="L65" s="3">
        <f>IFERROR(VLOOKUP($A65,집계!$B:$AD,MATCH(L$1,집계!$2:$2,0)-1,FALSE),"")</f>
        <v>74</v>
      </c>
      <c r="M65" s="16">
        <f>IFERROR(VLOOKUP($A65,집계!$B:$AD,MATCH(M$1,집계!$2:$2,0)-1,FALSE),"")</f>
        <v>76.666666666666671</v>
      </c>
      <c r="N65" s="16">
        <f>IFERROR(VLOOKUP($A65,집계!$B:$AD,MATCH(N$1,집계!$2:$2,0)-1,FALSE),"")</f>
        <v>0</v>
      </c>
      <c r="O65" s="16">
        <f>IFERROR(VLOOKUP($A65,집계!$B:$AD,MATCH(O$1,집계!$2:$2,0)-1,FALSE),"")</f>
        <v>76.666666666666671</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20419677</v>
      </c>
      <c r="B66" s="4">
        <f>IFERROR(VLOOKUP($A66,집계!$B:$AD,MATCH(B$1,집계!$2:$2,0)-1,FALSE),"")</f>
        <v>85</v>
      </c>
      <c r="C66" s="4" t="str">
        <f>IFERROR(VLOOKUP($A66,집계!$B:$AD,MATCH(C$1,집계!$2:$2,0)-1,FALSE),"")</f>
        <v>조웅래</v>
      </c>
      <c r="D66" s="4">
        <f>IFERROR(VLOOKUP($A66,집계!$B:$AD,MATCH(D$1,집계!$2:$2,0)-1,FALSE),"")</f>
        <v>20419677</v>
      </c>
      <c r="E66" s="4" t="str">
        <f>IFERROR(VLOOKUP($A66,집계!$B:$AD,MATCH(E$1,집계!$2:$2,0)-1,FALSE),"")</f>
        <v>오토와인더 기술이 적용된  폴리프로필렌(PP) 원사 제조 및 인공지능 공정 제어를 위한 DX</v>
      </c>
      <c r="F66" s="31">
        <f>IFERROR(VLOOKUP($A66,대상!$B:$AD,MATCH(F$1,대상!$1:$1,0)-1,FALSE),"")</f>
        <v>0</v>
      </c>
      <c r="G66" s="3">
        <f>IFERROR(VLOOKUP($A66,집계!$B:$AD,MATCH(G$1,집계!$2:$2,0)-1,FALSE),"")</f>
        <v>5</v>
      </c>
      <c r="H66" s="3">
        <f>IFERROR(VLOOKUP($A66,집계!$B:$AD,MATCH(H$1,집계!$2:$2,0)-1,FALSE),"")</f>
        <v>84</v>
      </c>
      <c r="I66" s="3">
        <f>IFERROR(VLOOKUP($A66,집계!$B:$AD,MATCH(I$1,집계!$2:$2,0)-1,FALSE),"")</f>
        <v>73</v>
      </c>
      <c r="J66" s="3">
        <f>IFERROR(VLOOKUP($A66,집계!$B:$AD,MATCH(J$1,집계!$2:$2,0)-1,FALSE),"")</f>
        <v>87</v>
      </c>
      <c r="K66" s="3">
        <f>IFERROR(VLOOKUP($A66,집계!$B:$AD,MATCH(K$1,집계!$2:$2,0)-1,FALSE),"")</f>
        <v>70</v>
      </c>
      <c r="L66" s="3">
        <f>IFERROR(VLOOKUP($A66,집계!$B:$AD,MATCH(L$1,집계!$2:$2,0)-1,FALSE),"")</f>
        <v>67</v>
      </c>
      <c r="M66" s="16">
        <f>IFERROR(VLOOKUP($A66,집계!$B:$AD,MATCH(M$1,집계!$2:$2,0)-1,FALSE),"")</f>
        <v>75.666666666666671</v>
      </c>
      <c r="N66" s="16">
        <f>IFERROR(VLOOKUP($A66,집계!$B:$AD,MATCH(N$1,집계!$2:$2,0)-1,FALSE),"")</f>
        <v>0</v>
      </c>
      <c r="O66" s="16">
        <f>IFERROR(VLOOKUP($A66,집계!$B:$AD,MATCH(O$1,집계!$2:$2,0)-1,FALSE),"")</f>
        <v>75.666666666666671</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20420130</v>
      </c>
      <c r="B67" s="4">
        <f>IFERROR(VLOOKUP($A67,집계!$B:$AD,MATCH(B$1,집계!$2:$2,0)-1,FALSE),"")</f>
        <v>48</v>
      </c>
      <c r="C67" s="4" t="str">
        <f>IFERROR(VLOOKUP($A67,집계!$B:$AD,MATCH(C$1,집계!$2:$2,0)-1,FALSE),"")</f>
        <v>홍지훈</v>
      </c>
      <c r="D67" s="4">
        <f>IFERROR(VLOOKUP($A67,집계!$B:$AD,MATCH(D$1,집계!$2:$2,0)-1,FALSE),"")</f>
        <v>20420130</v>
      </c>
      <c r="E67" s="4" t="str">
        <f>IFERROR(VLOOKUP($A67,집계!$B:$AD,MATCH(E$1,집계!$2:$2,0)-1,FALSE),"")</f>
        <v>AI 지능형 위생 진단 기반의 고기능성 스마트 세정 솔루션</v>
      </c>
      <c r="F67" s="31">
        <f>IFERROR(VLOOKUP($A67,대상!$B:$AD,MATCH(F$1,대상!$1:$1,0)-1,FALSE),"")</f>
        <v>0</v>
      </c>
      <c r="G67" s="3">
        <f>IFERROR(VLOOKUP($A67,집계!$B:$AD,MATCH(G$1,집계!$2:$2,0)-1,FALSE),"")</f>
        <v>5</v>
      </c>
      <c r="H67" s="3">
        <f>IFERROR(VLOOKUP($A67,집계!$B:$AD,MATCH(H$1,집계!$2:$2,0)-1,FALSE),"")</f>
        <v>77</v>
      </c>
      <c r="I67" s="3">
        <f>IFERROR(VLOOKUP($A67,집계!$B:$AD,MATCH(I$1,집계!$2:$2,0)-1,FALSE),"")</f>
        <v>73</v>
      </c>
      <c r="J67" s="3">
        <f>IFERROR(VLOOKUP($A67,집계!$B:$AD,MATCH(J$1,집계!$2:$2,0)-1,FALSE),"")</f>
        <v>85</v>
      </c>
      <c r="K67" s="3">
        <f>IFERROR(VLOOKUP($A67,집계!$B:$AD,MATCH(K$1,집계!$2:$2,0)-1,FALSE),"")</f>
        <v>78</v>
      </c>
      <c r="L67" s="3">
        <f>IFERROR(VLOOKUP($A67,집계!$B:$AD,MATCH(L$1,집계!$2:$2,0)-1,FALSE),"")</f>
        <v>76</v>
      </c>
      <c r="M67" s="16">
        <f>IFERROR(VLOOKUP($A67,집계!$B:$AD,MATCH(M$1,집계!$2:$2,0)-1,FALSE),"")</f>
        <v>77</v>
      </c>
      <c r="N67" s="16">
        <f>IFERROR(VLOOKUP($A67,집계!$B:$AD,MATCH(N$1,집계!$2:$2,0)-1,FALSE),"")</f>
        <v>2</v>
      </c>
      <c r="O67" s="16">
        <f>IFERROR(VLOOKUP($A67,집계!$B:$AD,MATCH(O$1,집계!$2:$2,0)-1,FALSE),"")</f>
        <v>79</v>
      </c>
      <c r="P67" s="31" t="str">
        <f>IFERROR(VLOOKUP($A67,집계!$B:$AD,MATCH(P$1,집계!$2:$2,0)-1,FALSE),"")</f>
        <v/>
      </c>
    </row>
    <row r="68" spans="1:32" ht="17.100000000000001" customHeight="1" x14ac:dyDescent="0.35">
      <c r="A68" s="2">
        <v>20420533</v>
      </c>
      <c r="B68" s="4">
        <f>IFERROR(VLOOKUP($A68,집계!$B:$AD,MATCH(B$1,집계!$2:$2,0)-1,FALSE),"")</f>
        <v>92</v>
      </c>
      <c r="C68" s="4" t="str">
        <f>IFERROR(VLOOKUP($A68,집계!$B:$AD,MATCH(C$1,집계!$2:$2,0)-1,FALSE),"")</f>
        <v>유참얼</v>
      </c>
      <c r="D68" s="4">
        <f>IFERROR(VLOOKUP($A68,집계!$B:$AD,MATCH(D$1,집계!$2:$2,0)-1,FALSE),"")</f>
        <v>20420533</v>
      </c>
      <c r="E68" s="4" t="str">
        <f>IFERROR(VLOOKUP($A68,집계!$B:$AD,MATCH(E$1,집계!$2:$2,0)-1,FALSE),"")</f>
        <v>소가죽 용접복의 문제점 해결 가능한 &amp;quot;재생가죽 용접복&amp;quot;</v>
      </c>
      <c r="F68" s="31">
        <f>IFERROR(VLOOKUP($A68,대상!$B:$AD,MATCH(F$1,대상!$1:$1,0)-1,FALSE),"")</f>
        <v>0</v>
      </c>
      <c r="G68" s="3">
        <f>IFERROR(VLOOKUP($A68,집계!$B:$AD,MATCH(G$1,집계!$2:$2,0)-1,FALSE),"")</f>
        <v>5</v>
      </c>
      <c r="H68" s="3">
        <f>IFERROR(VLOOKUP($A68,집계!$B:$AD,MATCH(H$1,집계!$2:$2,0)-1,FALSE),"")</f>
        <v>76</v>
      </c>
      <c r="I68" s="3">
        <f>IFERROR(VLOOKUP($A68,집계!$B:$AD,MATCH(I$1,집계!$2:$2,0)-1,FALSE),"")</f>
        <v>79</v>
      </c>
      <c r="J68" s="3">
        <f>IFERROR(VLOOKUP($A68,집계!$B:$AD,MATCH(J$1,집계!$2:$2,0)-1,FALSE),"")</f>
        <v>65</v>
      </c>
      <c r="K68" s="3">
        <f>IFERROR(VLOOKUP($A68,집계!$B:$AD,MATCH(K$1,집계!$2:$2,0)-1,FALSE),"")</f>
        <v>70</v>
      </c>
      <c r="L68" s="3">
        <f>IFERROR(VLOOKUP($A68,집계!$B:$AD,MATCH(L$1,집계!$2:$2,0)-1,FALSE),"")</f>
        <v>76</v>
      </c>
      <c r="M68" s="16">
        <f>IFERROR(VLOOKUP($A68,집계!$B:$AD,MATCH(M$1,집계!$2:$2,0)-1,FALSE),"")</f>
        <v>74</v>
      </c>
      <c r="N68" s="16">
        <f>IFERROR(VLOOKUP($A68,집계!$B:$AD,MATCH(N$1,집계!$2:$2,0)-1,FALSE),"")</f>
        <v>0</v>
      </c>
      <c r="O68" s="16">
        <f>IFERROR(VLOOKUP($A68,집계!$B:$AD,MATCH(O$1,집계!$2:$2,0)-1,FALSE),"")</f>
        <v>74</v>
      </c>
      <c r="P68" s="31" t="str">
        <f>IFERROR(VLOOKUP($A68,집계!$B:$AD,MATCH(P$1,집계!$2:$2,0)-1,FALSE),"")</f>
        <v/>
      </c>
    </row>
    <row r="69" spans="1:32" ht="17.100000000000001" customHeight="1" x14ac:dyDescent="0.35">
      <c r="A69" s="2">
        <v>20420970</v>
      </c>
      <c r="B69" s="4">
        <f>IFERROR(VLOOKUP($A69,집계!$B:$AD,MATCH(B$1,집계!$2:$2,0)-1,FALSE),"")</f>
        <v>92</v>
      </c>
      <c r="C69" s="4" t="str">
        <f>IFERROR(VLOOKUP($A69,집계!$B:$AD,MATCH(C$1,집계!$2:$2,0)-1,FALSE),"")</f>
        <v>김연지</v>
      </c>
      <c r="D69" s="4">
        <f>IFERROR(VLOOKUP($A69,집계!$B:$AD,MATCH(D$1,집계!$2:$2,0)-1,FALSE),"")</f>
        <v>20420970</v>
      </c>
      <c r="E69" s="4" t="str">
        <f>IFERROR(VLOOKUP($A69,집계!$B:$AD,MATCH(E$1,집계!$2:$2,0)-1,FALSE),"")</f>
        <v>Zero-Sticky 왁싱 리페어 에센스</v>
      </c>
      <c r="F69" s="31">
        <f>IFERROR(VLOOKUP($A69,대상!$B:$AD,MATCH(F$1,대상!$1:$1,0)-1,FALSE),"")</f>
        <v>0</v>
      </c>
      <c r="G69" s="3">
        <f>IFERROR(VLOOKUP($A69,집계!$B:$AD,MATCH(G$1,집계!$2:$2,0)-1,FALSE),"")</f>
        <v>5</v>
      </c>
      <c r="H69" s="3">
        <f>IFERROR(VLOOKUP($A69,집계!$B:$AD,MATCH(H$1,집계!$2:$2,0)-1,FALSE),"")</f>
        <v>77</v>
      </c>
      <c r="I69" s="3">
        <f>IFERROR(VLOOKUP($A69,집계!$B:$AD,MATCH(I$1,집계!$2:$2,0)-1,FALSE),"")</f>
        <v>83</v>
      </c>
      <c r="J69" s="3">
        <f>IFERROR(VLOOKUP($A69,집계!$B:$AD,MATCH(J$1,집계!$2:$2,0)-1,FALSE),"")</f>
        <v>68</v>
      </c>
      <c r="K69" s="3">
        <f>IFERROR(VLOOKUP($A69,집계!$B:$AD,MATCH(K$1,집계!$2:$2,0)-1,FALSE),"")</f>
        <v>71</v>
      </c>
      <c r="L69" s="3">
        <f>IFERROR(VLOOKUP($A69,집계!$B:$AD,MATCH(L$1,집계!$2:$2,0)-1,FALSE),"")</f>
        <v>66</v>
      </c>
      <c r="M69" s="16">
        <f>IFERROR(VLOOKUP($A69,집계!$B:$AD,MATCH(M$1,집계!$2:$2,0)-1,FALSE),"")</f>
        <v>72</v>
      </c>
      <c r="N69" s="16">
        <f>IFERROR(VLOOKUP($A69,집계!$B:$AD,MATCH(N$1,집계!$2:$2,0)-1,FALSE),"")</f>
        <v>2</v>
      </c>
      <c r="O69" s="16">
        <f>IFERROR(VLOOKUP($A69,집계!$B:$AD,MATCH(O$1,집계!$2:$2,0)-1,FALSE),"")</f>
        <v>74</v>
      </c>
      <c r="P69" s="31" t="str">
        <f>IFERROR(VLOOKUP($A69,집계!$B:$AD,MATCH(P$1,집계!$2:$2,0)-1,FALSE),"")</f>
        <v/>
      </c>
    </row>
    <row r="70" spans="1:32" ht="17.100000000000001" customHeight="1" x14ac:dyDescent="0.35">
      <c r="A70" s="2">
        <v>20421819</v>
      </c>
      <c r="B70" s="4">
        <f>IFERROR(VLOOKUP($A70,집계!$B:$AD,MATCH(B$1,집계!$2:$2,0)-1,FALSE),"")</f>
        <v>29</v>
      </c>
      <c r="C70" s="4" t="str">
        <f>IFERROR(VLOOKUP($A70,집계!$B:$AD,MATCH(C$1,집계!$2:$2,0)-1,FALSE),"")</f>
        <v>장진주</v>
      </c>
      <c r="D70" s="4">
        <f>IFERROR(VLOOKUP($A70,집계!$B:$AD,MATCH(D$1,집계!$2:$2,0)-1,FALSE),"")</f>
        <v>20421819</v>
      </c>
      <c r="E70" s="4" t="str">
        <f>IFERROR(VLOOKUP($A70,집계!$B:$AD,MATCH(E$1,집계!$2:$2,0)-1,FALSE),"")</f>
        <v>노령견 피부장벽 예방 기능성 케어 크림 개발</v>
      </c>
      <c r="F70" s="31">
        <f>IFERROR(VLOOKUP($A70,대상!$B:$AD,MATCH(F$1,대상!$1:$1,0)-1,FALSE),"")</f>
        <v>0</v>
      </c>
      <c r="G70" s="3">
        <f>IFERROR(VLOOKUP($A70,집계!$B:$AD,MATCH(G$1,집계!$2:$2,0)-1,FALSE),"")</f>
        <v>5</v>
      </c>
      <c r="H70" s="3">
        <f>IFERROR(VLOOKUP($A70,집계!$B:$AD,MATCH(H$1,집계!$2:$2,0)-1,FALSE),"")</f>
        <v>88</v>
      </c>
      <c r="I70" s="3">
        <f>IFERROR(VLOOKUP($A70,집계!$B:$AD,MATCH(I$1,집계!$2:$2,0)-1,FALSE),"")</f>
        <v>87</v>
      </c>
      <c r="J70" s="3">
        <f>IFERROR(VLOOKUP($A70,집계!$B:$AD,MATCH(J$1,집계!$2:$2,0)-1,FALSE),"")</f>
        <v>69</v>
      </c>
      <c r="K70" s="3">
        <f>IFERROR(VLOOKUP($A70,집계!$B:$AD,MATCH(K$1,집계!$2:$2,0)-1,FALSE),"")</f>
        <v>75</v>
      </c>
      <c r="L70" s="3">
        <f>IFERROR(VLOOKUP($A70,집계!$B:$AD,MATCH(L$1,집계!$2:$2,0)-1,FALSE),"")</f>
        <v>83</v>
      </c>
      <c r="M70" s="16">
        <f>IFERROR(VLOOKUP($A70,집계!$B:$AD,MATCH(M$1,집계!$2:$2,0)-1,FALSE),"")</f>
        <v>81.666666666666671</v>
      </c>
      <c r="N70" s="16">
        <f>IFERROR(VLOOKUP($A70,집계!$B:$AD,MATCH(N$1,집계!$2:$2,0)-1,FALSE),"")</f>
        <v>0</v>
      </c>
      <c r="O70" s="16">
        <f>IFERROR(VLOOKUP($A70,집계!$B:$AD,MATCH(O$1,집계!$2:$2,0)-1,FALSE),"")</f>
        <v>81.666666666666671</v>
      </c>
      <c r="P70" s="31" t="str">
        <f>IFERROR(VLOOKUP($A70,집계!$B:$AD,MATCH(P$1,집계!$2:$2,0)-1,FALSE),"")</f>
        <v/>
      </c>
    </row>
    <row r="71" spans="1:32" ht="17.100000000000001" customHeight="1" x14ac:dyDescent="0.35">
      <c r="A71" s="2">
        <v>20422094</v>
      </c>
      <c r="B71" s="4">
        <f>IFERROR(VLOOKUP($A71,집계!$B:$AD,MATCH(B$1,집계!$2:$2,0)-1,FALSE),"")</f>
        <v>61</v>
      </c>
      <c r="C71" s="4" t="str">
        <f>IFERROR(VLOOKUP($A71,집계!$B:$AD,MATCH(C$1,집계!$2:$2,0)-1,FALSE),"")</f>
        <v>최다인</v>
      </c>
      <c r="D71" s="4">
        <f>IFERROR(VLOOKUP($A71,집계!$B:$AD,MATCH(D$1,집계!$2:$2,0)-1,FALSE),"")</f>
        <v>20422094</v>
      </c>
      <c r="E71" s="4" t="str">
        <f>IFERROR(VLOOKUP($A71,집계!$B:$AD,MATCH(E$1,집계!$2:$2,0)-1,FALSE),"")</f>
        <v>피부를 숨기지 않아도 되는 안심 베이스</v>
      </c>
      <c r="F71" s="31">
        <f>IFERROR(VLOOKUP($A71,대상!$B:$AD,MATCH(F$1,대상!$1:$1,0)-1,FALSE),"")</f>
        <v>0</v>
      </c>
      <c r="G71" s="3">
        <f>IFERROR(VLOOKUP($A71,집계!$B:$AD,MATCH(G$1,집계!$2:$2,0)-1,FALSE),"")</f>
        <v>5</v>
      </c>
      <c r="H71" s="3">
        <f>IFERROR(VLOOKUP($A71,집계!$B:$AD,MATCH(H$1,집계!$2:$2,0)-1,FALSE),"")</f>
        <v>77</v>
      </c>
      <c r="I71" s="3">
        <f>IFERROR(VLOOKUP($A71,집계!$B:$AD,MATCH(I$1,집계!$2:$2,0)-1,FALSE),"")</f>
        <v>82</v>
      </c>
      <c r="J71" s="3">
        <f>IFERROR(VLOOKUP($A71,집계!$B:$AD,MATCH(J$1,집계!$2:$2,0)-1,FALSE),"")</f>
        <v>67</v>
      </c>
      <c r="K71" s="3">
        <f>IFERROR(VLOOKUP($A71,집계!$B:$AD,MATCH(K$1,집계!$2:$2,0)-1,FALSE),"")</f>
        <v>75</v>
      </c>
      <c r="L71" s="3">
        <f>IFERROR(VLOOKUP($A71,집계!$B:$AD,MATCH(L$1,집계!$2:$2,0)-1,FALSE),"")</f>
        <v>85</v>
      </c>
      <c r="M71" s="16">
        <f>IFERROR(VLOOKUP($A71,집계!$B:$AD,MATCH(M$1,집계!$2:$2,0)-1,FALSE),"")</f>
        <v>78</v>
      </c>
      <c r="N71" s="16">
        <f>IFERROR(VLOOKUP($A71,집계!$B:$AD,MATCH(N$1,집계!$2:$2,0)-1,FALSE),"")</f>
        <v>0</v>
      </c>
      <c r="O71" s="16">
        <f>IFERROR(VLOOKUP($A71,집계!$B:$AD,MATCH(O$1,집계!$2:$2,0)-1,FALSE),"")</f>
        <v>78</v>
      </c>
      <c r="P71" s="31" t="str">
        <f>IFERROR(VLOOKUP($A71,집계!$B:$AD,MATCH(P$1,집계!$2:$2,0)-1,FALSE),"")</f>
        <v/>
      </c>
    </row>
    <row r="72" spans="1:32" ht="17.100000000000001" customHeight="1" x14ac:dyDescent="0.35">
      <c r="A72" s="2">
        <v>20422688</v>
      </c>
      <c r="B72" s="4">
        <f>IFERROR(VLOOKUP($A72,집계!$B:$AD,MATCH(B$1,집계!$2:$2,0)-1,FALSE),"")</f>
        <v>36</v>
      </c>
      <c r="C72" s="4" t="str">
        <f>IFERROR(VLOOKUP($A72,집계!$B:$AD,MATCH(C$1,집계!$2:$2,0)-1,FALSE),"")</f>
        <v>조윤경</v>
      </c>
      <c r="D72" s="4">
        <f>IFERROR(VLOOKUP($A72,집계!$B:$AD,MATCH(D$1,집계!$2:$2,0)-1,FALSE),"")</f>
        <v>20422688</v>
      </c>
      <c r="E72" s="4" t="str">
        <f>IFERROR(VLOOKUP($A72,집계!$B:$AD,MATCH(E$1,집계!$2:$2,0)-1,FALSE),"")</f>
        <v>산업현장 지속가능성 강화를 위한 업사이클 섬유, 모듈형 설계 기술을 활용한 다기능 워크웨어 서비스</v>
      </c>
      <c r="F72" s="31">
        <f>IFERROR(VLOOKUP($A72,대상!$B:$AD,MATCH(F$1,대상!$1:$1,0)-1,FALSE),"")</f>
        <v>0</v>
      </c>
      <c r="G72" s="3">
        <f>IFERROR(VLOOKUP($A72,집계!$B:$AD,MATCH(G$1,집계!$2:$2,0)-1,FALSE),"")</f>
        <v>5</v>
      </c>
      <c r="H72" s="3">
        <f>IFERROR(VLOOKUP($A72,집계!$B:$AD,MATCH(H$1,집계!$2:$2,0)-1,FALSE),"")</f>
        <v>81</v>
      </c>
      <c r="I72" s="3">
        <f>IFERROR(VLOOKUP($A72,집계!$B:$AD,MATCH(I$1,집계!$2:$2,0)-1,FALSE),"")</f>
        <v>83</v>
      </c>
      <c r="J72" s="3">
        <f>IFERROR(VLOOKUP($A72,집계!$B:$AD,MATCH(J$1,집계!$2:$2,0)-1,FALSE),"")</f>
        <v>85</v>
      </c>
      <c r="K72" s="3">
        <f>IFERROR(VLOOKUP($A72,집계!$B:$AD,MATCH(K$1,집계!$2:$2,0)-1,FALSE),"")</f>
        <v>75</v>
      </c>
      <c r="L72" s="3">
        <f>IFERROR(VLOOKUP($A72,집계!$B:$AD,MATCH(L$1,집계!$2:$2,0)-1,FALSE),"")</f>
        <v>78</v>
      </c>
      <c r="M72" s="16">
        <f>IFERROR(VLOOKUP($A72,집계!$B:$AD,MATCH(M$1,집계!$2:$2,0)-1,FALSE),"")</f>
        <v>80.666666666666671</v>
      </c>
      <c r="N72" s="16">
        <f>IFERROR(VLOOKUP($A72,집계!$B:$AD,MATCH(N$1,집계!$2:$2,0)-1,FALSE),"")</f>
        <v>0</v>
      </c>
      <c r="O72" s="16">
        <f>IFERROR(VLOOKUP($A72,집계!$B:$AD,MATCH(O$1,집계!$2:$2,0)-1,FALSE),"")</f>
        <v>80.666666666666671</v>
      </c>
      <c r="P72" s="31" t="str">
        <f>IFERROR(VLOOKUP($A72,집계!$B:$AD,MATCH(P$1,집계!$2:$2,0)-1,FALSE),"")</f>
        <v/>
      </c>
    </row>
    <row r="73" spans="1:32" ht="17.100000000000001" customHeight="1" x14ac:dyDescent="0.35">
      <c r="A73" s="2">
        <v>20423688</v>
      </c>
      <c r="B73" s="4">
        <f>IFERROR(VLOOKUP($A73,집계!$B:$AD,MATCH(B$1,집계!$2:$2,0)-1,FALSE),"")</f>
        <v>61</v>
      </c>
      <c r="C73" s="4" t="str">
        <f>IFERROR(VLOOKUP($A73,집계!$B:$AD,MATCH(C$1,집계!$2:$2,0)-1,FALSE),"")</f>
        <v>전혜진</v>
      </c>
      <c r="D73" s="4">
        <f>IFERROR(VLOOKUP($A73,집계!$B:$AD,MATCH(D$1,집계!$2:$2,0)-1,FALSE),"")</f>
        <v>20423688</v>
      </c>
      <c r="E73" s="4" t="str">
        <f>IFERROR(VLOOKUP($A73,집계!$B:$AD,MATCH(E$1,집계!$2:$2,0)-1,FALSE),"")</f>
        <v>즉각적 피부 심미성 개선 효과를 부여하는 스킨케어 브랜드</v>
      </c>
      <c r="F73" s="31">
        <f>IFERROR(VLOOKUP($A73,대상!$B:$AD,MATCH(F$1,대상!$1:$1,0)-1,FALSE),"")</f>
        <v>0</v>
      </c>
      <c r="G73" s="3">
        <f>IFERROR(VLOOKUP($A73,집계!$B:$AD,MATCH(G$1,집계!$2:$2,0)-1,FALSE),"")</f>
        <v>5</v>
      </c>
      <c r="H73" s="3">
        <f>IFERROR(VLOOKUP($A73,집계!$B:$AD,MATCH(H$1,집계!$2:$2,0)-1,FALSE),"")</f>
        <v>76</v>
      </c>
      <c r="I73" s="3">
        <f>IFERROR(VLOOKUP($A73,집계!$B:$AD,MATCH(I$1,집계!$2:$2,0)-1,FALSE),"")</f>
        <v>81</v>
      </c>
      <c r="J73" s="3">
        <f>IFERROR(VLOOKUP($A73,집계!$B:$AD,MATCH(J$1,집계!$2:$2,0)-1,FALSE),"")</f>
        <v>64</v>
      </c>
      <c r="K73" s="3">
        <f>IFERROR(VLOOKUP($A73,집계!$B:$AD,MATCH(K$1,집계!$2:$2,0)-1,FALSE),"")</f>
        <v>82</v>
      </c>
      <c r="L73" s="3">
        <f>IFERROR(VLOOKUP($A73,집계!$B:$AD,MATCH(L$1,집계!$2:$2,0)-1,FALSE),"")</f>
        <v>77</v>
      </c>
      <c r="M73" s="16">
        <f>IFERROR(VLOOKUP($A73,집계!$B:$AD,MATCH(M$1,집계!$2:$2,0)-1,FALSE),"")</f>
        <v>78</v>
      </c>
      <c r="N73" s="16">
        <f>IFERROR(VLOOKUP($A73,집계!$B:$AD,MATCH(N$1,집계!$2:$2,0)-1,FALSE),"")</f>
        <v>0</v>
      </c>
      <c r="O73" s="16">
        <f>IFERROR(VLOOKUP($A73,집계!$B:$AD,MATCH(O$1,집계!$2:$2,0)-1,FALSE),"")</f>
        <v>78</v>
      </c>
      <c r="P73" s="31" t="str">
        <f>IFERROR(VLOOKUP($A73,집계!$B:$AD,MATCH(P$1,집계!$2:$2,0)-1,FALSE),"")</f>
        <v/>
      </c>
    </row>
    <row r="74" spans="1:32" ht="17.100000000000001" customHeight="1" x14ac:dyDescent="0.35">
      <c r="A74" s="2">
        <v>20424839</v>
      </c>
      <c r="B74" s="4">
        <f>IFERROR(VLOOKUP($A74,집계!$B:$AD,MATCH(B$1,집계!$2:$2,0)-1,FALSE),"")</f>
        <v>1</v>
      </c>
      <c r="C74" s="4" t="str">
        <f>IFERROR(VLOOKUP($A74,집계!$B:$AD,MATCH(C$1,집계!$2:$2,0)-1,FALSE),"")</f>
        <v>이경원</v>
      </c>
      <c r="D74" s="4">
        <f>IFERROR(VLOOKUP($A74,집계!$B:$AD,MATCH(D$1,집계!$2:$2,0)-1,FALSE),"")</f>
        <v>20424839</v>
      </c>
      <c r="E74" s="4" t="str">
        <f>IFERROR(VLOOKUP($A74,집계!$B:$AD,MATCH(E$1,집계!$2:$2,0)-1,FALSE),"")</f>
        <v>옷장 속 미술관 : 입는 예술, 글로벌 아트웨어 브랜드 사업화</v>
      </c>
      <c r="F74" s="31" t="str">
        <f>IFERROR(VLOOKUP($A74,대상!$B:$AD,MATCH(F$1,대상!$1:$1,0)-1,FALSE),"")</f>
        <v>면제</v>
      </c>
      <c r="G74" s="3">
        <f>IFERROR(VLOOKUP($A74,집계!$B:$AD,MATCH(G$1,집계!$2:$2,0)-1,FALSE),"")</f>
        <v>5</v>
      </c>
      <c r="H74" s="3" t="str">
        <f>IFERROR(VLOOKUP($A74,집계!$B:$AD,MATCH(H$1,집계!$2:$2,0)-1,FALSE),"")</f>
        <v/>
      </c>
      <c r="I74" s="3" t="str">
        <f>IFERROR(VLOOKUP($A74,집계!$B:$AD,MATCH(I$1,집계!$2:$2,0)-1,FALSE),"")</f>
        <v/>
      </c>
      <c r="J74" s="3" t="str">
        <f>IFERROR(VLOOKUP($A74,집계!$B:$AD,MATCH(J$1,집계!$2:$2,0)-1,FALSE),"")</f>
        <v/>
      </c>
      <c r="K74" s="3" t="str">
        <f>IFERROR(VLOOKUP($A74,집계!$B:$AD,MATCH(K$1,집계!$2:$2,0)-1,FALSE),"")</f>
        <v/>
      </c>
      <c r="L74" s="3" t="str">
        <f>IFERROR(VLOOKUP($A74,집계!$B:$AD,MATCH(L$1,집계!$2:$2,0)-1,FALSE),"")</f>
        <v/>
      </c>
      <c r="M74" s="16">
        <f>IFERROR(VLOOKUP($A74,집계!$B:$AD,MATCH(M$1,집계!$2:$2,0)-1,FALSE),"")</f>
        <v>0</v>
      </c>
      <c r="N74" s="16">
        <f>IFERROR(VLOOKUP($A74,집계!$B:$AD,MATCH(N$1,집계!$2:$2,0)-1,FALSE),"")</f>
        <v>0</v>
      </c>
      <c r="O74" s="16">
        <f>IFERROR(VLOOKUP($A74,집계!$B:$AD,MATCH(O$1,집계!$2:$2,0)-1,FALSE),"")</f>
        <v>100</v>
      </c>
      <c r="P74" s="31" t="str">
        <f>IFERROR(VLOOKUP($A74,집계!$B:$AD,MATCH(P$1,집계!$2:$2,0)-1,FALSE),"")</f>
        <v/>
      </c>
    </row>
    <row r="75" spans="1:32" ht="17.100000000000001" customHeight="1" x14ac:dyDescent="0.35">
      <c r="A75" s="2">
        <v>20424847</v>
      </c>
      <c r="B75" s="4">
        <f>IFERROR(VLOOKUP($A75,집계!$B:$AD,MATCH(B$1,집계!$2:$2,0)-1,FALSE),"")</f>
        <v>92</v>
      </c>
      <c r="C75" s="4" t="str">
        <f>IFERROR(VLOOKUP($A75,집계!$B:$AD,MATCH(C$1,집계!$2:$2,0)-1,FALSE),"")</f>
        <v>최민교</v>
      </c>
      <c r="D75" s="4">
        <f>IFERROR(VLOOKUP($A75,집계!$B:$AD,MATCH(D$1,집계!$2:$2,0)-1,FALSE),"")</f>
        <v>20424847</v>
      </c>
      <c r="E75" s="4" t="str">
        <f>IFERROR(VLOOKUP($A75,집계!$B:$AD,MATCH(E$1,집계!$2:$2,0)-1,FALSE),"")</f>
        <v>Ag⁺/Zn²⁺ 항균 기술이 적용된IAD 억제 기능의4층 무봉제 요실금팬티</v>
      </c>
      <c r="F75" s="31">
        <f>IFERROR(VLOOKUP($A75,대상!$B:$AD,MATCH(F$1,대상!$1:$1,0)-1,FALSE),"")</f>
        <v>0</v>
      </c>
      <c r="G75" s="3">
        <f>IFERROR(VLOOKUP($A75,집계!$B:$AD,MATCH(G$1,집계!$2:$2,0)-1,FALSE),"")</f>
        <v>5</v>
      </c>
      <c r="H75" s="3">
        <f>IFERROR(VLOOKUP($A75,집계!$B:$AD,MATCH(H$1,집계!$2:$2,0)-1,FALSE),"")</f>
        <v>75</v>
      </c>
      <c r="I75" s="3">
        <f>IFERROR(VLOOKUP($A75,집계!$B:$AD,MATCH(I$1,집계!$2:$2,0)-1,FALSE),"")</f>
        <v>79</v>
      </c>
      <c r="J75" s="3">
        <f>IFERROR(VLOOKUP($A75,집계!$B:$AD,MATCH(J$1,집계!$2:$2,0)-1,FALSE),"")</f>
        <v>67</v>
      </c>
      <c r="K75" s="3">
        <f>IFERROR(VLOOKUP($A75,집계!$B:$AD,MATCH(K$1,집계!$2:$2,0)-1,FALSE),"")</f>
        <v>87</v>
      </c>
      <c r="L75" s="3">
        <f>IFERROR(VLOOKUP($A75,집계!$B:$AD,MATCH(L$1,집계!$2:$2,0)-1,FALSE),"")</f>
        <v>68</v>
      </c>
      <c r="M75" s="16">
        <f>IFERROR(VLOOKUP($A75,집계!$B:$AD,MATCH(M$1,집계!$2:$2,0)-1,FALSE),"")</f>
        <v>74</v>
      </c>
      <c r="N75" s="16">
        <f>IFERROR(VLOOKUP($A75,집계!$B:$AD,MATCH(N$1,집계!$2:$2,0)-1,FALSE),"")</f>
        <v>0</v>
      </c>
      <c r="O75" s="16">
        <f>IFERROR(VLOOKUP($A75,집계!$B:$AD,MATCH(O$1,집계!$2:$2,0)-1,FALSE),"")</f>
        <v>74</v>
      </c>
      <c r="P75" s="31" t="str">
        <f>IFERROR(VLOOKUP($A75,집계!$B:$AD,MATCH(P$1,집계!$2:$2,0)-1,FALSE),"")</f>
        <v/>
      </c>
    </row>
    <row r="76" spans="1:32" ht="17.100000000000001" customHeight="1" x14ac:dyDescent="0.35">
      <c r="A76" s="2">
        <v>20424877</v>
      </c>
      <c r="B76" s="4">
        <f>IFERROR(VLOOKUP($A76,집계!$B:$AD,MATCH(B$1,집계!$2:$2,0)-1,FALSE),"")</f>
        <v>40</v>
      </c>
      <c r="C76" s="4" t="str">
        <f>IFERROR(VLOOKUP($A76,집계!$B:$AD,MATCH(C$1,집계!$2:$2,0)-1,FALSE),"")</f>
        <v>장지수</v>
      </c>
      <c r="D76" s="4">
        <f>IFERROR(VLOOKUP($A76,집계!$B:$AD,MATCH(D$1,집계!$2:$2,0)-1,FALSE),"")</f>
        <v>20424877</v>
      </c>
      <c r="E76" s="4" t="str">
        <f>IFERROR(VLOOKUP($A76,집계!$B:$AD,MATCH(E$1,집계!$2:$2,0)-1,FALSE),"")</f>
        <v>2,000만 반려인의 동물병원 방문 1순위 ‘피부질환’ 문제를 해결하기 위해3D 유해성분 제로, 강아지 피부세포 실험으로 검증 특허 성분 함유 저자극 기능성 펫 스킨케어 ‘너티포비'</v>
      </c>
      <c r="F76" s="31">
        <f>IFERROR(VLOOKUP($A76,대상!$B:$AD,MATCH(F$1,대상!$1:$1,0)-1,FALSE),"")</f>
        <v>0</v>
      </c>
      <c r="G76" s="3">
        <f>IFERROR(VLOOKUP($A76,집계!$B:$AD,MATCH(G$1,집계!$2:$2,0)-1,FALSE),"")</f>
        <v>5</v>
      </c>
      <c r="H76" s="3">
        <f>IFERROR(VLOOKUP($A76,집계!$B:$AD,MATCH(H$1,집계!$2:$2,0)-1,FALSE),"")</f>
        <v>79</v>
      </c>
      <c r="I76" s="3">
        <f>IFERROR(VLOOKUP($A76,집계!$B:$AD,MATCH(I$1,집계!$2:$2,0)-1,FALSE),"")</f>
        <v>75</v>
      </c>
      <c r="J76" s="3">
        <f>IFERROR(VLOOKUP($A76,집계!$B:$AD,MATCH(J$1,집계!$2:$2,0)-1,FALSE),"")</f>
        <v>68</v>
      </c>
      <c r="K76" s="3">
        <f>IFERROR(VLOOKUP($A76,집계!$B:$AD,MATCH(K$1,집계!$2:$2,0)-1,FALSE),"")</f>
        <v>86</v>
      </c>
      <c r="L76" s="3">
        <f>IFERROR(VLOOKUP($A76,집계!$B:$AD,MATCH(L$1,집계!$2:$2,0)-1,FALSE),"")</f>
        <v>87</v>
      </c>
      <c r="M76" s="16">
        <f>IFERROR(VLOOKUP($A76,집계!$B:$AD,MATCH(M$1,집계!$2:$2,0)-1,FALSE),"")</f>
        <v>80</v>
      </c>
      <c r="N76" s="16">
        <f>IFERROR(VLOOKUP($A76,집계!$B:$AD,MATCH(N$1,집계!$2:$2,0)-1,FALSE),"")</f>
        <v>0</v>
      </c>
      <c r="O76" s="16">
        <f>IFERROR(VLOOKUP($A76,집계!$B:$AD,MATCH(O$1,집계!$2:$2,0)-1,FALSE),"")</f>
        <v>80</v>
      </c>
      <c r="P76" s="31" t="str">
        <f>IFERROR(VLOOKUP($A76,집계!$B:$AD,MATCH(P$1,집계!$2:$2,0)-1,FALSE),"")</f>
        <v/>
      </c>
    </row>
    <row r="77" spans="1:32" ht="17.100000000000001" customHeight="1" x14ac:dyDescent="0.35">
      <c r="A77" s="2">
        <v>20425984</v>
      </c>
      <c r="B77" s="4">
        <f>IFERROR(VLOOKUP($A77,집계!$B:$AD,MATCH(B$1,집계!$2:$2,0)-1,FALSE),"")</f>
        <v>48</v>
      </c>
      <c r="C77" s="4" t="str">
        <f>IFERROR(VLOOKUP($A77,집계!$B:$AD,MATCH(C$1,집계!$2:$2,0)-1,FALSE),"")</f>
        <v>정은지</v>
      </c>
      <c r="D77" s="4">
        <f>IFERROR(VLOOKUP($A77,집계!$B:$AD,MATCH(D$1,집계!$2:$2,0)-1,FALSE),"")</f>
        <v>20425984</v>
      </c>
      <c r="E77" s="4" t="str">
        <f>IFERROR(VLOOKUP($A77,집계!$B:$AD,MATCH(E$1,집계!$2:$2,0)-1,FALSE),"")</f>
        <v>수요는 있고 브랜드는 없는 율무 화장품의 글로벌 직진출 사업화</v>
      </c>
      <c r="F77" s="31">
        <f>IFERROR(VLOOKUP($A77,대상!$B:$AD,MATCH(F$1,대상!$1:$1,0)-1,FALSE),"")</f>
        <v>0</v>
      </c>
      <c r="G77" s="3">
        <f>IFERROR(VLOOKUP($A77,집계!$B:$AD,MATCH(G$1,집계!$2:$2,0)-1,FALSE),"")</f>
        <v>5</v>
      </c>
      <c r="H77" s="3">
        <f>IFERROR(VLOOKUP($A77,집계!$B:$AD,MATCH(H$1,집계!$2:$2,0)-1,FALSE),"")</f>
        <v>78</v>
      </c>
      <c r="I77" s="3">
        <f>IFERROR(VLOOKUP($A77,집계!$B:$AD,MATCH(I$1,집계!$2:$2,0)-1,FALSE),"")</f>
        <v>85</v>
      </c>
      <c r="J77" s="3">
        <f>IFERROR(VLOOKUP($A77,집계!$B:$AD,MATCH(J$1,집계!$2:$2,0)-1,FALSE),"")</f>
        <v>65</v>
      </c>
      <c r="K77" s="3">
        <f>IFERROR(VLOOKUP($A77,집계!$B:$AD,MATCH(K$1,집계!$2:$2,0)-1,FALSE),"")</f>
        <v>74</v>
      </c>
      <c r="L77" s="3">
        <f>IFERROR(VLOOKUP($A77,집계!$B:$AD,MATCH(L$1,집계!$2:$2,0)-1,FALSE),"")</f>
        <v>86</v>
      </c>
      <c r="M77" s="16">
        <f>IFERROR(VLOOKUP($A77,집계!$B:$AD,MATCH(M$1,집계!$2:$2,0)-1,FALSE),"")</f>
        <v>79</v>
      </c>
      <c r="N77" s="16">
        <f>IFERROR(VLOOKUP($A77,집계!$B:$AD,MATCH(N$1,집계!$2:$2,0)-1,FALSE),"")</f>
        <v>0</v>
      </c>
      <c r="O77" s="16">
        <f>IFERROR(VLOOKUP($A77,집계!$B:$AD,MATCH(O$1,집계!$2:$2,0)-1,FALSE),"")</f>
        <v>79</v>
      </c>
      <c r="P77" s="31" t="str">
        <f>IFERROR(VLOOKUP($A77,집계!$B:$AD,MATCH(P$1,집계!$2:$2,0)-1,FALSE),"")</f>
        <v/>
      </c>
    </row>
    <row r="78" spans="1:32" ht="17.100000000000001" customHeight="1" x14ac:dyDescent="0.35">
      <c r="A78" s="2">
        <v>20426074</v>
      </c>
      <c r="B78" s="4">
        <f>IFERROR(VLOOKUP($A78,집계!$B:$AD,MATCH(B$1,집계!$2:$2,0)-1,FALSE),"")</f>
        <v>75</v>
      </c>
      <c r="C78" s="4" t="str">
        <f>IFERROR(VLOOKUP($A78,집계!$B:$AD,MATCH(C$1,집계!$2:$2,0)-1,FALSE),"")</f>
        <v>배창준</v>
      </c>
      <c r="D78" s="4">
        <f>IFERROR(VLOOKUP($A78,집계!$B:$AD,MATCH(D$1,집계!$2:$2,0)-1,FALSE),"")</f>
        <v>20426074</v>
      </c>
      <c r="E78" s="4" t="str">
        <f>IFERROR(VLOOKUP($A78,집계!$B:$AD,MATCH(E$1,집계!$2:$2,0)-1,FALSE),"")</f>
        <v>피부 트러블 및 소재 손상 방지를 위한 중성 포뮬러 기반  아이웨어 전용 폼 워시</v>
      </c>
      <c r="F78" s="31">
        <f>IFERROR(VLOOKUP($A78,대상!$B:$AD,MATCH(F$1,대상!$1:$1,0)-1,FALSE),"")</f>
        <v>0</v>
      </c>
      <c r="G78" s="3">
        <f>IFERROR(VLOOKUP($A78,집계!$B:$AD,MATCH(G$1,집계!$2:$2,0)-1,FALSE),"")</f>
        <v>5</v>
      </c>
      <c r="H78" s="3">
        <f>IFERROR(VLOOKUP($A78,집계!$B:$AD,MATCH(H$1,집계!$2:$2,0)-1,FALSE),"")</f>
        <v>77</v>
      </c>
      <c r="I78" s="3">
        <f>IFERROR(VLOOKUP($A78,집계!$B:$AD,MATCH(I$1,집계!$2:$2,0)-1,FALSE),"")</f>
        <v>72</v>
      </c>
      <c r="J78" s="3">
        <f>IFERROR(VLOOKUP($A78,집계!$B:$AD,MATCH(J$1,집계!$2:$2,0)-1,FALSE),"")</f>
        <v>70</v>
      </c>
      <c r="K78" s="3">
        <f>IFERROR(VLOOKUP($A78,집계!$B:$AD,MATCH(K$1,집계!$2:$2,0)-1,FALSE),"")</f>
        <v>85</v>
      </c>
      <c r="L78" s="3">
        <f>IFERROR(VLOOKUP($A78,집계!$B:$AD,MATCH(L$1,집계!$2:$2,0)-1,FALSE),"")</f>
        <v>75</v>
      </c>
      <c r="M78" s="16">
        <f>IFERROR(VLOOKUP($A78,집계!$B:$AD,MATCH(M$1,집계!$2:$2,0)-1,FALSE),"")</f>
        <v>74.666666666666671</v>
      </c>
      <c r="N78" s="16">
        <f>IFERROR(VLOOKUP($A78,집계!$B:$AD,MATCH(N$1,집계!$2:$2,0)-1,FALSE),"")</f>
        <v>2</v>
      </c>
      <c r="O78" s="16">
        <f>IFERROR(VLOOKUP($A78,집계!$B:$AD,MATCH(O$1,집계!$2:$2,0)-1,FALSE),"")</f>
        <v>76.666666666666671</v>
      </c>
      <c r="P78" s="31" t="str">
        <f>IFERROR(VLOOKUP($A78,집계!$B:$AD,MATCH(P$1,집계!$2:$2,0)-1,FALSE),"")</f>
        <v/>
      </c>
    </row>
    <row r="79" spans="1:32" ht="17.100000000000001" customHeight="1" x14ac:dyDescent="0.35">
      <c r="A79" s="2">
        <v>20426252</v>
      </c>
      <c r="B79" s="4">
        <f>IFERROR(VLOOKUP($A79,집계!$B:$AD,MATCH(B$1,집계!$2:$2,0)-1,FALSE),"")</f>
        <v>115</v>
      </c>
      <c r="C79" s="4" t="str">
        <f>IFERROR(VLOOKUP($A79,집계!$B:$AD,MATCH(C$1,집계!$2:$2,0)-1,FALSE),"")</f>
        <v>장재석</v>
      </c>
      <c r="D79" s="4">
        <f>IFERROR(VLOOKUP($A79,집계!$B:$AD,MATCH(D$1,집계!$2:$2,0)-1,FALSE),"")</f>
        <v>20426252</v>
      </c>
      <c r="E79" s="4" t="str">
        <f>IFERROR(VLOOKUP($A79,집계!$B:$AD,MATCH(E$1,집계!$2:$2,0)-1,FALSE),"")</f>
        <v>지속적인 음용이 가능하도록 기획된 라이프스타일형 소용량 블렌드 과·채즙</v>
      </c>
      <c r="F79" s="31">
        <f>IFERROR(VLOOKUP($A79,대상!$B:$AD,MATCH(F$1,대상!$1:$1,0)-1,FALSE),"")</f>
        <v>0</v>
      </c>
      <c r="G79" s="3">
        <f>IFERROR(VLOOKUP($A79,집계!$B:$AD,MATCH(G$1,집계!$2:$2,0)-1,FALSE),"")</f>
        <v>5</v>
      </c>
      <c r="H79" s="3">
        <f>IFERROR(VLOOKUP($A79,집계!$B:$AD,MATCH(H$1,집계!$2:$2,0)-1,FALSE),"")</f>
        <v>74</v>
      </c>
      <c r="I79" s="3">
        <f>IFERROR(VLOOKUP($A79,집계!$B:$AD,MATCH(I$1,집계!$2:$2,0)-1,FALSE),"")</f>
        <v>66</v>
      </c>
      <c r="J79" s="3">
        <f>IFERROR(VLOOKUP($A79,집계!$B:$AD,MATCH(J$1,집계!$2:$2,0)-1,FALSE),"")</f>
        <v>64</v>
      </c>
      <c r="K79" s="3">
        <f>IFERROR(VLOOKUP($A79,집계!$B:$AD,MATCH(K$1,집계!$2:$2,0)-1,FALSE),"")</f>
        <v>75</v>
      </c>
      <c r="L79" s="3">
        <f>IFERROR(VLOOKUP($A79,집계!$B:$AD,MATCH(L$1,집계!$2:$2,0)-1,FALSE),"")</f>
        <v>66</v>
      </c>
      <c r="M79" s="16">
        <f>IFERROR(VLOOKUP($A79,집계!$B:$AD,MATCH(M$1,집계!$2:$2,0)-1,FALSE),"")</f>
        <v>68.666666666666671</v>
      </c>
      <c r="N79" s="16">
        <f>IFERROR(VLOOKUP($A79,집계!$B:$AD,MATCH(N$1,집계!$2:$2,0)-1,FALSE),"")</f>
        <v>0</v>
      </c>
      <c r="O79" s="16">
        <f>IFERROR(VLOOKUP($A79,집계!$B:$AD,MATCH(O$1,집계!$2:$2,0)-1,FALSE),"")</f>
        <v>68.666666666666671</v>
      </c>
      <c r="P79" s="31" t="str">
        <f>IFERROR(VLOOKUP($A79,집계!$B:$AD,MATCH(P$1,집계!$2:$2,0)-1,FALSE),"")</f>
        <v/>
      </c>
    </row>
    <row r="80" spans="1:32" ht="17.100000000000001" customHeight="1" x14ac:dyDescent="0.35">
      <c r="A80" s="2">
        <v>20426411</v>
      </c>
      <c r="B80" s="4">
        <f>IFERROR(VLOOKUP($A80,집계!$B:$AD,MATCH(B$1,집계!$2:$2,0)-1,FALSE),"")</f>
        <v>9</v>
      </c>
      <c r="C80" s="4" t="str">
        <f>IFERROR(VLOOKUP($A80,집계!$B:$AD,MATCH(C$1,집계!$2:$2,0)-1,FALSE),"")</f>
        <v>봉민균</v>
      </c>
      <c r="D80" s="4">
        <f>IFERROR(VLOOKUP($A80,집계!$B:$AD,MATCH(D$1,집계!$2:$2,0)-1,FALSE),"")</f>
        <v>20426411</v>
      </c>
      <c r="E80" s="4" t="str">
        <f>IFERROR(VLOOKUP($A80,집계!$B:$AD,MATCH(E$1,집계!$2:$2,0)-1,FALSE),"")</f>
        <v>해조류 청각 기반 메탄저감 사료첨가제</v>
      </c>
      <c r="F80" s="31">
        <f>IFERROR(VLOOKUP($A80,대상!$B:$AD,MATCH(F$1,대상!$1:$1,0)-1,FALSE),"")</f>
        <v>0</v>
      </c>
      <c r="G80" s="3">
        <f>IFERROR(VLOOKUP($A80,집계!$B:$AD,MATCH(G$1,집계!$2:$2,0)-1,FALSE),"")</f>
        <v>5</v>
      </c>
      <c r="H80" s="3">
        <f>IFERROR(VLOOKUP($A80,집계!$B:$AD,MATCH(H$1,집계!$2:$2,0)-1,FALSE),"")</f>
        <v>94</v>
      </c>
      <c r="I80" s="3">
        <f>IFERROR(VLOOKUP($A80,집계!$B:$AD,MATCH(I$1,집계!$2:$2,0)-1,FALSE),"")</f>
        <v>90</v>
      </c>
      <c r="J80" s="3">
        <f>IFERROR(VLOOKUP($A80,집계!$B:$AD,MATCH(J$1,집계!$2:$2,0)-1,FALSE),"")</f>
        <v>96</v>
      </c>
      <c r="K80" s="3">
        <f>IFERROR(VLOOKUP($A80,집계!$B:$AD,MATCH(K$1,집계!$2:$2,0)-1,FALSE),"")</f>
        <v>91</v>
      </c>
      <c r="L80" s="3">
        <f>IFERROR(VLOOKUP($A80,집계!$B:$AD,MATCH(L$1,집계!$2:$2,0)-1,FALSE),"")</f>
        <v>91</v>
      </c>
      <c r="M80" s="16">
        <f>IFERROR(VLOOKUP($A80,집계!$B:$AD,MATCH(M$1,집계!$2:$2,0)-1,FALSE),"")</f>
        <v>92</v>
      </c>
      <c r="N80" s="16">
        <f>IFERROR(VLOOKUP($A80,집계!$B:$AD,MATCH(N$1,집계!$2:$2,0)-1,FALSE),"")</f>
        <v>0</v>
      </c>
      <c r="O80" s="16">
        <f>IFERROR(VLOOKUP($A80,집계!$B:$AD,MATCH(O$1,집계!$2:$2,0)-1,FALSE),"")</f>
        <v>92</v>
      </c>
      <c r="P80" s="31" t="str">
        <f>IFERROR(VLOOKUP($A80,집계!$B:$AD,MATCH(P$1,집계!$2:$2,0)-1,FALSE),"")</f>
        <v/>
      </c>
    </row>
    <row r="81" spans="1:16" ht="17.100000000000001" customHeight="1" x14ac:dyDescent="0.35">
      <c r="A81" s="2">
        <v>20426725</v>
      </c>
      <c r="B81" s="4">
        <f>IFERROR(VLOOKUP($A81,집계!$B:$AD,MATCH(B$1,집계!$2:$2,0)-1,FALSE),"")</f>
        <v>61</v>
      </c>
      <c r="C81" s="4" t="str">
        <f>IFERROR(VLOOKUP($A81,집계!$B:$AD,MATCH(C$1,집계!$2:$2,0)-1,FALSE),"")</f>
        <v>기주완</v>
      </c>
      <c r="D81" s="4">
        <f>IFERROR(VLOOKUP($A81,집계!$B:$AD,MATCH(D$1,집계!$2:$2,0)-1,FALSE),"")</f>
        <v>20426725</v>
      </c>
      <c r="E81" s="4" t="str">
        <f>IFERROR(VLOOKUP($A81,집계!$B:$AD,MATCH(E$1,집계!$2:$2,0)-1,FALSE),"")</f>
        <v>농산 폐기물(유자 폐껍질·잣송이 외피) 업사이클링 원료 기반의 멘톨·유칼립투스 완전 배제 영유아·민감성 체질 안심 비염 완화 밤 '숲결'</v>
      </c>
      <c r="F81" s="31">
        <f>IFERROR(VLOOKUP($A81,대상!$B:$AD,MATCH(F$1,대상!$1:$1,0)-1,FALSE),"")</f>
        <v>0</v>
      </c>
      <c r="G81" s="3">
        <f>IFERROR(VLOOKUP($A81,집계!$B:$AD,MATCH(G$1,집계!$2:$2,0)-1,FALSE),"")</f>
        <v>5</v>
      </c>
      <c r="H81" s="3">
        <f>IFERROR(VLOOKUP($A81,집계!$B:$AD,MATCH(H$1,집계!$2:$2,0)-1,FALSE),"")</f>
        <v>79</v>
      </c>
      <c r="I81" s="3">
        <f>IFERROR(VLOOKUP($A81,집계!$B:$AD,MATCH(I$1,집계!$2:$2,0)-1,FALSE),"")</f>
        <v>82</v>
      </c>
      <c r="J81" s="3">
        <f>IFERROR(VLOOKUP($A81,집계!$B:$AD,MATCH(J$1,집계!$2:$2,0)-1,FALSE),"")</f>
        <v>67</v>
      </c>
      <c r="K81" s="3">
        <f>IFERROR(VLOOKUP($A81,집계!$B:$AD,MATCH(K$1,집계!$2:$2,0)-1,FALSE),"")</f>
        <v>86</v>
      </c>
      <c r="L81" s="3">
        <f>IFERROR(VLOOKUP($A81,집계!$B:$AD,MATCH(L$1,집계!$2:$2,0)-1,FALSE),"")</f>
        <v>73</v>
      </c>
      <c r="M81" s="16">
        <f>IFERROR(VLOOKUP($A81,집계!$B:$AD,MATCH(M$1,집계!$2:$2,0)-1,FALSE),"")</f>
        <v>78</v>
      </c>
      <c r="N81" s="16">
        <f>IFERROR(VLOOKUP($A81,집계!$B:$AD,MATCH(N$1,집계!$2:$2,0)-1,FALSE),"")</f>
        <v>0</v>
      </c>
      <c r="O81" s="16">
        <f>IFERROR(VLOOKUP($A81,집계!$B:$AD,MATCH(O$1,집계!$2:$2,0)-1,FALSE),"")</f>
        <v>78</v>
      </c>
      <c r="P81" s="31" t="str">
        <f>IFERROR(VLOOKUP($A81,집계!$B:$AD,MATCH(P$1,집계!$2:$2,0)-1,FALSE),"")</f>
        <v/>
      </c>
    </row>
    <row r="82" spans="1:16" ht="17.100000000000001" customHeight="1" x14ac:dyDescent="0.35">
      <c r="A82" s="2">
        <v>20426887</v>
      </c>
      <c r="B82" s="4">
        <f>IFERROR(VLOOKUP($A82,집계!$B:$AD,MATCH(B$1,집계!$2:$2,0)-1,FALSE),"")</f>
        <v>9</v>
      </c>
      <c r="C82" s="4" t="str">
        <f>IFERROR(VLOOKUP($A82,집계!$B:$AD,MATCH(C$1,집계!$2:$2,0)-1,FALSE),"")</f>
        <v>김희중</v>
      </c>
      <c r="D82" s="4">
        <f>IFERROR(VLOOKUP($A82,집계!$B:$AD,MATCH(D$1,집계!$2:$2,0)-1,FALSE),"")</f>
        <v>20426887</v>
      </c>
      <c r="E82" s="4" t="str">
        <f>IFERROR(VLOOKUP($A82,집계!$B:$AD,MATCH(E$1,집계!$2:$2,0)-1,FALSE),"")</f>
        <v>NIDT 변형 리포좀 기술을 적용하여 피부 열감과 속건조를 동시 해결하는 ‘기후 대응형(Zero-Heat) 고기능성 스킨케어’</v>
      </c>
      <c r="F82" s="31">
        <f>IFERROR(VLOOKUP($A82,대상!$B:$AD,MATCH(F$1,대상!$1:$1,0)-1,FALSE),"")</f>
        <v>0</v>
      </c>
      <c r="G82" s="3">
        <f>IFERROR(VLOOKUP($A82,집계!$B:$AD,MATCH(G$1,집계!$2:$2,0)-1,FALSE),"")</f>
        <v>5</v>
      </c>
      <c r="H82" s="3">
        <f>IFERROR(VLOOKUP($A82,집계!$B:$AD,MATCH(H$1,집계!$2:$2,0)-1,FALSE),"")</f>
        <v>92</v>
      </c>
      <c r="I82" s="3">
        <f>IFERROR(VLOOKUP($A82,집계!$B:$AD,MATCH(I$1,집계!$2:$2,0)-1,FALSE),"")</f>
        <v>95</v>
      </c>
      <c r="J82" s="3">
        <f>IFERROR(VLOOKUP($A82,집계!$B:$AD,MATCH(J$1,집계!$2:$2,0)-1,FALSE),"")</f>
        <v>92</v>
      </c>
      <c r="K82" s="3">
        <f>IFERROR(VLOOKUP($A82,집계!$B:$AD,MATCH(K$1,집계!$2:$2,0)-1,FALSE),"")</f>
        <v>90</v>
      </c>
      <c r="L82" s="3">
        <f>IFERROR(VLOOKUP($A82,집계!$B:$AD,MATCH(L$1,집계!$2:$2,0)-1,FALSE),"")</f>
        <v>92</v>
      </c>
      <c r="M82" s="16">
        <f>IFERROR(VLOOKUP($A82,집계!$B:$AD,MATCH(M$1,집계!$2:$2,0)-1,FALSE),"")</f>
        <v>92</v>
      </c>
      <c r="N82" s="16">
        <f>IFERROR(VLOOKUP($A82,집계!$B:$AD,MATCH(N$1,집계!$2:$2,0)-1,FALSE),"")</f>
        <v>0</v>
      </c>
      <c r="O82" s="16">
        <f>IFERROR(VLOOKUP($A82,집계!$B:$AD,MATCH(O$1,집계!$2:$2,0)-1,FALSE),"")</f>
        <v>92</v>
      </c>
      <c r="P82" s="31" t="str">
        <f>IFERROR(VLOOKUP($A82,집계!$B:$AD,MATCH(P$1,집계!$2:$2,0)-1,FALSE),"")</f>
        <v/>
      </c>
    </row>
    <row r="83" spans="1:16" ht="17.100000000000001" customHeight="1" x14ac:dyDescent="0.35">
      <c r="A83" s="2">
        <v>20427195</v>
      </c>
      <c r="B83" s="4">
        <f>IFERROR(VLOOKUP($A83,집계!$B:$AD,MATCH(B$1,집계!$2:$2,0)-1,FALSE),"")</f>
        <v>29</v>
      </c>
      <c r="C83" s="4" t="str">
        <f>IFERROR(VLOOKUP($A83,집계!$B:$AD,MATCH(C$1,집계!$2:$2,0)-1,FALSE),"")</f>
        <v>조영기</v>
      </c>
      <c r="D83" s="4">
        <f>IFERROR(VLOOKUP($A83,집계!$B:$AD,MATCH(D$1,집계!$2:$2,0)-1,FALSE),"")</f>
        <v>20427195</v>
      </c>
      <c r="E83" s="4" t="str">
        <f>IFERROR(VLOOKUP($A83,집계!$B:$AD,MATCH(E$1,집계!$2:$2,0)-1,FALSE),"")</f>
        <v>제올라이트를 활용한 어싱길 포장재 개발</v>
      </c>
      <c r="F83" s="31">
        <f>IFERROR(VLOOKUP($A83,대상!$B:$AD,MATCH(F$1,대상!$1:$1,0)-1,FALSE),"")</f>
        <v>0</v>
      </c>
      <c r="G83" s="3">
        <f>IFERROR(VLOOKUP($A83,집계!$B:$AD,MATCH(G$1,집계!$2:$2,0)-1,FALSE),"")</f>
        <v>5</v>
      </c>
      <c r="H83" s="3">
        <f>IFERROR(VLOOKUP($A83,집계!$B:$AD,MATCH(H$1,집계!$2:$2,0)-1,FALSE),"")</f>
        <v>83</v>
      </c>
      <c r="I83" s="3">
        <f>IFERROR(VLOOKUP($A83,집계!$B:$AD,MATCH(I$1,집계!$2:$2,0)-1,FALSE),"")</f>
        <v>84</v>
      </c>
      <c r="J83" s="3">
        <f>IFERROR(VLOOKUP($A83,집계!$B:$AD,MATCH(J$1,집계!$2:$2,0)-1,FALSE),"")</f>
        <v>85</v>
      </c>
      <c r="K83" s="3">
        <f>IFERROR(VLOOKUP($A83,집계!$B:$AD,MATCH(K$1,집계!$2:$2,0)-1,FALSE),"")</f>
        <v>78</v>
      </c>
      <c r="L83" s="3">
        <f>IFERROR(VLOOKUP($A83,집계!$B:$AD,MATCH(L$1,집계!$2:$2,0)-1,FALSE),"")</f>
        <v>72</v>
      </c>
      <c r="M83" s="16">
        <f>IFERROR(VLOOKUP($A83,집계!$B:$AD,MATCH(M$1,집계!$2:$2,0)-1,FALSE),"")</f>
        <v>81.666666666666671</v>
      </c>
      <c r="N83" s="16">
        <f>IFERROR(VLOOKUP($A83,집계!$B:$AD,MATCH(N$1,집계!$2:$2,0)-1,FALSE),"")</f>
        <v>0</v>
      </c>
      <c r="O83" s="16">
        <f>IFERROR(VLOOKUP($A83,집계!$B:$AD,MATCH(O$1,집계!$2:$2,0)-1,FALSE),"")</f>
        <v>81.666666666666671</v>
      </c>
      <c r="P83" s="31" t="str">
        <f>IFERROR(VLOOKUP($A83,집계!$B:$AD,MATCH(P$1,집계!$2:$2,0)-1,FALSE),"")</f>
        <v/>
      </c>
    </row>
    <row r="84" spans="1:16" ht="17.100000000000001" customHeight="1" x14ac:dyDescent="0.35">
      <c r="A84" s="2">
        <v>20427388</v>
      </c>
      <c r="B84" s="4">
        <f>IFERROR(VLOOKUP($A84,집계!$B:$AD,MATCH(B$1,집계!$2:$2,0)-1,FALSE),"")</f>
        <v>85</v>
      </c>
      <c r="C84" s="4" t="str">
        <f>IFERROR(VLOOKUP($A84,집계!$B:$AD,MATCH(C$1,집계!$2:$2,0)-1,FALSE),"")</f>
        <v>박병훈</v>
      </c>
      <c r="D84" s="4">
        <f>IFERROR(VLOOKUP($A84,집계!$B:$AD,MATCH(D$1,집계!$2:$2,0)-1,FALSE),"")</f>
        <v>20427388</v>
      </c>
      <c r="E84" s="4" t="str">
        <f>IFERROR(VLOOKUP($A84,집계!$B:$AD,MATCH(E$1,집계!$2:$2,0)-1,FALSE),"")</f>
        <v>pH5.5 이중 배합 기술 기반 두피세정·모발코팅 듀얼 케어 샴푸</v>
      </c>
      <c r="F84" s="31">
        <f>IFERROR(VLOOKUP($A84,대상!$B:$AD,MATCH(F$1,대상!$1:$1,0)-1,FALSE),"")</f>
        <v>0</v>
      </c>
      <c r="G84" s="3">
        <f>IFERROR(VLOOKUP($A84,집계!$B:$AD,MATCH(G$1,집계!$2:$2,0)-1,FALSE),"")</f>
        <v>5</v>
      </c>
      <c r="H84" s="3">
        <f>IFERROR(VLOOKUP($A84,집계!$B:$AD,MATCH(H$1,집계!$2:$2,0)-1,FALSE),"")</f>
        <v>81</v>
      </c>
      <c r="I84" s="3">
        <f>IFERROR(VLOOKUP($A84,집계!$B:$AD,MATCH(I$1,집계!$2:$2,0)-1,FALSE),"")</f>
        <v>75</v>
      </c>
      <c r="J84" s="3">
        <f>IFERROR(VLOOKUP($A84,집계!$B:$AD,MATCH(J$1,집계!$2:$2,0)-1,FALSE),"")</f>
        <v>71</v>
      </c>
      <c r="K84" s="3">
        <f>IFERROR(VLOOKUP($A84,집계!$B:$AD,MATCH(K$1,집계!$2:$2,0)-1,FALSE),"")</f>
        <v>84</v>
      </c>
      <c r="L84" s="3">
        <f>IFERROR(VLOOKUP($A84,집계!$B:$AD,MATCH(L$1,집계!$2:$2,0)-1,FALSE),"")</f>
        <v>68</v>
      </c>
      <c r="M84" s="16">
        <f>IFERROR(VLOOKUP($A84,집계!$B:$AD,MATCH(M$1,집계!$2:$2,0)-1,FALSE),"")</f>
        <v>75.666666666666671</v>
      </c>
      <c r="N84" s="16">
        <f>IFERROR(VLOOKUP($A84,집계!$B:$AD,MATCH(N$1,집계!$2:$2,0)-1,FALSE),"")</f>
        <v>0</v>
      </c>
      <c r="O84" s="16">
        <f>IFERROR(VLOOKUP($A84,집계!$B:$AD,MATCH(O$1,집계!$2:$2,0)-1,FALSE),"")</f>
        <v>75.666666666666671</v>
      </c>
      <c r="P84" s="31" t="str">
        <f>IFERROR(VLOOKUP($A84,집계!$B:$AD,MATCH(P$1,집계!$2:$2,0)-1,FALSE),"")</f>
        <v/>
      </c>
    </row>
    <row r="85" spans="1:16" ht="17.100000000000001" customHeight="1" x14ac:dyDescent="0.35">
      <c r="A85" s="2">
        <v>20427576</v>
      </c>
      <c r="B85" s="4">
        <f>IFERROR(VLOOKUP($A85,집계!$B:$AD,MATCH(B$1,집계!$2:$2,0)-1,FALSE),"")</f>
        <v>65</v>
      </c>
      <c r="C85" s="4" t="str">
        <f>IFERROR(VLOOKUP($A85,집계!$B:$AD,MATCH(C$1,집계!$2:$2,0)-1,FALSE),"")</f>
        <v>김도희</v>
      </c>
      <c r="D85" s="4">
        <f>IFERROR(VLOOKUP($A85,집계!$B:$AD,MATCH(D$1,집계!$2:$2,0)-1,FALSE),"")</f>
        <v>20427576</v>
      </c>
      <c r="E85" s="4" t="str">
        <f>IFERROR(VLOOKUP($A85,집계!$B:$AD,MATCH(E$1,집계!$2:$2,0)-1,FALSE),"")</f>
        <v>락토피치 바이옴 독자 성분과 기능성 복합 포뮬러를 적용하여 팩 한 통의 효과를 간편하게 구현하는 고효능 모공 케어 앰플</v>
      </c>
      <c r="F85" s="31">
        <f>IFERROR(VLOOKUP($A85,대상!$B:$AD,MATCH(F$1,대상!$1:$1,0)-1,FALSE),"")</f>
        <v>0</v>
      </c>
      <c r="G85" s="3">
        <f>IFERROR(VLOOKUP($A85,집계!$B:$AD,MATCH(G$1,집계!$2:$2,0)-1,FALSE),"")</f>
        <v>5</v>
      </c>
      <c r="H85" s="3">
        <f>IFERROR(VLOOKUP($A85,집계!$B:$AD,MATCH(H$1,집계!$2:$2,0)-1,FALSE),"")</f>
        <v>79</v>
      </c>
      <c r="I85" s="3">
        <f>IFERROR(VLOOKUP($A85,집계!$B:$AD,MATCH(I$1,집계!$2:$2,0)-1,FALSE),"")</f>
        <v>79</v>
      </c>
      <c r="J85" s="3">
        <f>IFERROR(VLOOKUP($A85,집계!$B:$AD,MATCH(J$1,집계!$2:$2,0)-1,FALSE),"")</f>
        <v>74</v>
      </c>
      <c r="K85" s="3">
        <f>IFERROR(VLOOKUP($A85,집계!$B:$AD,MATCH(K$1,집계!$2:$2,0)-1,FALSE),"")</f>
        <v>80</v>
      </c>
      <c r="L85" s="3">
        <f>IFERROR(VLOOKUP($A85,집계!$B:$AD,MATCH(L$1,집계!$2:$2,0)-1,FALSE),"")</f>
        <v>75</v>
      </c>
      <c r="M85" s="16">
        <f>IFERROR(VLOOKUP($A85,집계!$B:$AD,MATCH(M$1,집계!$2:$2,0)-1,FALSE),"")</f>
        <v>77.666666666666671</v>
      </c>
      <c r="N85" s="16">
        <f>IFERROR(VLOOKUP($A85,집계!$B:$AD,MATCH(N$1,집계!$2:$2,0)-1,FALSE),"")</f>
        <v>0</v>
      </c>
      <c r="O85" s="16">
        <f>IFERROR(VLOOKUP($A85,집계!$B:$AD,MATCH(O$1,집계!$2:$2,0)-1,FALSE),"")</f>
        <v>77.666666666666671</v>
      </c>
      <c r="P85" s="31" t="str">
        <f>IFERROR(VLOOKUP($A85,집계!$B:$AD,MATCH(P$1,집계!$2:$2,0)-1,FALSE),"")</f>
        <v/>
      </c>
    </row>
    <row r="86" spans="1:16" ht="17.100000000000001" customHeight="1" x14ac:dyDescent="0.35">
      <c r="A86" s="2">
        <v>20427594</v>
      </c>
      <c r="B86" s="4">
        <f>IFERROR(VLOOKUP($A86,집계!$B:$AD,MATCH(B$1,집계!$2:$2,0)-1,FALSE),"")</f>
        <v>79</v>
      </c>
      <c r="C86" s="4" t="str">
        <f>IFERROR(VLOOKUP($A86,집계!$B:$AD,MATCH(C$1,집계!$2:$2,0)-1,FALSE),"")</f>
        <v>유현민</v>
      </c>
      <c r="D86" s="4">
        <f>IFERROR(VLOOKUP($A86,집계!$B:$AD,MATCH(D$1,집계!$2:$2,0)-1,FALSE),"")</f>
        <v>20427594</v>
      </c>
      <c r="E86" s="4" t="str">
        <f>IFERROR(VLOOKUP($A86,집계!$B:$AD,MATCH(E$1,집계!$2:$2,0)-1,FALSE),"")</f>
        <v>“나노 하이브리드 코팅 기술이 적용된 선크림 차단막 보존 기능의  SWEIN 테크니컬 스킨 타월”</v>
      </c>
      <c r="F86" s="31">
        <f>IFERROR(VLOOKUP($A86,대상!$B:$AD,MATCH(F$1,대상!$1:$1,0)-1,FALSE),"")</f>
        <v>0</v>
      </c>
      <c r="G86" s="3">
        <f>IFERROR(VLOOKUP($A86,집계!$B:$AD,MATCH(G$1,집계!$2:$2,0)-1,FALSE),"")</f>
        <v>5</v>
      </c>
      <c r="H86" s="3">
        <f>IFERROR(VLOOKUP($A86,집계!$B:$AD,MATCH(H$1,집계!$2:$2,0)-1,FALSE),"")</f>
        <v>74</v>
      </c>
      <c r="I86" s="3">
        <f>IFERROR(VLOOKUP($A86,집계!$B:$AD,MATCH(I$1,집계!$2:$2,0)-1,FALSE),"")</f>
        <v>79</v>
      </c>
      <c r="J86" s="3">
        <f>IFERROR(VLOOKUP($A86,집계!$B:$AD,MATCH(J$1,집계!$2:$2,0)-1,FALSE),"")</f>
        <v>76</v>
      </c>
      <c r="K86" s="3">
        <f>IFERROR(VLOOKUP($A86,집계!$B:$AD,MATCH(K$1,집계!$2:$2,0)-1,FALSE),"")</f>
        <v>79</v>
      </c>
      <c r="L86" s="3">
        <f>IFERROR(VLOOKUP($A86,집계!$B:$AD,MATCH(L$1,집계!$2:$2,0)-1,FALSE),"")</f>
        <v>74</v>
      </c>
      <c r="M86" s="16">
        <f>IFERROR(VLOOKUP($A86,집계!$B:$AD,MATCH(M$1,집계!$2:$2,0)-1,FALSE),"")</f>
        <v>76.333333333333329</v>
      </c>
      <c r="N86" s="16">
        <f>IFERROR(VLOOKUP($A86,집계!$B:$AD,MATCH(N$1,집계!$2:$2,0)-1,FALSE),"")</f>
        <v>0</v>
      </c>
      <c r="O86" s="16">
        <f>IFERROR(VLOOKUP($A86,집계!$B:$AD,MATCH(O$1,집계!$2:$2,0)-1,FALSE),"")</f>
        <v>76.333333333333329</v>
      </c>
      <c r="P86" s="31" t="str">
        <f>IFERROR(VLOOKUP($A86,집계!$B:$AD,MATCH(P$1,집계!$2:$2,0)-1,FALSE),"")</f>
        <v/>
      </c>
    </row>
    <row r="87" spans="1:16" ht="17.100000000000001" customHeight="1" x14ac:dyDescent="0.35">
      <c r="A87" s="2">
        <v>20427695</v>
      </c>
      <c r="B87" s="4">
        <f>IFERROR(VLOOKUP($A87,집계!$B:$AD,MATCH(B$1,집계!$2:$2,0)-1,FALSE),"")</f>
        <v>92</v>
      </c>
      <c r="C87" s="4" t="str">
        <f>IFERROR(VLOOKUP($A87,집계!$B:$AD,MATCH(C$1,집계!$2:$2,0)-1,FALSE),"")</f>
        <v>이매화</v>
      </c>
      <c r="D87" s="4">
        <f>IFERROR(VLOOKUP($A87,집계!$B:$AD,MATCH(D$1,집계!$2:$2,0)-1,FALSE),"")</f>
        <v>20427695</v>
      </c>
      <c r="E87" s="4" t="str">
        <f>IFERROR(VLOOKUP($A87,집계!$B:$AD,MATCH(E$1,집계!$2:$2,0)-1,FALSE),"")</f>
        <v>국내외 중소 브랜드를 위한 MOQ 100 기반 K-Denim End-to-End OEM 플랫폼</v>
      </c>
      <c r="F87" s="31">
        <f>IFERROR(VLOOKUP($A87,대상!$B:$AD,MATCH(F$1,대상!$1:$1,0)-1,FALSE),"")</f>
        <v>0</v>
      </c>
      <c r="G87" s="3">
        <f>IFERROR(VLOOKUP($A87,집계!$B:$AD,MATCH(G$1,집계!$2:$2,0)-1,FALSE),"")</f>
        <v>5</v>
      </c>
      <c r="H87" s="3">
        <f>IFERROR(VLOOKUP($A87,집계!$B:$AD,MATCH(H$1,집계!$2:$2,0)-1,FALSE),"")</f>
        <v>74</v>
      </c>
      <c r="I87" s="3">
        <f>IFERROR(VLOOKUP($A87,집계!$B:$AD,MATCH(I$1,집계!$2:$2,0)-1,FALSE),"")</f>
        <v>69</v>
      </c>
      <c r="J87" s="3">
        <f>IFERROR(VLOOKUP($A87,집계!$B:$AD,MATCH(J$1,집계!$2:$2,0)-1,FALSE),"")</f>
        <v>72</v>
      </c>
      <c r="K87" s="3">
        <f>IFERROR(VLOOKUP($A87,집계!$B:$AD,MATCH(K$1,집계!$2:$2,0)-1,FALSE),"")</f>
        <v>80</v>
      </c>
      <c r="L87" s="3">
        <f>IFERROR(VLOOKUP($A87,집계!$B:$AD,MATCH(L$1,집계!$2:$2,0)-1,FALSE),"")</f>
        <v>76</v>
      </c>
      <c r="M87" s="16">
        <f>IFERROR(VLOOKUP($A87,집계!$B:$AD,MATCH(M$1,집계!$2:$2,0)-1,FALSE),"")</f>
        <v>74</v>
      </c>
      <c r="N87" s="16">
        <f>IFERROR(VLOOKUP($A87,집계!$B:$AD,MATCH(N$1,집계!$2:$2,0)-1,FALSE),"")</f>
        <v>0</v>
      </c>
      <c r="O87" s="16">
        <f>IFERROR(VLOOKUP($A87,집계!$B:$AD,MATCH(O$1,집계!$2:$2,0)-1,FALSE),"")</f>
        <v>74</v>
      </c>
      <c r="P87" s="31" t="str">
        <f>IFERROR(VLOOKUP($A87,집계!$B:$AD,MATCH(P$1,집계!$2:$2,0)-1,FALSE),"")</f>
        <v/>
      </c>
    </row>
    <row r="88" spans="1:16" ht="17.100000000000001" customHeight="1" x14ac:dyDescent="0.35">
      <c r="A88" s="2">
        <v>20427962</v>
      </c>
      <c r="B88" s="4">
        <f>IFERROR(VLOOKUP($A88,집계!$B:$AD,MATCH(B$1,집계!$2:$2,0)-1,FALSE),"")</f>
        <v>40</v>
      </c>
      <c r="C88" s="4" t="str">
        <f>IFERROR(VLOOKUP($A88,집계!$B:$AD,MATCH(C$1,집계!$2:$2,0)-1,FALSE),"")</f>
        <v>이서영</v>
      </c>
      <c r="D88" s="4">
        <f>IFERROR(VLOOKUP($A88,집계!$B:$AD,MATCH(D$1,집계!$2:$2,0)-1,FALSE),"")</f>
        <v>20427962</v>
      </c>
      <c r="E88" s="4" t="str">
        <f>IFERROR(VLOOKUP($A88,집계!$B:$AD,MATCH(E$1,집계!$2:$2,0)-1,FALSE),"")</f>
        <v>천연 염색 기술이 적용된 영유아 프리미엄 친환경 아동복</v>
      </c>
      <c r="F88" s="31">
        <f>IFERROR(VLOOKUP($A88,대상!$B:$AD,MATCH(F$1,대상!$1:$1,0)-1,FALSE),"")</f>
        <v>0</v>
      </c>
      <c r="G88" s="3">
        <f>IFERROR(VLOOKUP($A88,집계!$B:$AD,MATCH(G$1,집계!$2:$2,0)-1,FALSE),"")</f>
        <v>5</v>
      </c>
      <c r="H88" s="3">
        <f>IFERROR(VLOOKUP($A88,집계!$B:$AD,MATCH(H$1,집계!$2:$2,0)-1,FALSE),"")</f>
        <v>74</v>
      </c>
      <c r="I88" s="3">
        <f>IFERROR(VLOOKUP($A88,집계!$B:$AD,MATCH(I$1,집계!$2:$2,0)-1,FALSE),"")</f>
        <v>77</v>
      </c>
      <c r="J88" s="3">
        <f>IFERROR(VLOOKUP($A88,집계!$B:$AD,MATCH(J$1,집계!$2:$2,0)-1,FALSE),"")</f>
        <v>87</v>
      </c>
      <c r="K88" s="3">
        <f>IFERROR(VLOOKUP($A88,집계!$B:$AD,MATCH(K$1,집계!$2:$2,0)-1,FALSE),"")</f>
        <v>81</v>
      </c>
      <c r="L88" s="3">
        <f>IFERROR(VLOOKUP($A88,집계!$B:$AD,MATCH(L$1,집계!$2:$2,0)-1,FALSE),"")</f>
        <v>82</v>
      </c>
      <c r="M88" s="16">
        <f>IFERROR(VLOOKUP($A88,집계!$B:$AD,MATCH(M$1,집계!$2:$2,0)-1,FALSE),"")</f>
        <v>80</v>
      </c>
      <c r="N88" s="16">
        <f>IFERROR(VLOOKUP($A88,집계!$B:$AD,MATCH(N$1,집계!$2:$2,0)-1,FALSE),"")</f>
        <v>0</v>
      </c>
      <c r="O88" s="16">
        <f>IFERROR(VLOOKUP($A88,집계!$B:$AD,MATCH(O$1,집계!$2:$2,0)-1,FALSE),"")</f>
        <v>80</v>
      </c>
      <c r="P88" s="31" t="str">
        <f>IFERROR(VLOOKUP($A88,집계!$B:$AD,MATCH(P$1,집계!$2:$2,0)-1,FALSE),"")</f>
        <v/>
      </c>
    </row>
    <row r="89" spans="1:16" ht="17.100000000000001" customHeight="1" x14ac:dyDescent="0.35">
      <c r="A89" s="2">
        <v>20428180</v>
      </c>
      <c r="B89" s="4">
        <f>IFERROR(VLOOKUP($A89,집계!$B:$AD,MATCH(B$1,집계!$2:$2,0)-1,FALSE),"")</f>
        <v>26</v>
      </c>
      <c r="C89" s="4" t="str">
        <f>IFERROR(VLOOKUP($A89,집계!$B:$AD,MATCH(C$1,집계!$2:$2,0)-1,FALSE),"")</f>
        <v>이미숙</v>
      </c>
      <c r="D89" s="4">
        <f>IFERROR(VLOOKUP($A89,집계!$B:$AD,MATCH(D$1,집계!$2:$2,0)-1,FALSE),"")</f>
        <v>20428180</v>
      </c>
      <c r="E89" s="4" t="str">
        <f>IFERROR(VLOOKUP($A89,집계!$B:$AD,MATCH(E$1,집계!$2:$2,0)-1,FALSE),"")</f>
        <v>소각되는 우유팩을 고부가가치 ‘비건 레더’로 재탄생시켜, 공공기관의녹색제품 구매 딜레마를 해결하는 ‘실속형 ESG 오피스 키트’ 제품</v>
      </c>
      <c r="F89" s="31">
        <f>IFERROR(VLOOKUP($A89,대상!$B:$AD,MATCH(F$1,대상!$1:$1,0)-1,FALSE),"")</f>
        <v>0</v>
      </c>
      <c r="G89" s="3">
        <f>IFERROR(VLOOKUP($A89,집계!$B:$AD,MATCH(G$1,집계!$2:$2,0)-1,FALSE),"")</f>
        <v>5</v>
      </c>
      <c r="H89" s="3">
        <f>IFERROR(VLOOKUP($A89,집계!$B:$AD,MATCH(H$1,집계!$2:$2,0)-1,FALSE),"")</f>
        <v>73</v>
      </c>
      <c r="I89" s="3">
        <f>IFERROR(VLOOKUP($A89,집계!$B:$AD,MATCH(I$1,집계!$2:$2,0)-1,FALSE),"")</f>
        <v>82</v>
      </c>
      <c r="J89" s="3">
        <f>IFERROR(VLOOKUP($A89,집계!$B:$AD,MATCH(J$1,집계!$2:$2,0)-1,FALSE),"")</f>
        <v>87</v>
      </c>
      <c r="K89" s="3">
        <f>IFERROR(VLOOKUP($A89,집계!$B:$AD,MATCH(K$1,집계!$2:$2,0)-1,FALSE),"")</f>
        <v>85</v>
      </c>
      <c r="L89" s="3">
        <f>IFERROR(VLOOKUP($A89,집계!$B:$AD,MATCH(L$1,집계!$2:$2,0)-1,FALSE),"")</f>
        <v>79</v>
      </c>
      <c r="M89" s="16">
        <f>IFERROR(VLOOKUP($A89,집계!$B:$AD,MATCH(M$1,집계!$2:$2,0)-1,FALSE),"")</f>
        <v>82</v>
      </c>
      <c r="N89" s="16">
        <f>IFERROR(VLOOKUP($A89,집계!$B:$AD,MATCH(N$1,집계!$2:$2,0)-1,FALSE),"")</f>
        <v>0</v>
      </c>
      <c r="O89" s="16">
        <f>IFERROR(VLOOKUP($A89,집계!$B:$AD,MATCH(O$1,집계!$2:$2,0)-1,FALSE),"")</f>
        <v>82</v>
      </c>
      <c r="P89" s="31" t="str">
        <f>IFERROR(VLOOKUP($A89,집계!$B:$AD,MATCH(P$1,집계!$2:$2,0)-1,FALSE),"")</f>
        <v/>
      </c>
    </row>
    <row r="90" spans="1:16" ht="17.100000000000001" customHeight="1" x14ac:dyDescent="0.35">
      <c r="A90" s="2">
        <v>20428258</v>
      </c>
      <c r="B90" s="4">
        <f>IFERROR(VLOOKUP($A90,집계!$B:$AD,MATCH(B$1,집계!$2:$2,0)-1,FALSE),"")</f>
        <v>1</v>
      </c>
      <c r="C90" s="4" t="str">
        <f>IFERROR(VLOOKUP($A90,집계!$B:$AD,MATCH(C$1,집계!$2:$2,0)-1,FALSE),"")</f>
        <v>이정현</v>
      </c>
      <c r="D90" s="4">
        <f>IFERROR(VLOOKUP($A90,집계!$B:$AD,MATCH(D$1,집계!$2:$2,0)-1,FALSE),"")</f>
        <v>20428258</v>
      </c>
      <c r="E90" s="4" t="str">
        <f>IFERROR(VLOOKUP($A90,집계!$B:$AD,MATCH(E$1,집계!$2:$2,0)-1,FALSE),"")</f>
        <v>친환경 원천 소재 기술 기반의 제로 웨이스트 브랜드 고도화 솔루션</v>
      </c>
      <c r="F90" s="31" t="str">
        <f>IFERROR(VLOOKUP($A90,대상!$B:$AD,MATCH(F$1,대상!$1:$1,0)-1,FALSE),"")</f>
        <v>면제</v>
      </c>
      <c r="G90" s="3">
        <f>IFERROR(VLOOKUP($A90,집계!$B:$AD,MATCH(G$1,집계!$2:$2,0)-1,FALSE),"")</f>
        <v>5</v>
      </c>
      <c r="H90" s="3" t="str">
        <f>IFERROR(VLOOKUP($A90,집계!$B:$AD,MATCH(H$1,집계!$2:$2,0)-1,FALSE),"")</f>
        <v/>
      </c>
      <c r="I90" s="3" t="str">
        <f>IFERROR(VLOOKUP($A90,집계!$B:$AD,MATCH(I$1,집계!$2:$2,0)-1,FALSE),"")</f>
        <v/>
      </c>
      <c r="J90" s="3" t="str">
        <f>IFERROR(VLOOKUP($A90,집계!$B:$AD,MATCH(J$1,집계!$2:$2,0)-1,FALSE),"")</f>
        <v/>
      </c>
      <c r="K90" s="3" t="str">
        <f>IFERROR(VLOOKUP($A90,집계!$B:$AD,MATCH(K$1,집계!$2:$2,0)-1,FALSE),"")</f>
        <v/>
      </c>
      <c r="L90" s="3" t="str">
        <f>IFERROR(VLOOKUP($A90,집계!$B:$AD,MATCH(L$1,집계!$2:$2,0)-1,FALSE),"")</f>
        <v/>
      </c>
      <c r="M90" s="16">
        <f>IFERROR(VLOOKUP($A90,집계!$B:$AD,MATCH(M$1,집계!$2:$2,0)-1,FALSE),"")</f>
        <v>0</v>
      </c>
      <c r="N90" s="16">
        <f>IFERROR(VLOOKUP($A90,집계!$B:$AD,MATCH(N$1,집계!$2:$2,0)-1,FALSE),"")</f>
        <v>0</v>
      </c>
      <c r="O90" s="16">
        <f>IFERROR(VLOOKUP($A90,집계!$B:$AD,MATCH(O$1,집계!$2:$2,0)-1,FALSE),"")</f>
        <v>100</v>
      </c>
      <c r="P90" s="31" t="str">
        <f>IFERROR(VLOOKUP($A90,집계!$B:$AD,MATCH(P$1,집계!$2:$2,0)-1,FALSE),"")</f>
        <v/>
      </c>
    </row>
    <row r="91" spans="1:16" ht="17.100000000000001" customHeight="1" x14ac:dyDescent="0.35">
      <c r="A91" s="2">
        <v>20428424</v>
      </c>
      <c r="B91" s="4">
        <f>IFERROR(VLOOKUP($A91,집계!$B:$AD,MATCH(B$1,집계!$2:$2,0)-1,FALSE),"")</f>
        <v>65</v>
      </c>
      <c r="C91" s="4" t="str">
        <f>IFERROR(VLOOKUP($A91,집계!$B:$AD,MATCH(C$1,집계!$2:$2,0)-1,FALSE),"")</f>
        <v>박신우</v>
      </c>
      <c r="D91" s="4">
        <f>IFERROR(VLOOKUP($A91,집계!$B:$AD,MATCH(D$1,집계!$2:$2,0)-1,FALSE),"")</f>
        <v>20428424</v>
      </c>
      <c r="E91" s="4" t="str">
        <f>IFERROR(VLOOKUP($A91,집계!$B:$AD,MATCH(E$1,집계!$2:$2,0)-1,FALSE),"")</f>
        <v>다층 압축 기술이 적용된 일상의 샤워를 특별하게 만드는 샤워 향기 태블릿, '딘트 샤워팝'</v>
      </c>
      <c r="F91" s="31">
        <f>IFERROR(VLOOKUP($A91,대상!$B:$AD,MATCH(F$1,대상!$1:$1,0)-1,FALSE),"")</f>
        <v>0</v>
      </c>
      <c r="G91" s="3">
        <f>IFERROR(VLOOKUP($A91,집계!$B:$AD,MATCH(G$1,집계!$2:$2,0)-1,FALSE),"")</f>
        <v>5</v>
      </c>
      <c r="H91" s="3">
        <f>IFERROR(VLOOKUP($A91,집계!$B:$AD,MATCH(H$1,집계!$2:$2,0)-1,FALSE),"")</f>
        <v>83</v>
      </c>
      <c r="I91" s="3">
        <f>IFERROR(VLOOKUP($A91,집계!$B:$AD,MATCH(I$1,집계!$2:$2,0)-1,FALSE),"")</f>
        <v>83</v>
      </c>
      <c r="J91" s="3">
        <f>IFERROR(VLOOKUP($A91,집계!$B:$AD,MATCH(J$1,집계!$2:$2,0)-1,FALSE),"")</f>
        <v>71</v>
      </c>
      <c r="K91" s="3">
        <f>IFERROR(VLOOKUP($A91,집계!$B:$AD,MATCH(K$1,집계!$2:$2,0)-1,FALSE),"")</f>
        <v>79</v>
      </c>
      <c r="L91" s="3">
        <f>IFERROR(VLOOKUP($A91,집계!$B:$AD,MATCH(L$1,집계!$2:$2,0)-1,FALSE),"")</f>
        <v>68</v>
      </c>
      <c r="M91" s="16">
        <f>IFERROR(VLOOKUP($A91,집계!$B:$AD,MATCH(M$1,집계!$2:$2,0)-1,FALSE),"")</f>
        <v>77.666666666666671</v>
      </c>
      <c r="N91" s="16">
        <f>IFERROR(VLOOKUP($A91,집계!$B:$AD,MATCH(N$1,집계!$2:$2,0)-1,FALSE),"")</f>
        <v>0</v>
      </c>
      <c r="O91" s="16">
        <f>IFERROR(VLOOKUP($A91,집계!$B:$AD,MATCH(O$1,집계!$2:$2,0)-1,FALSE),"")</f>
        <v>77.666666666666671</v>
      </c>
      <c r="P91" s="31" t="str">
        <f>IFERROR(VLOOKUP($A91,집계!$B:$AD,MATCH(P$1,집계!$2:$2,0)-1,FALSE),"")</f>
        <v/>
      </c>
    </row>
    <row r="92" spans="1:16" ht="17.100000000000001" customHeight="1" x14ac:dyDescent="0.35">
      <c r="A92" s="2">
        <v>20429392</v>
      </c>
      <c r="B92" s="4">
        <f>IFERROR(VLOOKUP($A92,집계!$B:$AD,MATCH(B$1,집계!$2:$2,0)-1,FALSE),"")</f>
        <v>16</v>
      </c>
      <c r="C92" s="4" t="str">
        <f>IFERROR(VLOOKUP($A92,집계!$B:$AD,MATCH(C$1,집계!$2:$2,0)-1,FALSE),"")</f>
        <v>박대철</v>
      </c>
      <c r="D92" s="4">
        <f>IFERROR(VLOOKUP($A92,집계!$B:$AD,MATCH(D$1,집계!$2:$2,0)-1,FALSE),"")</f>
        <v>20429392</v>
      </c>
      <c r="E92" s="4" t="str">
        <f>IFERROR(VLOOKUP($A92,집계!$B:$AD,MATCH(E$1,집계!$2:$2,0)-1,FALSE),"")</f>
        <v>초저온 실링 및 수분차단성을 갖춘 친환경 단일소재 폴리에틸렌 연포장 필름</v>
      </c>
      <c r="F92" s="31">
        <f>IFERROR(VLOOKUP($A92,대상!$B:$AD,MATCH(F$1,대상!$1:$1,0)-1,FALSE),"")</f>
        <v>0</v>
      </c>
      <c r="G92" s="3">
        <f>IFERROR(VLOOKUP($A92,집계!$B:$AD,MATCH(G$1,집계!$2:$2,0)-1,FALSE),"")</f>
        <v>5</v>
      </c>
      <c r="H92" s="3">
        <f>IFERROR(VLOOKUP($A92,집계!$B:$AD,MATCH(H$1,집계!$2:$2,0)-1,FALSE),"")</f>
        <v>79</v>
      </c>
      <c r="I92" s="3">
        <f>IFERROR(VLOOKUP($A92,집계!$B:$AD,MATCH(I$1,집계!$2:$2,0)-1,FALSE),"")</f>
        <v>86</v>
      </c>
      <c r="J92" s="3">
        <f>IFERROR(VLOOKUP($A92,집계!$B:$AD,MATCH(J$1,집계!$2:$2,0)-1,FALSE),"")</f>
        <v>87</v>
      </c>
      <c r="K92" s="3">
        <f>IFERROR(VLOOKUP($A92,집계!$B:$AD,MATCH(K$1,집계!$2:$2,0)-1,FALSE),"")</f>
        <v>86</v>
      </c>
      <c r="L92" s="3">
        <f>IFERROR(VLOOKUP($A92,집계!$B:$AD,MATCH(L$1,집계!$2:$2,0)-1,FALSE),"")</f>
        <v>84</v>
      </c>
      <c r="M92" s="16">
        <f>IFERROR(VLOOKUP($A92,집계!$B:$AD,MATCH(M$1,집계!$2:$2,0)-1,FALSE),"")</f>
        <v>85.333333333333329</v>
      </c>
      <c r="N92" s="16">
        <f>IFERROR(VLOOKUP($A92,집계!$B:$AD,MATCH(N$1,집계!$2:$2,0)-1,FALSE),"")</f>
        <v>0</v>
      </c>
      <c r="O92" s="16">
        <f>IFERROR(VLOOKUP($A92,집계!$B:$AD,MATCH(O$1,집계!$2:$2,0)-1,FALSE),"")</f>
        <v>85.333333333333329</v>
      </c>
      <c r="P92" s="31" t="str">
        <f>IFERROR(VLOOKUP($A92,집계!$B:$AD,MATCH(P$1,집계!$2:$2,0)-1,FALSE),"")</f>
        <v/>
      </c>
    </row>
    <row r="93" spans="1:16" ht="17.100000000000001" customHeight="1" x14ac:dyDescent="0.35">
      <c r="A93" s="2">
        <v>20429506</v>
      </c>
      <c r="B93" s="4">
        <f>IFERROR(VLOOKUP($A93,집계!$B:$AD,MATCH(B$1,집계!$2:$2,0)-1,FALSE),"")</f>
        <v>75</v>
      </c>
      <c r="C93" s="4" t="str">
        <f>IFERROR(VLOOKUP($A93,집계!$B:$AD,MATCH(C$1,집계!$2:$2,0)-1,FALSE),"")</f>
        <v>이시은</v>
      </c>
      <c r="D93" s="4">
        <f>IFERROR(VLOOKUP($A93,집계!$B:$AD,MATCH(D$1,집계!$2:$2,0)-1,FALSE),"")</f>
        <v>20429506</v>
      </c>
      <c r="E93" s="4" t="str">
        <f>IFERROR(VLOOKUP($A93,집계!$B:$AD,MATCH(E$1,집계!$2:$2,0)-1,FALSE),"")</f>
        <v>멜라노사이트 표적 리포좀 기술이 적용된 임산부 색소침착 개선 기능을 제공하는 피트산 리포좀 립 마스크</v>
      </c>
      <c r="F93" s="31">
        <f>IFERROR(VLOOKUP($A93,대상!$B:$AD,MATCH(F$1,대상!$1:$1,0)-1,FALSE),"")</f>
        <v>0</v>
      </c>
      <c r="G93" s="3">
        <f>IFERROR(VLOOKUP($A93,집계!$B:$AD,MATCH(G$1,집계!$2:$2,0)-1,FALSE),"")</f>
        <v>5</v>
      </c>
      <c r="H93" s="3">
        <f>IFERROR(VLOOKUP($A93,집계!$B:$AD,MATCH(H$1,집계!$2:$2,0)-1,FALSE),"")</f>
        <v>75</v>
      </c>
      <c r="I93" s="3">
        <f>IFERROR(VLOOKUP($A93,집계!$B:$AD,MATCH(I$1,집계!$2:$2,0)-1,FALSE),"")</f>
        <v>82</v>
      </c>
      <c r="J93" s="3">
        <f>IFERROR(VLOOKUP($A93,집계!$B:$AD,MATCH(J$1,집계!$2:$2,0)-1,FALSE),"")</f>
        <v>73</v>
      </c>
      <c r="K93" s="3">
        <f>IFERROR(VLOOKUP($A93,집계!$B:$AD,MATCH(K$1,집계!$2:$2,0)-1,FALSE),"")</f>
        <v>85</v>
      </c>
      <c r="L93" s="3">
        <f>IFERROR(VLOOKUP($A93,집계!$B:$AD,MATCH(L$1,집계!$2:$2,0)-1,FALSE),"")</f>
        <v>72</v>
      </c>
      <c r="M93" s="16">
        <f>IFERROR(VLOOKUP($A93,집계!$B:$AD,MATCH(M$1,집계!$2:$2,0)-1,FALSE),"")</f>
        <v>76.666666666666671</v>
      </c>
      <c r="N93" s="16">
        <f>IFERROR(VLOOKUP($A93,집계!$B:$AD,MATCH(N$1,집계!$2:$2,0)-1,FALSE),"")</f>
        <v>0</v>
      </c>
      <c r="O93" s="16">
        <f>IFERROR(VLOOKUP($A93,집계!$B:$AD,MATCH(O$1,집계!$2:$2,0)-1,FALSE),"")</f>
        <v>76.666666666666671</v>
      </c>
      <c r="P93" s="31" t="str">
        <f>IFERROR(VLOOKUP($A93,집계!$B:$AD,MATCH(P$1,집계!$2:$2,0)-1,FALSE),"")</f>
        <v/>
      </c>
    </row>
    <row r="94" spans="1:16" ht="17.100000000000001" customHeight="1" x14ac:dyDescent="0.35">
      <c r="A94" s="2">
        <v>20430628</v>
      </c>
      <c r="B94" s="4">
        <f>IFERROR(VLOOKUP($A94,집계!$B:$AD,MATCH(B$1,집계!$2:$2,0)-1,FALSE),"")</f>
        <v>92</v>
      </c>
      <c r="C94" s="4" t="str">
        <f>IFERROR(VLOOKUP($A94,집계!$B:$AD,MATCH(C$1,집계!$2:$2,0)-1,FALSE),"")</f>
        <v>박태환</v>
      </c>
      <c r="D94" s="4">
        <f>IFERROR(VLOOKUP($A94,집계!$B:$AD,MATCH(D$1,집계!$2:$2,0)-1,FALSE),"")</f>
        <v>20430628</v>
      </c>
      <c r="E94" s="4" t="str">
        <f>IFERROR(VLOOKUP($A94,집계!$B:$AD,MATCH(E$1,집계!$2:$2,0)-1,FALSE),"")</f>
        <v>째피 저속노화 바디 루틴</v>
      </c>
      <c r="F94" s="31">
        <f>IFERROR(VLOOKUP($A94,대상!$B:$AD,MATCH(F$1,대상!$1:$1,0)-1,FALSE),"")</f>
        <v>0</v>
      </c>
      <c r="G94" s="3">
        <f>IFERROR(VLOOKUP($A94,집계!$B:$AD,MATCH(G$1,집계!$2:$2,0)-1,FALSE),"")</f>
        <v>5</v>
      </c>
      <c r="H94" s="3">
        <f>IFERROR(VLOOKUP($A94,집계!$B:$AD,MATCH(H$1,집계!$2:$2,0)-1,FALSE),"")</f>
        <v>75</v>
      </c>
      <c r="I94" s="3">
        <f>IFERROR(VLOOKUP($A94,집계!$B:$AD,MATCH(I$1,집계!$2:$2,0)-1,FALSE),"")</f>
        <v>76</v>
      </c>
      <c r="J94" s="3">
        <f>IFERROR(VLOOKUP($A94,집계!$B:$AD,MATCH(J$1,집계!$2:$2,0)-1,FALSE),"")</f>
        <v>64</v>
      </c>
      <c r="K94" s="3">
        <f>IFERROR(VLOOKUP($A94,집계!$B:$AD,MATCH(K$1,집계!$2:$2,0)-1,FALSE),"")</f>
        <v>78</v>
      </c>
      <c r="L94" s="3">
        <f>IFERROR(VLOOKUP($A94,집계!$B:$AD,MATCH(L$1,집계!$2:$2,0)-1,FALSE),"")</f>
        <v>71</v>
      </c>
      <c r="M94" s="16">
        <f>IFERROR(VLOOKUP($A94,집계!$B:$AD,MATCH(M$1,집계!$2:$2,0)-1,FALSE),"")</f>
        <v>74</v>
      </c>
      <c r="N94" s="16">
        <f>IFERROR(VLOOKUP($A94,집계!$B:$AD,MATCH(N$1,집계!$2:$2,0)-1,FALSE),"")</f>
        <v>0</v>
      </c>
      <c r="O94" s="16">
        <f>IFERROR(VLOOKUP($A94,집계!$B:$AD,MATCH(O$1,집계!$2:$2,0)-1,FALSE),"")</f>
        <v>74</v>
      </c>
      <c r="P94" s="31" t="str">
        <f>IFERROR(VLOOKUP($A94,집계!$B:$AD,MATCH(P$1,집계!$2:$2,0)-1,FALSE),"")</f>
        <v/>
      </c>
    </row>
    <row r="95" spans="1:16" ht="17.100000000000001" customHeight="1" x14ac:dyDescent="0.35">
      <c r="A95" s="2">
        <v>20431143</v>
      </c>
      <c r="B95" s="4">
        <f>IFERROR(VLOOKUP($A95,집계!$B:$AD,MATCH(B$1,집계!$2:$2,0)-1,FALSE),"")</f>
        <v>107</v>
      </c>
      <c r="C95" s="4" t="str">
        <f>IFERROR(VLOOKUP($A95,집계!$B:$AD,MATCH(C$1,집계!$2:$2,0)-1,FALSE),"")</f>
        <v>박양신</v>
      </c>
      <c r="D95" s="4">
        <f>IFERROR(VLOOKUP($A95,집계!$B:$AD,MATCH(D$1,집계!$2:$2,0)-1,FALSE),"")</f>
        <v>20431143</v>
      </c>
      <c r="E95" s="4" t="str">
        <f>IFERROR(VLOOKUP($A95,집계!$B:$AD,MATCH(E$1,집계!$2:$2,0)-1,FALSE),"")</f>
        <v>멀티유즈 프리미엄 라이프케어 제품 개발 및 브랜드 사업화</v>
      </c>
      <c r="F95" s="31">
        <f>IFERROR(VLOOKUP($A95,대상!$B:$AD,MATCH(F$1,대상!$1:$1,0)-1,FALSE),"")</f>
        <v>0</v>
      </c>
      <c r="G95" s="3">
        <f>IFERROR(VLOOKUP($A95,집계!$B:$AD,MATCH(G$1,집계!$2:$2,0)-1,FALSE),"")</f>
        <v>5</v>
      </c>
      <c r="H95" s="3">
        <f>IFERROR(VLOOKUP($A95,집계!$B:$AD,MATCH(H$1,집계!$2:$2,0)-1,FALSE),"")</f>
        <v>72</v>
      </c>
      <c r="I95" s="3">
        <f>IFERROR(VLOOKUP($A95,집계!$B:$AD,MATCH(I$1,집계!$2:$2,0)-1,FALSE),"")</f>
        <v>69</v>
      </c>
      <c r="J95" s="3">
        <f>IFERROR(VLOOKUP($A95,집계!$B:$AD,MATCH(J$1,집계!$2:$2,0)-1,FALSE),"")</f>
        <v>65</v>
      </c>
      <c r="K95" s="3">
        <f>IFERROR(VLOOKUP($A95,집계!$B:$AD,MATCH(K$1,집계!$2:$2,0)-1,FALSE),"")</f>
        <v>74</v>
      </c>
      <c r="L95" s="3">
        <f>IFERROR(VLOOKUP($A95,집계!$B:$AD,MATCH(L$1,집계!$2:$2,0)-1,FALSE),"")</f>
        <v>75</v>
      </c>
      <c r="M95" s="16">
        <f>IFERROR(VLOOKUP($A95,집계!$B:$AD,MATCH(M$1,집계!$2:$2,0)-1,FALSE),"")</f>
        <v>71.666666666666671</v>
      </c>
      <c r="N95" s="16">
        <f>IFERROR(VLOOKUP($A95,집계!$B:$AD,MATCH(N$1,집계!$2:$2,0)-1,FALSE),"")</f>
        <v>0</v>
      </c>
      <c r="O95" s="16">
        <f>IFERROR(VLOOKUP($A95,집계!$B:$AD,MATCH(O$1,집계!$2:$2,0)-1,FALSE),"")</f>
        <v>71.666666666666671</v>
      </c>
      <c r="P95" s="31" t="str">
        <f>IFERROR(VLOOKUP($A95,집계!$B:$AD,MATCH(P$1,집계!$2:$2,0)-1,FALSE),"")</f>
        <v/>
      </c>
    </row>
    <row r="96" spans="1:16" ht="17.100000000000001" customHeight="1" x14ac:dyDescent="0.35">
      <c r="A96" s="2">
        <v>20432269</v>
      </c>
      <c r="B96" s="4">
        <f>IFERROR(VLOOKUP($A96,집계!$B:$AD,MATCH(B$1,집계!$2:$2,0)-1,FALSE),"")</f>
        <v>81</v>
      </c>
      <c r="C96" s="4" t="str">
        <f>IFERROR(VLOOKUP($A96,집계!$B:$AD,MATCH(C$1,집계!$2:$2,0)-1,FALSE),"")</f>
        <v>서수빈</v>
      </c>
      <c r="D96" s="4">
        <f>IFERROR(VLOOKUP($A96,집계!$B:$AD,MATCH(D$1,집계!$2:$2,0)-1,FALSE),"")</f>
        <v>20432269</v>
      </c>
      <c r="E96" s="4" t="str">
        <f>IFERROR(VLOOKUP($A96,집계!$B:$AD,MATCH(E$1,집계!$2:$2,0)-1,FALSE),"")</f>
        <v>나노리포좀 기술이 적용된 해양 바이오 K뷰티 스킨케어 브랜드 : 해올</v>
      </c>
      <c r="F96" s="31">
        <f>IFERROR(VLOOKUP($A96,대상!$B:$AD,MATCH(F$1,대상!$1:$1,0)-1,FALSE),"")</f>
        <v>0</v>
      </c>
      <c r="G96" s="3">
        <f>IFERROR(VLOOKUP($A96,집계!$B:$AD,MATCH(G$1,집계!$2:$2,0)-1,FALSE),"")</f>
        <v>5</v>
      </c>
      <c r="H96" s="3">
        <f>IFERROR(VLOOKUP($A96,집계!$B:$AD,MATCH(H$1,집계!$2:$2,0)-1,FALSE),"")</f>
        <v>80</v>
      </c>
      <c r="I96" s="3">
        <f>IFERROR(VLOOKUP($A96,집계!$B:$AD,MATCH(I$1,집계!$2:$2,0)-1,FALSE),"")</f>
        <v>74</v>
      </c>
      <c r="J96" s="3">
        <f>IFERROR(VLOOKUP($A96,집계!$B:$AD,MATCH(J$1,집계!$2:$2,0)-1,FALSE),"")</f>
        <v>74</v>
      </c>
      <c r="K96" s="3">
        <f>IFERROR(VLOOKUP($A96,집계!$B:$AD,MATCH(K$1,집계!$2:$2,0)-1,FALSE),"")</f>
        <v>74</v>
      </c>
      <c r="L96" s="3">
        <f>IFERROR(VLOOKUP($A96,집계!$B:$AD,MATCH(L$1,집계!$2:$2,0)-1,FALSE),"")</f>
        <v>70</v>
      </c>
      <c r="M96" s="16">
        <f>IFERROR(VLOOKUP($A96,집계!$B:$AD,MATCH(M$1,집계!$2:$2,0)-1,FALSE),"")</f>
        <v>74</v>
      </c>
      <c r="N96" s="16">
        <f>IFERROR(VLOOKUP($A96,집계!$B:$AD,MATCH(N$1,집계!$2:$2,0)-1,FALSE),"")</f>
        <v>2</v>
      </c>
      <c r="O96" s="16">
        <f>IFERROR(VLOOKUP($A96,집계!$B:$AD,MATCH(O$1,집계!$2:$2,0)-1,FALSE),"")</f>
        <v>76</v>
      </c>
      <c r="P96" s="31" t="str">
        <f>IFERROR(VLOOKUP($A96,집계!$B:$AD,MATCH(P$1,집계!$2:$2,0)-1,FALSE),"")</f>
        <v/>
      </c>
    </row>
    <row r="97" spans="1:16" ht="17.100000000000001" customHeight="1" x14ac:dyDescent="0.35">
      <c r="A97" s="2">
        <v>20432460</v>
      </c>
      <c r="B97" s="4">
        <f>IFERROR(VLOOKUP($A97,집계!$B:$AD,MATCH(B$1,집계!$2:$2,0)-1,FALSE),"")</f>
        <v>69</v>
      </c>
      <c r="C97" s="4" t="str">
        <f>IFERROR(VLOOKUP($A97,집계!$B:$AD,MATCH(C$1,집계!$2:$2,0)-1,FALSE),"")</f>
        <v>이민주</v>
      </c>
      <c r="D97" s="4">
        <f>IFERROR(VLOOKUP($A97,집계!$B:$AD,MATCH(D$1,집계!$2:$2,0)-1,FALSE),"")</f>
        <v>20432460</v>
      </c>
      <c r="E97" s="4" t="str">
        <f>IFERROR(VLOOKUP($A97,집계!$B:$AD,MATCH(E$1,집계!$2:$2,0)-1,FALSE),"")</f>
        <v>여성 선수 체형 설계 데이터베이스 기반 퍼포먼스 스포츠웨어 '주키트(JUKIT) 우먼스 라인'</v>
      </c>
      <c r="F97" s="31">
        <f>IFERROR(VLOOKUP($A97,대상!$B:$AD,MATCH(F$1,대상!$1:$1,0)-1,FALSE),"")</f>
        <v>0</v>
      </c>
      <c r="G97" s="3">
        <f>IFERROR(VLOOKUP($A97,집계!$B:$AD,MATCH(G$1,집계!$2:$2,0)-1,FALSE),"")</f>
        <v>5</v>
      </c>
      <c r="H97" s="3">
        <f>IFERROR(VLOOKUP($A97,집계!$B:$AD,MATCH(H$1,집계!$2:$2,0)-1,FALSE),"")</f>
        <v>77</v>
      </c>
      <c r="I97" s="3">
        <f>IFERROR(VLOOKUP($A97,집계!$B:$AD,MATCH(I$1,집계!$2:$2,0)-1,FALSE),"")</f>
        <v>68</v>
      </c>
      <c r="J97" s="3">
        <f>IFERROR(VLOOKUP($A97,집계!$B:$AD,MATCH(J$1,집계!$2:$2,0)-1,FALSE),"")</f>
        <v>74</v>
      </c>
      <c r="K97" s="3">
        <f>IFERROR(VLOOKUP($A97,집계!$B:$AD,MATCH(K$1,집계!$2:$2,0)-1,FALSE),"")</f>
        <v>81</v>
      </c>
      <c r="L97" s="3">
        <f>IFERROR(VLOOKUP($A97,집계!$B:$AD,MATCH(L$1,집계!$2:$2,0)-1,FALSE),"")</f>
        <v>83</v>
      </c>
      <c r="M97" s="16">
        <f>IFERROR(VLOOKUP($A97,집계!$B:$AD,MATCH(M$1,집계!$2:$2,0)-1,FALSE),"")</f>
        <v>77.333333333333329</v>
      </c>
      <c r="N97" s="16">
        <f>IFERROR(VLOOKUP($A97,집계!$B:$AD,MATCH(N$1,집계!$2:$2,0)-1,FALSE),"")</f>
        <v>0</v>
      </c>
      <c r="O97" s="16">
        <f>IFERROR(VLOOKUP($A97,집계!$B:$AD,MATCH(O$1,집계!$2:$2,0)-1,FALSE),"")</f>
        <v>77.333333333333329</v>
      </c>
      <c r="P97" s="31" t="str">
        <f>IFERROR(VLOOKUP($A97,집계!$B:$AD,MATCH(P$1,집계!$2:$2,0)-1,FALSE),"")</f>
        <v/>
      </c>
    </row>
    <row r="98" spans="1:16" ht="17.100000000000001" customHeight="1" x14ac:dyDescent="0.35">
      <c r="A98" s="2">
        <v>20432575</v>
      </c>
      <c r="B98" s="4">
        <f>IFERROR(VLOOKUP($A98,집계!$B:$AD,MATCH(B$1,집계!$2:$2,0)-1,FALSE),"")</f>
        <v>103</v>
      </c>
      <c r="C98" s="4" t="str">
        <f>IFERROR(VLOOKUP($A98,집계!$B:$AD,MATCH(C$1,집계!$2:$2,0)-1,FALSE),"")</f>
        <v>김정훈</v>
      </c>
      <c r="D98" s="4">
        <f>IFERROR(VLOOKUP($A98,집계!$B:$AD,MATCH(D$1,집계!$2:$2,0)-1,FALSE),"")</f>
        <v>20432575</v>
      </c>
      <c r="E98" s="4" t="str">
        <f>IFERROR(VLOOKUP($A98,집계!$B:$AD,MATCH(E$1,집계!$2:$2,0)-1,FALSE),"")</f>
        <v>비건·할랄 기준을 적용한 피부장벽·탄력 개선 기능의 글로벌 스킨케어 제품</v>
      </c>
      <c r="F98" s="31">
        <f>IFERROR(VLOOKUP($A98,대상!$B:$AD,MATCH(F$1,대상!$1:$1,0)-1,FALSE),"")</f>
        <v>0</v>
      </c>
      <c r="G98" s="3">
        <f>IFERROR(VLOOKUP($A98,집계!$B:$AD,MATCH(G$1,집계!$2:$2,0)-1,FALSE),"")</f>
        <v>5</v>
      </c>
      <c r="H98" s="3">
        <f>IFERROR(VLOOKUP($A98,집계!$B:$AD,MATCH(H$1,집계!$2:$2,0)-1,FALSE),"")</f>
        <v>73</v>
      </c>
      <c r="I98" s="3">
        <f>IFERROR(VLOOKUP($A98,집계!$B:$AD,MATCH(I$1,집계!$2:$2,0)-1,FALSE),"")</f>
        <v>69</v>
      </c>
      <c r="J98" s="3">
        <f>IFERROR(VLOOKUP($A98,집계!$B:$AD,MATCH(J$1,집계!$2:$2,0)-1,FALSE),"")</f>
        <v>70</v>
      </c>
      <c r="K98" s="3">
        <f>IFERROR(VLOOKUP($A98,집계!$B:$AD,MATCH(K$1,집계!$2:$2,0)-1,FALSE),"")</f>
        <v>78</v>
      </c>
      <c r="L98" s="3">
        <f>IFERROR(VLOOKUP($A98,집계!$B:$AD,MATCH(L$1,집계!$2:$2,0)-1,FALSE),"")</f>
        <v>75</v>
      </c>
      <c r="M98" s="16">
        <f>IFERROR(VLOOKUP($A98,집계!$B:$AD,MATCH(M$1,집계!$2:$2,0)-1,FALSE),"")</f>
        <v>72.666666666666671</v>
      </c>
      <c r="N98" s="16">
        <f>IFERROR(VLOOKUP($A98,집계!$B:$AD,MATCH(N$1,집계!$2:$2,0)-1,FALSE),"")</f>
        <v>0</v>
      </c>
      <c r="O98" s="16">
        <f>IFERROR(VLOOKUP($A98,집계!$B:$AD,MATCH(O$1,집계!$2:$2,0)-1,FALSE),"")</f>
        <v>72.666666666666671</v>
      </c>
      <c r="P98" s="31" t="str">
        <f>IFERROR(VLOOKUP($A98,집계!$B:$AD,MATCH(P$1,집계!$2:$2,0)-1,FALSE),"")</f>
        <v/>
      </c>
    </row>
    <row r="99" spans="1:16" ht="17.100000000000001" customHeight="1" x14ac:dyDescent="0.35">
      <c r="A99" s="2">
        <v>20433253</v>
      </c>
      <c r="B99" s="4">
        <f>IFERROR(VLOOKUP($A99,집계!$B:$AD,MATCH(B$1,집계!$2:$2,0)-1,FALSE),"")</f>
        <v>45</v>
      </c>
      <c r="C99" s="4" t="str">
        <f>IFERROR(VLOOKUP($A99,집계!$B:$AD,MATCH(C$1,집계!$2:$2,0)-1,FALSE),"")</f>
        <v>오소영</v>
      </c>
      <c r="D99" s="4">
        <f>IFERROR(VLOOKUP($A99,집계!$B:$AD,MATCH(D$1,집계!$2:$2,0)-1,FALSE),"")</f>
        <v>20433253</v>
      </c>
      <c r="E99" s="4" t="str">
        <f>IFERROR(VLOOKUP($A99,집계!$B:$AD,MATCH(E$1,집계!$2:$2,0)-1,FALSE),"")</f>
        <v>효과와 자극의 딜레마 극복, '초단기 턴오버 회복' K-뷰티 라인업</v>
      </c>
      <c r="F99" s="31">
        <f>IFERROR(VLOOKUP($A99,대상!$B:$AD,MATCH(F$1,대상!$1:$1,0)-1,FALSE),"")</f>
        <v>0</v>
      </c>
      <c r="G99" s="3">
        <f>IFERROR(VLOOKUP($A99,집계!$B:$AD,MATCH(G$1,집계!$2:$2,0)-1,FALSE),"")</f>
        <v>5</v>
      </c>
      <c r="H99" s="3">
        <f>IFERROR(VLOOKUP($A99,집계!$B:$AD,MATCH(H$1,집계!$2:$2,0)-1,FALSE),"")</f>
        <v>79</v>
      </c>
      <c r="I99" s="3">
        <f>IFERROR(VLOOKUP($A99,집계!$B:$AD,MATCH(I$1,집계!$2:$2,0)-1,FALSE),"")</f>
        <v>78</v>
      </c>
      <c r="J99" s="3">
        <f>IFERROR(VLOOKUP($A99,집계!$B:$AD,MATCH(J$1,집계!$2:$2,0)-1,FALSE),"")</f>
        <v>73</v>
      </c>
      <c r="K99" s="3">
        <f>IFERROR(VLOOKUP($A99,집계!$B:$AD,MATCH(K$1,집계!$2:$2,0)-1,FALSE),"")</f>
        <v>81</v>
      </c>
      <c r="L99" s="3">
        <f>IFERROR(VLOOKUP($A99,집계!$B:$AD,MATCH(L$1,집계!$2:$2,0)-1,FALSE),"")</f>
        <v>82</v>
      </c>
      <c r="M99" s="16">
        <f>IFERROR(VLOOKUP($A99,집계!$B:$AD,MATCH(M$1,집계!$2:$2,0)-1,FALSE),"")</f>
        <v>79.333333333333329</v>
      </c>
      <c r="N99" s="16">
        <f>IFERROR(VLOOKUP($A99,집계!$B:$AD,MATCH(N$1,집계!$2:$2,0)-1,FALSE),"")</f>
        <v>0</v>
      </c>
      <c r="O99" s="16">
        <f>IFERROR(VLOOKUP($A99,집계!$B:$AD,MATCH(O$1,집계!$2:$2,0)-1,FALSE),"")</f>
        <v>79.333333333333329</v>
      </c>
      <c r="P99" s="31" t="str">
        <f>IFERROR(VLOOKUP($A99,집계!$B:$AD,MATCH(P$1,집계!$2:$2,0)-1,FALSE),"")</f>
        <v/>
      </c>
    </row>
    <row r="100" spans="1:16" ht="17.100000000000001" customHeight="1" x14ac:dyDescent="0.35">
      <c r="A100" s="2">
        <v>20440248</v>
      </c>
      <c r="B100" s="4">
        <f>IFERROR(VLOOKUP($A100,집계!$B:$AD,MATCH(B$1,집계!$2:$2,0)-1,FALSE),"")</f>
        <v>45</v>
      </c>
      <c r="C100" s="4" t="str">
        <f>IFERROR(VLOOKUP($A100,집계!$B:$AD,MATCH(C$1,집계!$2:$2,0)-1,FALSE),"")</f>
        <v>최성규</v>
      </c>
      <c r="D100" s="4">
        <f>IFERROR(VLOOKUP($A100,집계!$B:$AD,MATCH(D$1,집계!$2:$2,0)-1,FALSE),"")</f>
        <v>20440248</v>
      </c>
      <c r="E100" s="4" t="str">
        <f>IFERROR(VLOOKUP($A100,집계!$B:$AD,MATCH(E$1,집계!$2:$2,0)-1,FALSE),"")</f>
        <v>버려지는 부산물을 활용한 주름개선용 식물성 펩타이드 소재 사업화</v>
      </c>
      <c r="F100" s="31">
        <f>IFERROR(VLOOKUP($A100,대상!$B:$AD,MATCH(F$1,대상!$1:$1,0)-1,FALSE),"")</f>
        <v>0</v>
      </c>
      <c r="G100" s="3">
        <f>IFERROR(VLOOKUP($A100,집계!$B:$AD,MATCH(G$1,집계!$2:$2,0)-1,FALSE),"")</f>
        <v>5</v>
      </c>
      <c r="H100" s="3">
        <f>IFERROR(VLOOKUP($A100,집계!$B:$AD,MATCH(H$1,집계!$2:$2,0)-1,FALSE),"")</f>
        <v>82</v>
      </c>
      <c r="I100" s="3">
        <f>IFERROR(VLOOKUP($A100,집계!$B:$AD,MATCH(I$1,집계!$2:$2,0)-1,FALSE),"")</f>
        <v>69</v>
      </c>
      <c r="J100" s="3">
        <f>IFERROR(VLOOKUP($A100,집계!$B:$AD,MATCH(J$1,집계!$2:$2,0)-1,FALSE),"")</f>
        <v>87</v>
      </c>
      <c r="K100" s="3">
        <f>IFERROR(VLOOKUP($A100,집계!$B:$AD,MATCH(K$1,집계!$2:$2,0)-1,FALSE),"")</f>
        <v>87</v>
      </c>
      <c r="L100" s="3">
        <f>IFERROR(VLOOKUP($A100,집계!$B:$AD,MATCH(L$1,집계!$2:$2,0)-1,FALSE),"")</f>
        <v>66</v>
      </c>
      <c r="M100" s="16">
        <f>IFERROR(VLOOKUP($A100,집계!$B:$AD,MATCH(M$1,집계!$2:$2,0)-1,FALSE),"")</f>
        <v>79.333333333333329</v>
      </c>
      <c r="N100" s="16">
        <f>IFERROR(VLOOKUP($A100,집계!$B:$AD,MATCH(N$1,집계!$2:$2,0)-1,FALSE),"")</f>
        <v>0</v>
      </c>
      <c r="O100" s="16">
        <f>IFERROR(VLOOKUP($A100,집계!$B:$AD,MATCH(O$1,집계!$2:$2,0)-1,FALSE),"")</f>
        <v>79.333333333333329</v>
      </c>
      <c r="P100" s="31" t="str">
        <f>IFERROR(VLOOKUP($A100,집계!$B:$AD,MATCH(P$1,집계!$2:$2,0)-1,FALSE),"")</f>
        <v/>
      </c>
    </row>
    <row r="101" spans="1:16" ht="17.100000000000001" customHeight="1" x14ac:dyDescent="0.35">
      <c r="A101" s="2">
        <v>20416668</v>
      </c>
      <c r="B101" s="4">
        <f>IFERROR(VLOOKUP($A101,집계!$B:$AD,MATCH(B$1,집계!$2:$2,0)-1,FALSE),"")</f>
        <v>13</v>
      </c>
      <c r="C101" s="4" t="str">
        <f>IFERROR(VLOOKUP($A101,집계!$B:$AD,MATCH(C$1,집계!$2:$2,0)-1,FALSE),"")</f>
        <v>박규근</v>
      </c>
      <c r="D101" s="4">
        <f>IFERROR(VLOOKUP($A101,집계!$B:$AD,MATCH(D$1,집계!$2:$2,0)-1,FALSE),"")</f>
        <v>20416668</v>
      </c>
      <c r="E101" s="4" t="str">
        <f>IFERROR(VLOOKUP($A101,집계!$B:$AD,MATCH(E$1,집계!$2:$2,0)-1,FALSE),"")</f>
        <v>여름철 민감·트러블 진정용 스킨케어 샤워기용 타블렛 개발</v>
      </c>
      <c r="F101" s="31">
        <f>IFERROR(VLOOKUP($A101,대상!$B:$AD,MATCH(F$1,대상!$1:$1,0)-1,FALSE),"")</f>
        <v>0</v>
      </c>
      <c r="G101" s="3">
        <f>IFERROR(VLOOKUP($A101,집계!$B:$AD,MATCH(G$1,집계!$2:$2,0)-1,FALSE),"")</f>
        <v>5</v>
      </c>
      <c r="H101" s="3">
        <f>IFERROR(VLOOKUP($A101,집계!$B:$AD,MATCH(H$1,집계!$2:$2,0)-1,FALSE),"")</f>
        <v>91</v>
      </c>
      <c r="I101" s="3">
        <f>IFERROR(VLOOKUP($A101,집계!$B:$AD,MATCH(I$1,집계!$2:$2,0)-1,FALSE),"")</f>
        <v>91</v>
      </c>
      <c r="J101" s="3">
        <f>IFERROR(VLOOKUP($A101,집계!$B:$AD,MATCH(J$1,집계!$2:$2,0)-1,FALSE),"")</f>
        <v>92</v>
      </c>
      <c r="K101" s="3">
        <f>IFERROR(VLOOKUP($A101,집계!$B:$AD,MATCH(K$1,집계!$2:$2,0)-1,FALSE),"")</f>
        <v>90</v>
      </c>
      <c r="L101" s="3">
        <f>IFERROR(VLOOKUP($A101,집계!$B:$AD,MATCH(L$1,집계!$2:$2,0)-1,FALSE),"")</f>
        <v>68</v>
      </c>
      <c r="M101" s="16">
        <f>IFERROR(VLOOKUP($A101,집계!$B:$AD,MATCH(M$1,집계!$2:$2,0)-1,FALSE),"")</f>
        <v>90.666666666666671</v>
      </c>
      <c r="N101" s="16">
        <f>IFERROR(VLOOKUP($A101,집계!$B:$AD,MATCH(N$1,집계!$2:$2,0)-1,FALSE),"")</f>
        <v>0</v>
      </c>
      <c r="O101" s="16">
        <f>IFERROR(VLOOKUP($A101,집계!$B:$AD,MATCH(O$1,집계!$2:$2,0)-1,FALSE),"")</f>
        <v>90.666666666666671</v>
      </c>
      <c r="P101" s="31" t="str">
        <f>IFERROR(VLOOKUP($A101,집계!$B:$AD,MATCH(P$1,집계!$2:$2,0)-1,FALSE),"")</f>
        <v/>
      </c>
    </row>
    <row r="102" spans="1:16" ht="17.100000000000001" customHeight="1" x14ac:dyDescent="0.35">
      <c r="A102" s="2">
        <v>20423311</v>
      </c>
      <c r="B102" s="4">
        <f>IFERROR(VLOOKUP($A102,집계!$B:$AD,MATCH(B$1,집계!$2:$2,0)-1,FALSE),"")</f>
        <v>52</v>
      </c>
      <c r="C102" s="4" t="str">
        <f>IFERROR(VLOOKUP($A102,집계!$B:$AD,MATCH(C$1,집계!$2:$2,0)-1,FALSE),"")</f>
        <v>신지은</v>
      </c>
      <c r="D102" s="4">
        <f>IFERROR(VLOOKUP($A102,집계!$B:$AD,MATCH(D$1,집계!$2:$2,0)-1,FALSE),"")</f>
        <v>20423311</v>
      </c>
      <c r="E102" s="4" t="str">
        <f>IFERROR(VLOOKUP($A102,집계!$B:$AD,MATCH(E$1,집계!$2:$2,0)-1,FALSE),"")</f>
        <v>리사이클 팩토리 AI</v>
      </c>
      <c r="F102" s="31">
        <f>IFERROR(VLOOKUP($A102,대상!$B:$AD,MATCH(F$1,대상!$1:$1,0)-1,FALSE),"")</f>
        <v>0</v>
      </c>
      <c r="G102" s="3">
        <f>IFERROR(VLOOKUP($A102,집계!$B:$AD,MATCH(G$1,집계!$2:$2,0)-1,FALSE),"")</f>
        <v>5</v>
      </c>
      <c r="H102" s="3">
        <f>IFERROR(VLOOKUP($A102,집계!$B:$AD,MATCH(H$1,집계!$2:$2,0)-1,FALSE),"")</f>
        <v>73</v>
      </c>
      <c r="I102" s="3">
        <f>IFERROR(VLOOKUP($A102,집계!$B:$AD,MATCH(I$1,집계!$2:$2,0)-1,FALSE),"")</f>
        <v>86</v>
      </c>
      <c r="J102" s="3">
        <f>IFERROR(VLOOKUP($A102,집계!$B:$AD,MATCH(J$1,집계!$2:$2,0)-1,FALSE),"")</f>
        <v>77</v>
      </c>
      <c r="K102" s="3">
        <f>IFERROR(VLOOKUP($A102,집계!$B:$AD,MATCH(K$1,집계!$2:$2,0)-1,FALSE),"")</f>
        <v>70</v>
      </c>
      <c r="L102" s="3">
        <f>IFERROR(VLOOKUP($A102,집계!$B:$AD,MATCH(L$1,집계!$2:$2,0)-1,FALSE),"")</f>
        <v>89</v>
      </c>
      <c r="M102" s="16">
        <f>IFERROR(VLOOKUP($A102,집계!$B:$AD,MATCH(M$1,집계!$2:$2,0)-1,FALSE),"")</f>
        <v>78.666666666666671</v>
      </c>
      <c r="N102" s="16">
        <f>IFERROR(VLOOKUP($A102,집계!$B:$AD,MATCH(N$1,집계!$2:$2,0)-1,FALSE),"")</f>
        <v>0</v>
      </c>
      <c r="O102" s="16">
        <f>IFERROR(VLOOKUP($A102,집계!$B:$AD,MATCH(O$1,집계!$2:$2,0)-1,FALSE),"")</f>
        <v>78.666666666666671</v>
      </c>
      <c r="P102" s="31" t="str">
        <f>IFERROR(VLOOKUP($A102,집계!$B:$AD,MATCH(P$1,집계!$2:$2,0)-1,FALSE),"")</f>
        <v/>
      </c>
    </row>
    <row r="103" spans="1:16" ht="17.100000000000001" customHeight="1" x14ac:dyDescent="0.35">
      <c r="A103" s="2">
        <v>20425251</v>
      </c>
      <c r="B103" s="4">
        <f>IFERROR(VLOOKUP($A103,집계!$B:$AD,MATCH(B$1,집계!$2:$2,0)-1,FALSE),"")</f>
        <v>105</v>
      </c>
      <c r="C103" s="4" t="str">
        <f>IFERROR(VLOOKUP($A103,집계!$B:$AD,MATCH(C$1,집계!$2:$2,0)-1,FALSE),"")</f>
        <v>안정빈</v>
      </c>
      <c r="D103" s="4">
        <f>IFERROR(VLOOKUP($A103,집계!$B:$AD,MATCH(D$1,집계!$2:$2,0)-1,FALSE),"")</f>
        <v>20425251</v>
      </c>
      <c r="E103" s="4" t="str">
        <f>IFERROR(VLOOKUP($A103,집계!$B:$AD,MATCH(E$1,집계!$2:$2,0)-1,FALSE),"")</f>
        <v>AI 안면 분석 기반 개인 맞춤형 눈썹 스타일링 키트</v>
      </c>
      <c r="F103" s="31">
        <f>IFERROR(VLOOKUP($A103,대상!$B:$AD,MATCH(F$1,대상!$1:$1,0)-1,FALSE),"")</f>
        <v>0</v>
      </c>
      <c r="G103" s="3">
        <f>IFERROR(VLOOKUP($A103,집계!$B:$AD,MATCH(G$1,집계!$2:$2,0)-1,FALSE),"")</f>
        <v>5</v>
      </c>
      <c r="H103" s="3">
        <f>IFERROR(VLOOKUP($A103,집계!$B:$AD,MATCH(H$1,집계!$2:$2,0)-1,FALSE),"")</f>
        <v>79</v>
      </c>
      <c r="I103" s="3">
        <f>IFERROR(VLOOKUP($A103,집계!$B:$AD,MATCH(I$1,집계!$2:$2,0)-1,FALSE),"")</f>
        <v>68</v>
      </c>
      <c r="J103" s="3">
        <f>IFERROR(VLOOKUP($A103,집계!$B:$AD,MATCH(J$1,집계!$2:$2,0)-1,FALSE),"")</f>
        <v>73</v>
      </c>
      <c r="K103" s="3">
        <f>IFERROR(VLOOKUP($A103,집계!$B:$AD,MATCH(K$1,집계!$2:$2,0)-1,FALSE),"")</f>
        <v>76</v>
      </c>
      <c r="L103" s="3">
        <f>IFERROR(VLOOKUP($A103,집계!$B:$AD,MATCH(L$1,집계!$2:$2,0)-1,FALSE),"")</f>
        <v>65</v>
      </c>
      <c r="M103" s="16">
        <f>IFERROR(VLOOKUP($A103,집계!$B:$AD,MATCH(M$1,집계!$2:$2,0)-1,FALSE),"")</f>
        <v>72.333333333333329</v>
      </c>
      <c r="N103" s="16">
        <f>IFERROR(VLOOKUP($A103,집계!$B:$AD,MATCH(N$1,집계!$2:$2,0)-1,FALSE),"")</f>
        <v>0</v>
      </c>
      <c r="O103" s="16">
        <f>IFERROR(VLOOKUP($A103,집계!$B:$AD,MATCH(O$1,집계!$2:$2,0)-1,FALSE),"")</f>
        <v>72.333333333333329</v>
      </c>
      <c r="P103" s="31" t="str">
        <f>IFERROR(VLOOKUP($A103,집계!$B:$AD,MATCH(P$1,집계!$2:$2,0)-1,FALSE),"")</f>
        <v/>
      </c>
    </row>
    <row r="104" spans="1:16" ht="17.100000000000001" customHeight="1" x14ac:dyDescent="0.35">
      <c r="A104" s="2">
        <v>20429258</v>
      </c>
      <c r="B104" s="4" t="str">
        <f>IFERROR(VLOOKUP($A104,집계!$B:$AD,MATCH(B$1,집계!$2:$2,0)-1,FALSE),"")</f>
        <v/>
      </c>
      <c r="C104" s="4" t="str">
        <f>IFERROR(VLOOKUP($A104,집계!$B:$AD,MATCH(C$1,집계!$2:$2,0)-1,FALSE),"")</f>
        <v>최다인</v>
      </c>
      <c r="D104" s="4">
        <f>IFERROR(VLOOKUP($A104,집계!$B:$AD,MATCH(D$1,집계!$2:$2,0)-1,FALSE),"")</f>
        <v>20429258</v>
      </c>
      <c r="E104" s="4" t="str">
        <f>IFERROR(VLOOKUP($A104,집계!$B:$AD,MATCH(E$1,집계!$2:$2,0)-1,FALSE),"")</f>
        <v>피부를 숨기지 않아도 되는 안심 베이스</v>
      </c>
      <c r="F104" s="31" t="str">
        <f>IFERROR(VLOOKUP($A104,대상!$B:$AD,MATCH(F$1,대상!$1:$1,0)-1,FALSE),"")</f>
        <v>요건탈락</v>
      </c>
      <c r="G104" s="3">
        <f>IFERROR(VLOOKUP($A104,집계!$B:$AD,MATCH(G$1,집계!$2:$2,0)-1,FALSE),"")</f>
        <v>5</v>
      </c>
      <c r="H104" s="3" t="str">
        <f>IFERROR(VLOOKUP($A104,집계!$B:$AD,MATCH(H$1,집계!$2:$2,0)-1,FALSE),"")</f>
        <v/>
      </c>
      <c r="I104" s="3" t="str">
        <f>IFERROR(VLOOKUP($A104,집계!$B:$AD,MATCH(I$1,집계!$2:$2,0)-1,FALSE),"")</f>
        <v/>
      </c>
      <c r="J104" s="3" t="str">
        <f>IFERROR(VLOOKUP($A104,집계!$B:$AD,MATCH(J$1,집계!$2:$2,0)-1,FALSE),"")</f>
        <v/>
      </c>
      <c r="K104" s="3" t="str">
        <f>IFERROR(VLOOKUP($A104,집계!$B:$AD,MATCH(K$1,집계!$2:$2,0)-1,FALSE),"")</f>
        <v/>
      </c>
      <c r="L104" s="3" t="str">
        <f>IFERROR(VLOOKUP($A104,집계!$B:$AD,MATCH(L$1,집계!$2:$2,0)-1,FALSE),"")</f>
        <v/>
      </c>
      <c r="M104" s="16">
        <f>IFERROR(VLOOKUP($A104,집계!$B:$AD,MATCH(M$1,집계!$2:$2,0)-1,FALSE),"")</f>
        <v>0</v>
      </c>
      <c r="N104" s="16">
        <f>IFERROR(VLOOKUP($A104,집계!$B:$AD,MATCH(N$1,집계!$2:$2,0)-1,FALSE),"")</f>
        <v>0</v>
      </c>
      <c r="O104" s="16">
        <f>IFERROR(VLOOKUP($A104,집계!$B:$AD,MATCH(O$1,집계!$2:$2,0)-1,FALSE),"")</f>
        <v>0</v>
      </c>
      <c r="P104" s="31" t="str">
        <f>IFERROR(VLOOKUP($A104,집계!$B:$AD,MATCH(P$1,집계!$2:$2,0)-1,FALSE),"")</f>
        <v/>
      </c>
    </row>
    <row r="105" spans="1:16" ht="17.100000000000001" customHeight="1" x14ac:dyDescent="0.35">
      <c r="A105" s="2">
        <v>20421742</v>
      </c>
      <c r="B105" s="4">
        <f>IFERROR(VLOOKUP($A105,집계!$B:$AD,MATCH(B$1,집계!$2:$2,0)-1,FALSE),"")</f>
        <v>12</v>
      </c>
      <c r="C105" s="4" t="str">
        <f>IFERROR(VLOOKUP($A105,집계!$B:$AD,MATCH(C$1,집계!$2:$2,0)-1,FALSE),"")</f>
        <v>이원철</v>
      </c>
      <c r="D105" s="4">
        <f>IFERROR(VLOOKUP($A105,집계!$B:$AD,MATCH(D$1,집계!$2:$2,0)-1,FALSE),"")</f>
        <v>20421742</v>
      </c>
      <c r="E105" s="4" t="str">
        <f>IFERROR(VLOOKUP($A105,집계!$B:$AD,MATCH(E$1,집계!$2:$2,0)-1,FALSE),"")</f>
        <v>고난도 첨단 연구용 유기화합물 맞춤형 합성·공급 플랫폼</v>
      </c>
      <c r="F105" s="31" t="str">
        <f>IFERROR(VLOOKUP($A105,대상!$B:$AD,MATCH(F$1,대상!$1:$1,0)-1,FALSE),"")</f>
        <v/>
      </c>
      <c r="G105" s="3">
        <f>IFERROR(VLOOKUP($A105,집계!$B:$AD,MATCH(G$1,집계!$2:$2,0)-1,FALSE),"")</f>
        <v>5</v>
      </c>
      <c r="H105" s="3">
        <f>IFERROR(VLOOKUP($A105,집계!$B:$AD,MATCH(H$1,집계!$2:$2,0)-1,FALSE),"")</f>
        <v>90</v>
      </c>
      <c r="I105" s="3">
        <f>IFERROR(VLOOKUP($A105,집계!$B:$AD,MATCH(I$1,집계!$2:$2,0)-1,FALSE),"")</f>
        <v>94</v>
      </c>
      <c r="J105" s="3">
        <f>IFERROR(VLOOKUP($A105,집계!$B:$AD,MATCH(J$1,집계!$2:$2,0)-1,FALSE),"")</f>
        <v>93</v>
      </c>
      <c r="K105" s="3">
        <f>IFERROR(VLOOKUP($A105,집계!$B:$AD,MATCH(K$1,집계!$2:$2,0)-1,FALSE),"")</f>
        <v>90</v>
      </c>
      <c r="L105" s="3">
        <f>IFERROR(VLOOKUP($A105,집계!$B:$AD,MATCH(L$1,집계!$2:$2,0)-1,FALSE),"")</f>
        <v>89</v>
      </c>
      <c r="M105" s="16">
        <f>IFERROR(VLOOKUP($A105,집계!$B:$AD,MATCH(M$1,집계!$2:$2,0)-1,FALSE),"")</f>
        <v>91</v>
      </c>
      <c r="N105" s="16">
        <f>IFERROR(VLOOKUP($A105,집계!$B:$AD,MATCH(N$1,집계!$2:$2,0)-1,FALSE),"")</f>
        <v>0</v>
      </c>
      <c r="O105" s="16">
        <f>IFERROR(VLOOKUP($A105,집계!$B:$AD,MATCH(O$1,집계!$2:$2,0)-1,FALSE),"")</f>
        <v>91</v>
      </c>
      <c r="P105" s="31" t="str">
        <f>IFERROR(VLOOKUP($A105,집계!$B:$AD,MATCH(P$1,집계!$2:$2,0)-1,FALSE),"")</f>
        <v/>
      </c>
    </row>
    <row r="106" spans="1:16" ht="17.100000000000001" customHeight="1" x14ac:dyDescent="0.35">
      <c r="A106" s="2">
        <v>20401633</v>
      </c>
      <c r="B106" s="4">
        <f>IFERROR(VLOOKUP($A106,집계!$B:$AD,MATCH(B$1,집계!$2:$2,0)-1,FALSE),"")</f>
        <v>48</v>
      </c>
      <c r="C106" s="4" t="str">
        <f>IFERROR(VLOOKUP($A106,집계!$B:$AD,MATCH(C$1,집계!$2:$2,0)-1,FALSE),"")</f>
        <v>DEGUCHI HANA</v>
      </c>
      <c r="D106" s="4">
        <f>IFERROR(VLOOKUP($A106,집계!$B:$AD,MATCH(D$1,집계!$2:$2,0)-1,FALSE),"")</f>
        <v>20401633</v>
      </c>
      <c r="E106" s="4" t="str">
        <f>IFERROR(VLOOKUP($A106,집계!$B:$AD,MATCH(E$1,집계!$2:$2,0)-1,FALSE),"")</f>
        <v>수면 시간을 관리하는 수면 뷰티 솔루션 네루미인 제품 사업화</v>
      </c>
      <c r="F106" s="31">
        <f>IFERROR(VLOOKUP($A106,대상!$B:$AD,MATCH(F$1,대상!$1:$1,0)-1,FALSE),"")</f>
        <v>0</v>
      </c>
      <c r="G106" s="3">
        <f>IFERROR(VLOOKUP($A106,집계!$B:$AD,MATCH(G$1,집계!$2:$2,0)-1,FALSE),"")</f>
        <v>5</v>
      </c>
      <c r="H106" s="3">
        <f>IFERROR(VLOOKUP($A106,집계!$B:$AD,MATCH(H$1,집계!$2:$2,0)-1,FALSE),"")</f>
        <v>77</v>
      </c>
      <c r="I106" s="3">
        <f>IFERROR(VLOOKUP($A106,집계!$B:$AD,MATCH(I$1,집계!$2:$2,0)-1,FALSE),"")</f>
        <v>84</v>
      </c>
      <c r="J106" s="3">
        <f>IFERROR(VLOOKUP($A106,집계!$B:$AD,MATCH(J$1,집계!$2:$2,0)-1,FALSE),"")</f>
        <v>87</v>
      </c>
      <c r="K106" s="3">
        <f>IFERROR(VLOOKUP($A106,집계!$B:$AD,MATCH(K$1,집계!$2:$2,0)-1,FALSE),"")</f>
        <v>76</v>
      </c>
      <c r="L106" s="3">
        <f>IFERROR(VLOOKUP($A106,집계!$B:$AD,MATCH(L$1,집계!$2:$2,0)-1,FALSE),"")</f>
        <v>67</v>
      </c>
      <c r="M106" s="16">
        <f>IFERROR(VLOOKUP($A106,집계!$B:$AD,MATCH(M$1,집계!$2:$2,0)-1,FALSE),"")</f>
        <v>79</v>
      </c>
      <c r="N106" s="16">
        <f>IFERROR(VLOOKUP($A106,집계!$B:$AD,MATCH(N$1,집계!$2:$2,0)-1,FALSE),"")</f>
        <v>0</v>
      </c>
      <c r="O106" s="16">
        <f>IFERROR(VLOOKUP($A106,집계!$B:$AD,MATCH(O$1,집계!$2:$2,0)-1,FALSE),"")</f>
        <v>79</v>
      </c>
      <c r="P106" s="31" t="str">
        <f>IFERROR(VLOOKUP($A106,집계!$B:$AD,MATCH(P$1,집계!$2:$2,0)-1,FALSE),"")</f>
        <v/>
      </c>
    </row>
    <row r="107" spans="1:16" ht="17.100000000000001" customHeight="1" x14ac:dyDescent="0.35">
      <c r="A107" s="2">
        <v>20404514</v>
      </c>
      <c r="B107" s="4">
        <f>IFERROR(VLOOKUP($A107,집계!$B:$AD,MATCH(B$1,집계!$2:$2,0)-1,FALSE),"")</f>
        <v>26</v>
      </c>
      <c r="C107" s="4" t="str">
        <f>IFERROR(VLOOKUP($A107,집계!$B:$AD,MATCH(C$1,집계!$2:$2,0)-1,FALSE),"")</f>
        <v>이현경</v>
      </c>
      <c r="D107" s="4">
        <f>IFERROR(VLOOKUP($A107,집계!$B:$AD,MATCH(D$1,집계!$2:$2,0)-1,FALSE),"")</f>
        <v>20404514</v>
      </c>
      <c r="E107" s="4" t="str">
        <f>IFERROR(VLOOKUP($A107,집계!$B:$AD,MATCH(E$1,집계!$2:$2,0)-1,FALSE),"")</f>
        <v>건조기/스타일러 겸용 로컬라이징 천연 섬유유연제 시트 개발</v>
      </c>
      <c r="F107" s="31">
        <f>IFERROR(VLOOKUP($A107,대상!$B:$AD,MATCH(F$1,대상!$1:$1,0)-1,FALSE),"")</f>
        <v>0</v>
      </c>
      <c r="G107" s="3">
        <f>IFERROR(VLOOKUP($A107,집계!$B:$AD,MATCH(G$1,집계!$2:$2,0)-1,FALSE),"")</f>
        <v>5</v>
      </c>
      <c r="H107" s="3">
        <f>IFERROR(VLOOKUP($A107,집계!$B:$AD,MATCH(H$1,집계!$2:$2,0)-1,FALSE),"")</f>
        <v>84</v>
      </c>
      <c r="I107" s="3">
        <f>IFERROR(VLOOKUP($A107,집계!$B:$AD,MATCH(I$1,집계!$2:$2,0)-1,FALSE),"")</f>
        <v>69</v>
      </c>
      <c r="J107" s="3">
        <f>IFERROR(VLOOKUP($A107,집계!$B:$AD,MATCH(J$1,집계!$2:$2,0)-1,FALSE),"")</f>
        <v>87</v>
      </c>
      <c r="K107" s="3">
        <f>IFERROR(VLOOKUP($A107,집계!$B:$AD,MATCH(K$1,집계!$2:$2,0)-1,FALSE),"")</f>
        <v>78</v>
      </c>
      <c r="L107" s="3">
        <f>IFERROR(VLOOKUP($A107,집계!$B:$AD,MATCH(L$1,집계!$2:$2,0)-1,FALSE),"")</f>
        <v>84</v>
      </c>
      <c r="M107" s="16">
        <f>IFERROR(VLOOKUP($A107,집계!$B:$AD,MATCH(M$1,집계!$2:$2,0)-1,FALSE),"")</f>
        <v>82</v>
      </c>
      <c r="N107" s="16">
        <f>IFERROR(VLOOKUP($A107,집계!$B:$AD,MATCH(N$1,집계!$2:$2,0)-1,FALSE),"")</f>
        <v>0</v>
      </c>
      <c r="O107" s="16">
        <f>IFERROR(VLOOKUP($A107,집계!$B:$AD,MATCH(O$1,집계!$2:$2,0)-1,FALSE),"")</f>
        <v>82</v>
      </c>
      <c r="P107" s="31" t="str">
        <f>IFERROR(VLOOKUP($A107,집계!$B:$AD,MATCH(P$1,집계!$2:$2,0)-1,FALSE),"")</f>
        <v/>
      </c>
    </row>
    <row r="108" spans="1:16" ht="17.100000000000001" customHeight="1" x14ac:dyDescent="0.35">
      <c r="A108" s="2">
        <v>20408236</v>
      </c>
      <c r="B108" s="4">
        <f>IFERROR(VLOOKUP($A108,집계!$B:$AD,MATCH(B$1,집계!$2:$2,0)-1,FALSE),"")</f>
        <v>111</v>
      </c>
      <c r="C108" s="4" t="str">
        <f>IFERROR(VLOOKUP($A108,집계!$B:$AD,MATCH(C$1,집계!$2:$2,0)-1,FALSE),"")</f>
        <v>김윤희</v>
      </c>
      <c r="D108" s="4">
        <f>IFERROR(VLOOKUP($A108,집계!$B:$AD,MATCH(D$1,집계!$2:$2,0)-1,FALSE),"")</f>
        <v>20408236</v>
      </c>
      <c r="E108" s="4" t="str">
        <f>IFERROR(VLOOKUP($A108,집계!$B:$AD,MATCH(E$1,집계!$2:$2,0)-1,FALSE),"")</f>
        <v>니치퍼퓸, 아로마 해외 수출 전문 화장품</v>
      </c>
      <c r="F108" s="31">
        <f>IFERROR(VLOOKUP($A108,대상!$B:$AD,MATCH(F$1,대상!$1:$1,0)-1,FALSE),"")</f>
        <v>0</v>
      </c>
      <c r="G108" s="3">
        <f>IFERROR(VLOOKUP($A108,집계!$B:$AD,MATCH(G$1,집계!$2:$2,0)-1,FALSE),"")</f>
        <v>5</v>
      </c>
      <c r="H108" s="3">
        <f>IFERROR(VLOOKUP($A108,집계!$B:$AD,MATCH(H$1,집계!$2:$2,0)-1,FALSE),"")</f>
        <v>79</v>
      </c>
      <c r="I108" s="3">
        <f>IFERROR(VLOOKUP($A108,집계!$B:$AD,MATCH(I$1,집계!$2:$2,0)-1,FALSE),"")</f>
        <v>67</v>
      </c>
      <c r="J108" s="3">
        <f>IFERROR(VLOOKUP($A108,집계!$B:$AD,MATCH(J$1,집계!$2:$2,0)-1,FALSE),"")</f>
        <v>67</v>
      </c>
      <c r="K108" s="3">
        <f>IFERROR(VLOOKUP($A108,집계!$B:$AD,MATCH(K$1,집계!$2:$2,0)-1,FALSE),"")</f>
        <v>81</v>
      </c>
      <c r="L108" s="3">
        <f>IFERROR(VLOOKUP($A108,집계!$B:$AD,MATCH(L$1,집계!$2:$2,0)-1,FALSE),"")</f>
        <v>66</v>
      </c>
      <c r="M108" s="16">
        <f>IFERROR(VLOOKUP($A108,집계!$B:$AD,MATCH(M$1,집계!$2:$2,0)-1,FALSE),"")</f>
        <v>71</v>
      </c>
      <c r="N108" s="16">
        <f>IFERROR(VLOOKUP($A108,집계!$B:$AD,MATCH(N$1,집계!$2:$2,0)-1,FALSE),"")</f>
        <v>0</v>
      </c>
      <c r="O108" s="16">
        <f>IFERROR(VLOOKUP($A108,집계!$B:$AD,MATCH(O$1,집계!$2:$2,0)-1,FALSE),"")</f>
        <v>71</v>
      </c>
      <c r="P108" s="31" t="str">
        <f>IFERROR(VLOOKUP($A108,집계!$B:$AD,MATCH(P$1,집계!$2:$2,0)-1,FALSE),"")</f>
        <v/>
      </c>
    </row>
    <row r="109" spans="1:16" ht="17.100000000000001" customHeight="1" x14ac:dyDescent="0.35">
      <c r="A109" s="2">
        <v>20410202</v>
      </c>
      <c r="B109" s="4">
        <f>IFERROR(VLOOKUP($A109,집계!$B:$AD,MATCH(B$1,집계!$2:$2,0)-1,FALSE),"")</f>
        <v>1</v>
      </c>
      <c r="C109" s="4" t="str">
        <f>IFERROR(VLOOKUP($A109,집계!$B:$AD,MATCH(C$1,집계!$2:$2,0)-1,FALSE),"")</f>
        <v>김준</v>
      </c>
      <c r="D109" s="4">
        <f>IFERROR(VLOOKUP($A109,집계!$B:$AD,MATCH(D$1,집계!$2:$2,0)-1,FALSE),"")</f>
        <v>20410202</v>
      </c>
      <c r="E109" s="4" t="str">
        <f>IFERROR(VLOOKUP($A109,집계!$B:$AD,MATCH(E$1,집계!$2:$2,0)-1,FALSE),"")</f>
        <v>AI 기반 고급 가죽 잡화 맞춤 제작 솔루션</v>
      </c>
      <c r="F109" s="31" t="str">
        <f>IFERROR(VLOOKUP($A109,대상!$B:$AD,MATCH(F$1,대상!$1:$1,0)-1,FALSE),"")</f>
        <v>면제</v>
      </c>
      <c r="G109" s="3">
        <f>IFERROR(VLOOKUP($A109,집계!$B:$AD,MATCH(G$1,집계!$2:$2,0)-1,FALSE),"")</f>
        <v>5</v>
      </c>
      <c r="H109" s="3" t="str">
        <f>IFERROR(VLOOKUP($A109,집계!$B:$AD,MATCH(H$1,집계!$2:$2,0)-1,FALSE),"")</f>
        <v/>
      </c>
      <c r="I109" s="3" t="str">
        <f>IFERROR(VLOOKUP($A109,집계!$B:$AD,MATCH(I$1,집계!$2:$2,0)-1,FALSE),"")</f>
        <v/>
      </c>
      <c r="J109" s="3" t="str">
        <f>IFERROR(VLOOKUP($A109,집계!$B:$AD,MATCH(J$1,집계!$2:$2,0)-1,FALSE),"")</f>
        <v/>
      </c>
      <c r="K109" s="3" t="str">
        <f>IFERROR(VLOOKUP($A109,집계!$B:$AD,MATCH(K$1,집계!$2:$2,0)-1,FALSE),"")</f>
        <v/>
      </c>
      <c r="L109" s="3" t="str">
        <f>IFERROR(VLOOKUP($A109,집계!$B:$AD,MATCH(L$1,집계!$2:$2,0)-1,FALSE),"")</f>
        <v/>
      </c>
      <c r="M109" s="16">
        <f>IFERROR(VLOOKUP($A109,집계!$B:$AD,MATCH(M$1,집계!$2:$2,0)-1,FALSE),"")</f>
        <v>0</v>
      </c>
      <c r="N109" s="16">
        <f>IFERROR(VLOOKUP($A109,집계!$B:$AD,MATCH(N$1,집계!$2:$2,0)-1,FALSE),"")</f>
        <v>0</v>
      </c>
      <c r="O109" s="16">
        <f>IFERROR(VLOOKUP($A109,집계!$B:$AD,MATCH(O$1,집계!$2:$2,0)-1,FALSE),"")</f>
        <v>100</v>
      </c>
      <c r="P109" s="31" t="str">
        <f>IFERROR(VLOOKUP($A109,집계!$B:$AD,MATCH(P$1,집계!$2:$2,0)-1,FALSE),"")</f>
        <v/>
      </c>
    </row>
    <row r="110" spans="1:16" ht="17.100000000000001" customHeight="1" x14ac:dyDescent="0.35">
      <c r="A110" s="2">
        <v>20412068</v>
      </c>
      <c r="B110" s="4">
        <f>IFERROR(VLOOKUP($A110,집계!$B:$AD,MATCH(B$1,집계!$2:$2,0)-1,FALSE),"")</f>
        <v>81</v>
      </c>
      <c r="C110" s="4" t="str">
        <f>IFERROR(VLOOKUP($A110,집계!$B:$AD,MATCH(C$1,집계!$2:$2,0)-1,FALSE),"")</f>
        <v>주민</v>
      </c>
      <c r="D110" s="4">
        <f>IFERROR(VLOOKUP($A110,집계!$B:$AD,MATCH(D$1,집계!$2:$2,0)-1,FALSE),"")</f>
        <v>20412068</v>
      </c>
      <c r="E110" s="4" t="str">
        <f>IFERROR(VLOOKUP($A110,집계!$B:$AD,MATCH(E$1,집계!$2:$2,0)-1,FALSE),"")</f>
        <v>계면활성제 10% 이하 초저계면 세정 기술이 적용된  탄산 마이크로버블 브랜드 ‘beurth’ 양산화 및 글로벌(아마존) 스케일업</v>
      </c>
      <c r="F110" s="31">
        <f>IFERROR(VLOOKUP($A110,대상!$B:$AD,MATCH(F$1,대상!$1:$1,0)-1,FALSE),"")</f>
        <v>0</v>
      </c>
      <c r="G110" s="3">
        <f>IFERROR(VLOOKUP($A110,집계!$B:$AD,MATCH(G$1,집계!$2:$2,0)-1,FALSE),"")</f>
        <v>5</v>
      </c>
      <c r="H110" s="3">
        <f>IFERROR(VLOOKUP($A110,집계!$B:$AD,MATCH(H$1,집계!$2:$2,0)-1,FALSE),"")</f>
        <v>76</v>
      </c>
      <c r="I110" s="3">
        <f>IFERROR(VLOOKUP($A110,집계!$B:$AD,MATCH(I$1,집계!$2:$2,0)-1,FALSE),"")</f>
        <v>84</v>
      </c>
      <c r="J110" s="3">
        <f>IFERROR(VLOOKUP($A110,집계!$B:$AD,MATCH(J$1,집계!$2:$2,0)-1,FALSE),"")</f>
        <v>74</v>
      </c>
      <c r="K110" s="3">
        <f>IFERROR(VLOOKUP($A110,집계!$B:$AD,MATCH(K$1,집계!$2:$2,0)-1,FALSE),"")</f>
        <v>77</v>
      </c>
      <c r="L110" s="3">
        <f>IFERROR(VLOOKUP($A110,집계!$B:$AD,MATCH(L$1,집계!$2:$2,0)-1,FALSE),"")</f>
        <v>75</v>
      </c>
      <c r="M110" s="16">
        <f>IFERROR(VLOOKUP($A110,집계!$B:$AD,MATCH(M$1,집계!$2:$2,0)-1,FALSE),"")</f>
        <v>76</v>
      </c>
      <c r="N110" s="16">
        <f>IFERROR(VLOOKUP($A110,집계!$B:$AD,MATCH(N$1,집계!$2:$2,0)-1,FALSE),"")</f>
        <v>0</v>
      </c>
      <c r="O110" s="16">
        <f>IFERROR(VLOOKUP($A110,집계!$B:$AD,MATCH(O$1,집계!$2:$2,0)-1,FALSE),"")</f>
        <v>76</v>
      </c>
      <c r="P110" s="31" t="str">
        <f>IFERROR(VLOOKUP($A110,집계!$B:$AD,MATCH(P$1,집계!$2:$2,0)-1,FALSE),"")</f>
        <v/>
      </c>
    </row>
    <row r="111" spans="1:16" ht="17.100000000000001" customHeight="1" x14ac:dyDescent="0.35">
      <c r="A111" s="2">
        <v>20413097</v>
      </c>
      <c r="B111" s="4">
        <f>IFERROR(VLOOKUP($A111,집계!$B:$AD,MATCH(B$1,집계!$2:$2,0)-1,FALSE),"")</f>
        <v>21</v>
      </c>
      <c r="C111" s="4" t="str">
        <f>IFERROR(VLOOKUP($A111,집계!$B:$AD,MATCH(C$1,집계!$2:$2,0)-1,FALSE),"")</f>
        <v>박유진</v>
      </c>
      <c r="D111" s="4">
        <f>IFERROR(VLOOKUP($A111,집계!$B:$AD,MATCH(D$1,집계!$2:$2,0)-1,FALSE),"")</f>
        <v>20413097</v>
      </c>
      <c r="E111" s="4" t="str">
        <f>IFERROR(VLOOKUP($A111,집계!$B:$AD,MATCH(E$1,집계!$2:$2,0)-1,FALSE),"")</f>
        <v>AI 기반 제조 공정 혁신 기술이 적용된 글로벌 타겟 프리미엄 K-디저트 개발 및 사업화</v>
      </c>
      <c r="F111" s="31">
        <f>IFERROR(VLOOKUP($A111,대상!$B:$AD,MATCH(F$1,대상!$1:$1,0)-1,FALSE),"")</f>
        <v>0</v>
      </c>
      <c r="G111" s="3">
        <f>IFERROR(VLOOKUP($A111,집계!$B:$AD,MATCH(G$1,집계!$2:$2,0)-1,FALSE),"")</f>
        <v>5</v>
      </c>
      <c r="H111" s="3">
        <f>IFERROR(VLOOKUP($A111,집계!$B:$AD,MATCH(H$1,집계!$2:$2,0)-1,FALSE),"")</f>
        <v>86</v>
      </c>
      <c r="I111" s="3">
        <f>IFERROR(VLOOKUP($A111,집계!$B:$AD,MATCH(I$1,집계!$2:$2,0)-1,FALSE),"")</f>
        <v>73</v>
      </c>
      <c r="J111" s="3">
        <f>IFERROR(VLOOKUP($A111,집계!$B:$AD,MATCH(J$1,집계!$2:$2,0)-1,FALSE),"")</f>
        <v>81</v>
      </c>
      <c r="K111" s="3">
        <f>IFERROR(VLOOKUP($A111,집계!$B:$AD,MATCH(K$1,집계!$2:$2,0)-1,FALSE),"")</f>
        <v>82</v>
      </c>
      <c r="L111" s="3">
        <f>IFERROR(VLOOKUP($A111,집계!$B:$AD,MATCH(L$1,집계!$2:$2,0)-1,FALSE),"")</f>
        <v>86</v>
      </c>
      <c r="M111" s="16">
        <f>IFERROR(VLOOKUP($A111,집계!$B:$AD,MATCH(M$1,집계!$2:$2,0)-1,FALSE),"")</f>
        <v>83</v>
      </c>
      <c r="N111" s="16">
        <f>IFERROR(VLOOKUP($A111,집계!$B:$AD,MATCH(N$1,집계!$2:$2,0)-1,FALSE),"")</f>
        <v>0</v>
      </c>
      <c r="O111" s="16">
        <f>IFERROR(VLOOKUP($A111,집계!$B:$AD,MATCH(O$1,집계!$2:$2,0)-1,FALSE),"")</f>
        <v>83</v>
      </c>
      <c r="P111" s="31" t="str">
        <f>IFERROR(VLOOKUP($A111,집계!$B:$AD,MATCH(P$1,집계!$2:$2,0)-1,FALSE),"")</f>
        <v/>
      </c>
    </row>
    <row r="112" spans="1:16" ht="17.100000000000001" customHeight="1" x14ac:dyDescent="0.35">
      <c r="A112" s="2">
        <v>20414167</v>
      </c>
      <c r="B112" s="4">
        <f>IFERROR(VLOOKUP($A112,집계!$B:$AD,MATCH(B$1,집계!$2:$2,0)-1,FALSE),"")</f>
        <v>1</v>
      </c>
      <c r="C112" s="4" t="str">
        <f>IFERROR(VLOOKUP($A112,집계!$B:$AD,MATCH(C$1,집계!$2:$2,0)-1,FALSE),"")</f>
        <v>손석봉</v>
      </c>
      <c r="D112" s="4">
        <f>IFERROR(VLOOKUP($A112,집계!$B:$AD,MATCH(D$1,집계!$2:$2,0)-1,FALSE),"")</f>
        <v>20414167</v>
      </c>
      <c r="E112" s="4" t="str">
        <f>IFERROR(VLOOKUP($A112,집계!$B:$AD,MATCH(E$1,집계!$2:$2,0)-1,FALSE),"")</f>
        <v>다층 복합 구조 레이저 방호 원단을 활용한 경량형 레이저 보호복</v>
      </c>
      <c r="F112" s="31" t="str">
        <f>IFERROR(VLOOKUP($A112,대상!$B:$AD,MATCH(F$1,대상!$1:$1,0)-1,FALSE),"")</f>
        <v>면제</v>
      </c>
      <c r="G112" s="3">
        <f>IFERROR(VLOOKUP($A112,집계!$B:$AD,MATCH(G$1,집계!$2:$2,0)-1,FALSE),"")</f>
        <v>5</v>
      </c>
      <c r="H112" s="3" t="str">
        <f>IFERROR(VLOOKUP($A112,집계!$B:$AD,MATCH(H$1,집계!$2:$2,0)-1,FALSE),"")</f>
        <v/>
      </c>
      <c r="I112" s="3" t="str">
        <f>IFERROR(VLOOKUP($A112,집계!$B:$AD,MATCH(I$1,집계!$2:$2,0)-1,FALSE),"")</f>
        <v/>
      </c>
      <c r="J112" s="3" t="str">
        <f>IFERROR(VLOOKUP($A112,집계!$B:$AD,MATCH(J$1,집계!$2:$2,0)-1,FALSE),"")</f>
        <v/>
      </c>
      <c r="K112" s="3" t="str">
        <f>IFERROR(VLOOKUP($A112,집계!$B:$AD,MATCH(K$1,집계!$2:$2,0)-1,FALSE),"")</f>
        <v/>
      </c>
      <c r="L112" s="3" t="str">
        <f>IFERROR(VLOOKUP($A112,집계!$B:$AD,MATCH(L$1,집계!$2:$2,0)-1,FALSE),"")</f>
        <v/>
      </c>
      <c r="M112" s="16">
        <f>IFERROR(VLOOKUP($A112,집계!$B:$AD,MATCH(M$1,집계!$2:$2,0)-1,FALSE),"")</f>
        <v>0</v>
      </c>
      <c r="N112" s="16">
        <f>IFERROR(VLOOKUP($A112,집계!$B:$AD,MATCH(N$1,집계!$2:$2,0)-1,FALSE),"")</f>
        <v>0</v>
      </c>
      <c r="O112" s="16">
        <f>IFERROR(VLOOKUP($A112,집계!$B:$AD,MATCH(O$1,집계!$2:$2,0)-1,FALSE),"")</f>
        <v>100</v>
      </c>
      <c r="P112" s="31" t="str">
        <f>IFERROR(VLOOKUP($A112,집계!$B:$AD,MATCH(P$1,집계!$2:$2,0)-1,FALSE),"")</f>
        <v/>
      </c>
    </row>
    <row r="113" spans="1:32" ht="17.100000000000001" customHeight="1" x14ac:dyDescent="0.35">
      <c r="A113" s="2">
        <v>20417179</v>
      </c>
      <c r="B113" s="4">
        <f>IFERROR(VLOOKUP($A113,집계!$B:$AD,MATCH(B$1,집계!$2:$2,0)-1,FALSE),"")</f>
        <v>44</v>
      </c>
      <c r="C113" s="4" t="str">
        <f>IFERROR(VLOOKUP($A113,집계!$B:$AD,MATCH(C$1,집계!$2:$2,0)-1,FALSE),"")</f>
        <v>이동호</v>
      </c>
      <c r="D113" s="4">
        <f>IFERROR(VLOOKUP($A113,집계!$B:$AD,MATCH(D$1,집계!$2:$2,0)-1,FALSE),"")</f>
        <v>20417179</v>
      </c>
      <c r="E113" s="4" t="str">
        <f>IFERROR(VLOOKUP($A113,집계!$B:$AD,MATCH(E$1,집계!$2:$2,0)-1,FALSE),"")</f>
        <v>VOCs 저감 및 재활용 분리가 가능한 무접착 열라미네이팅 기반 친환경 합지소재 기술개발</v>
      </c>
      <c r="F113" s="31">
        <f>IFERROR(VLOOKUP($A113,대상!$B:$AD,MATCH(F$1,대상!$1:$1,0)-1,FALSE),"")</f>
        <v>0</v>
      </c>
      <c r="G113" s="3">
        <f>IFERROR(VLOOKUP($A113,집계!$B:$AD,MATCH(G$1,집계!$2:$2,0)-1,FALSE),"")</f>
        <v>5</v>
      </c>
      <c r="H113" s="3">
        <f>IFERROR(VLOOKUP($A113,집계!$B:$AD,MATCH(H$1,집계!$2:$2,0)-1,FALSE),"")</f>
        <v>74</v>
      </c>
      <c r="I113" s="3">
        <f>IFERROR(VLOOKUP($A113,집계!$B:$AD,MATCH(I$1,집계!$2:$2,0)-1,FALSE),"")</f>
        <v>82</v>
      </c>
      <c r="J113" s="3">
        <f>IFERROR(VLOOKUP($A113,집계!$B:$AD,MATCH(J$1,집계!$2:$2,0)-1,FALSE),"")</f>
        <v>87</v>
      </c>
      <c r="K113" s="3">
        <f>IFERROR(VLOOKUP($A113,집계!$B:$AD,MATCH(K$1,집계!$2:$2,0)-1,FALSE),"")</f>
        <v>79</v>
      </c>
      <c r="L113" s="3">
        <f>IFERROR(VLOOKUP($A113,집계!$B:$AD,MATCH(L$1,집계!$2:$2,0)-1,FALSE),"")</f>
        <v>78</v>
      </c>
      <c r="M113" s="16">
        <f>IFERROR(VLOOKUP($A113,집계!$B:$AD,MATCH(M$1,집계!$2:$2,0)-1,FALSE),"")</f>
        <v>79.666666666666671</v>
      </c>
      <c r="N113" s="16">
        <f>IFERROR(VLOOKUP($A113,집계!$B:$AD,MATCH(N$1,집계!$2:$2,0)-1,FALSE),"")</f>
        <v>0</v>
      </c>
      <c r="O113" s="16">
        <f>IFERROR(VLOOKUP($A113,집계!$B:$AD,MATCH(O$1,집계!$2:$2,0)-1,FALSE),"")</f>
        <v>79.666666666666671</v>
      </c>
      <c r="P113" s="31" t="str">
        <f>IFERROR(VLOOKUP($A113,집계!$B:$AD,MATCH(P$1,집계!$2:$2,0)-1,FALSE),"")</f>
        <v/>
      </c>
    </row>
    <row r="114" spans="1:32" ht="17.100000000000001" customHeight="1" x14ac:dyDescent="0.35">
      <c r="A114" s="2">
        <v>20425558</v>
      </c>
      <c r="B114" s="4">
        <f>IFERROR(VLOOKUP($A114,집계!$B:$AD,MATCH(B$1,집계!$2:$2,0)-1,FALSE),"")</f>
        <v>57</v>
      </c>
      <c r="C114" s="4" t="str">
        <f>IFERROR(VLOOKUP($A114,집계!$B:$AD,MATCH(C$1,집계!$2:$2,0)-1,FALSE),"")</f>
        <v>서준원</v>
      </c>
      <c r="D114" s="4">
        <f>IFERROR(VLOOKUP($A114,집계!$B:$AD,MATCH(D$1,집계!$2:$2,0)-1,FALSE),"")</f>
        <v>20425558</v>
      </c>
      <c r="E114" s="4" t="str">
        <f>IFERROR(VLOOKUP($A114,집계!$B:$AD,MATCH(E$1,집계!$2:$2,0)-1,FALSE),"")</f>
        <v>국내산 집성재의 이익극대화를 위한 상온 경화형 집성재 제조 공정 개발</v>
      </c>
      <c r="F114" s="31">
        <f>IFERROR(VLOOKUP($A114,대상!$B:$AD,MATCH(F$1,대상!$1:$1,0)-1,FALSE),"")</f>
        <v>0</v>
      </c>
      <c r="G114" s="3">
        <f>IFERROR(VLOOKUP($A114,집계!$B:$AD,MATCH(G$1,집계!$2:$2,0)-1,FALSE),"")</f>
        <v>5</v>
      </c>
      <c r="H114" s="3">
        <f>IFERROR(VLOOKUP($A114,집계!$B:$AD,MATCH(H$1,집계!$2:$2,0)-1,FALSE),"")</f>
        <v>72</v>
      </c>
      <c r="I114" s="3">
        <f>IFERROR(VLOOKUP($A114,집계!$B:$AD,MATCH(I$1,집계!$2:$2,0)-1,FALSE),"")</f>
        <v>84</v>
      </c>
      <c r="J114" s="3">
        <f>IFERROR(VLOOKUP($A114,집계!$B:$AD,MATCH(J$1,집계!$2:$2,0)-1,FALSE),"")</f>
        <v>79</v>
      </c>
      <c r="K114" s="3">
        <f>IFERROR(VLOOKUP($A114,집계!$B:$AD,MATCH(K$1,집계!$2:$2,0)-1,FALSE),"")</f>
        <v>91</v>
      </c>
      <c r="L114" s="3">
        <f>IFERROR(VLOOKUP($A114,집계!$B:$AD,MATCH(L$1,집계!$2:$2,0)-1,FALSE),"")</f>
        <v>66</v>
      </c>
      <c r="M114" s="16">
        <f>IFERROR(VLOOKUP($A114,집계!$B:$AD,MATCH(M$1,집계!$2:$2,0)-1,FALSE),"")</f>
        <v>78.333333333333329</v>
      </c>
      <c r="N114" s="16">
        <f>IFERROR(VLOOKUP($A114,집계!$B:$AD,MATCH(N$1,집계!$2:$2,0)-1,FALSE),"")</f>
        <v>0</v>
      </c>
      <c r="O114" s="16">
        <f>IFERROR(VLOOKUP($A114,집계!$B:$AD,MATCH(O$1,집계!$2:$2,0)-1,FALSE),"")</f>
        <v>78.333333333333329</v>
      </c>
      <c r="P114" s="31" t="str">
        <f>IFERROR(VLOOKUP($A114,집계!$B:$AD,MATCH(P$1,집계!$2:$2,0)-1,FALSE),"")</f>
        <v/>
      </c>
    </row>
    <row r="115" spans="1:32" ht="17.100000000000001" customHeight="1" x14ac:dyDescent="0.35">
      <c r="A115" s="2">
        <v>20426450</v>
      </c>
      <c r="B115" s="4">
        <f>IFERROR(VLOOKUP($A115,집계!$B:$AD,MATCH(B$1,집계!$2:$2,0)-1,FALSE),"")</f>
        <v>98</v>
      </c>
      <c r="C115" s="4" t="str">
        <f>IFERROR(VLOOKUP($A115,집계!$B:$AD,MATCH(C$1,집계!$2:$2,0)-1,FALSE),"")</f>
        <v>최정훈</v>
      </c>
      <c r="D115" s="4">
        <f>IFERROR(VLOOKUP($A115,집계!$B:$AD,MATCH(D$1,집계!$2:$2,0)-1,FALSE),"")</f>
        <v>20426450</v>
      </c>
      <c r="E115" s="4" t="str">
        <f>IFERROR(VLOOKUP($A115,집계!$B:$AD,MATCH(E$1,집계!$2:$2,0)-1,FALSE),"")</f>
        <v>아우라 오브 조선 (Aura of Joseon)</v>
      </c>
      <c r="F115" s="31">
        <f>IFERROR(VLOOKUP($A115,대상!$B:$AD,MATCH(F$1,대상!$1:$1,0)-1,FALSE),"")</f>
        <v>0</v>
      </c>
      <c r="G115" s="3">
        <f>IFERROR(VLOOKUP($A115,집계!$B:$AD,MATCH(G$1,집계!$2:$2,0)-1,FALSE),"")</f>
        <v>5</v>
      </c>
      <c r="H115" s="3">
        <f>IFERROR(VLOOKUP($A115,집계!$B:$AD,MATCH(H$1,집계!$2:$2,0)-1,FALSE),"")</f>
        <v>89</v>
      </c>
      <c r="I115" s="3">
        <f>IFERROR(VLOOKUP($A115,집계!$B:$AD,MATCH(I$1,집계!$2:$2,0)-1,FALSE),"")</f>
        <v>72</v>
      </c>
      <c r="J115" s="3">
        <f>IFERROR(VLOOKUP($A115,집계!$B:$AD,MATCH(J$1,집계!$2:$2,0)-1,FALSE),"")</f>
        <v>69</v>
      </c>
      <c r="K115" s="3">
        <f>IFERROR(VLOOKUP($A115,집계!$B:$AD,MATCH(K$1,집계!$2:$2,0)-1,FALSE),"")</f>
        <v>79</v>
      </c>
      <c r="L115" s="3">
        <f>IFERROR(VLOOKUP($A115,집계!$B:$AD,MATCH(L$1,집계!$2:$2,0)-1,FALSE),"")</f>
        <v>70</v>
      </c>
      <c r="M115" s="16">
        <f>IFERROR(VLOOKUP($A115,집계!$B:$AD,MATCH(M$1,집계!$2:$2,0)-1,FALSE),"")</f>
        <v>73.666666666666671</v>
      </c>
      <c r="N115" s="16">
        <f>IFERROR(VLOOKUP($A115,집계!$B:$AD,MATCH(N$1,집계!$2:$2,0)-1,FALSE),"")</f>
        <v>0</v>
      </c>
      <c r="O115" s="16">
        <f>IFERROR(VLOOKUP($A115,집계!$B:$AD,MATCH(O$1,집계!$2:$2,0)-1,FALSE),"")</f>
        <v>73.666666666666671</v>
      </c>
      <c r="P115" s="31" t="str">
        <f>IFERROR(VLOOKUP($A115,집계!$B:$AD,MATCH(P$1,집계!$2:$2,0)-1,FALSE),"")</f>
        <v/>
      </c>
    </row>
    <row r="116" spans="1:32" ht="17.100000000000001" customHeight="1" x14ac:dyDescent="0.35">
      <c r="A116" s="2">
        <v>20426581</v>
      </c>
      <c r="B116" s="4">
        <f>IFERROR(VLOOKUP($A116,집계!$B:$AD,MATCH(B$1,집계!$2:$2,0)-1,FALSE),"")</f>
        <v>52</v>
      </c>
      <c r="C116" s="4" t="str">
        <f>IFERROR(VLOOKUP($A116,집계!$B:$AD,MATCH(C$1,집계!$2:$2,0)-1,FALSE),"")</f>
        <v>김지현</v>
      </c>
      <c r="D116" s="4">
        <f>IFERROR(VLOOKUP($A116,집계!$B:$AD,MATCH(D$1,집계!$2:$2,0)-1,FALSE),"")</f>
        <v>20426581</v>
      </c>
      <c r="E116" s="4" t="str">
        <f>IFERROR(VLOOKUP($A116,집계!$B:$AD,MATCH(E$1,집계!$2:$2,0)-1,FALSE),"")</f>
        <v>황벽나무 및 쇠비름 유효성분의 효능 최대화 기술이 적용된 가려움 완화  비도포 분사형 제품</v>
      </c>
      <c r="F116" s="31">
        <f>IFERROR(VLOOKUP($A116,대상!$B:$AD,MATCH(F$1,대상!$1:$1,0)-1,FALSE),"")</f>
        <v>0</v>
      </c>
      <c r="G116" s="3">
        <f>IFERROR(VLOOKUP($A116,집계!$B:$AD,MATCH(G$1,집계!$2:$2,0)-1,FALSE),"")</f>
        <v>5</v>
      </c>
      <c r="H116" s="3">
        <f>IFERROR(VLOOKUP($A116,집계!$B:$AD,MATCH(H$1,집계!$2:$2,0)-1,FALSE),"")</f>
        <v>81</v>
      </c>
      <c r="I116" s="3">
        <f>IFERROR(VLOOKUP($A116,집계!$B:$AD,MATCH(I$1,집계!$2:$2,0)-1,FALSE),"")</f>
        <v>79</v>
      </c>
      <c r="J116" s="3">
        <f>IFERROR(VLOOKUP($A116,집계!$B:$AD,MATCH(J$1,집계!$2:$2,0)-1,FALSE),"")</f>
        <v>74</v>
      </c>
      <c r="K116" s="3">
        <f>IFERROR(VLOOKUP($A116,집계!$B:$AD,MATCH(K$1,집계!$2:$2,0)-1,FALSE),"")</f>
        <v>84</v>
      </c>
      <c r="L116" s="3">
        <f>IFERROR(VLOOKUP($A116,집계!$B:$AD,MATCH(L$1,집계!$2:$2,0)-1,FALSE),"")</f>
        <v>76</v>
      </c>
      <c r="M116" s="16">
        <f>IFERROR(VLOOKUP($A116,집계!$B:$AD,MATCH(M$1,집계!$2:$2,0)-1,FALSE),"")</f>
        <v>78.666666666666671</v>
      </c>
      <c r="N116" s="16">
        <f>IFERROR(VLOOKUP($A116,집계!$B:$AD,MATCH(N$1,집계!$2:$2,0)-1,FALSE),"")</f>
        <v>0</v>
      </c>
      <c r="O116" s="16">
        <f>IFERROR(VLOOKUP($A116,집계!$B:$AD,MATCH(O$1,집계!$2:$2,0)-1,FALSE),"")</f>
        <v>78.666666666666671</v>
      </c>
      <c r="P116" s="31" t="str">
        <f>IFERROR(VLOOKUP($A116,집계!$B:$AD,MATCH(P$1,집계!$2:$2,0)-1,FALSE),"")</f>
        <v/>
      </c>
    </row>
    <row r="117" spans="1:32" ht="17.100000000000001" customHeight="1" x14ac:dyDescent="0.35">
      <c r="A117" s="2">
        <v>20427672</v>
      </c>
      <c r="B117" s="4">
        <f>IFERROR(VLOOKUP($A117,집계!$B:$AD,MATCH(B$1,집계!$2:$2,0)-1,FALSE),"")</f>
        <v>89</v>
      </c>
      <c r="C117" s="4" t="str">
        <f>IFERROR(VLOOKUP($A117,집계!$B:$AD,MATCH(C$1,집계!$2:$2,0)-1,FALSE),"")</f>
        <v>박은미</v>
      </c>
      <c r="D117" s="4">
        <f>IFERROR(VLOOKUP($A117,집계!$B:$AD,MATCH(D$1,집계!$2:$2,0)-1,FALSE),"")</f>
        <v>20427672</v>
      </c>
      <c r="E117" s="4" t="str">
        <f>IFERROR(VLOOKUP($A117,집계!$B:$AD,MATCH(E$1,집계!$2:$2,0)-1,FALSE),"")</f>
        <v>연화소재 기반 K-유자껍질 업사이클링 원료와 PLA 친환경 패키징을 활용하여 국내외로 지속가능 웰니스 경험을 선사하는 바디케어(바디로션) 제품 개발</v>
      </c>
      <c r="F117" s="31">
        <f>IFERROR(VLOOKUP($A117,대상!$B:$AD,MATCH(F$1,대상!$1:$1,0)-1,FALSE),"")</f>
        <v>0</v>
      </c>
      <c r="G117" s="3">
        <f>IFERROR(VLOOKUP($A117,집계!$B:$AD,MATCH(G$1,집계!$2:$2,0)-1,FALSE),"")</f>
        <v>5</v>
      </c>
      <c r="H117" s="3">
        <f>IFERROR(VLOOKUP($A117,집계!$B:$AD,MATCH(H$1,집계!$2:$2,0)-1,FALSE),"")</f>
        <v>77</v>
      </c>
      <c r="I117" s="3">
        <f>IFERROR(VLOOKUP($A117,집계!$B:$AD,MATCH(I$1,집계!$2:$2,0)-1,FALSE),"")</f>
        <v>69</v>
      </c>
      <c r="J117" s="3">
        <f>IFERROR(VLOOKUP($A117,집계!$B:$AD,MATCH(J$1,집계!$2:$2,0)-1,FALSE),"")</f>
        <v>75</v>
      </c>
      <c r="K117" s="3">
        <f>IFERROR(VLOOKUP($A117,집계!$B:$AD,MATCH(K$1,집계!$2:$2,0)-1,FALSE),"")</f>
        <v>82</v>
      </c>
      <c r="L117" s="3">
        <f>IFERROR(VLOOKUP($A117,집계!$B:$AD,MATCH(L$1,집계!$2:$2,0)-1,FALSE),"")</f>
        <v>73</v>
      </c>
      <c r="M117" s="16">
        <f>IFERROR(VLOOKUP($A117,집계!$B:$AD,MATCH(M$1,집계!$2:$2,0)-1,FALSE),"")</f>
        <v>75</v>
      </c>
      <c r="N117" s="16">
        <f>IFERROR(VLOOKUP($A117,집계!$B:$AD,MATCH(N$1,집계!$2:$2,0)-1,FALSE),"")</f>
        <v>0</v>
      </c>
      <c r="O117" s="16">
        <f>IFERROR(VLOOKUP($A117,집계!$B:$AD,MATCH(O$1,집계!$2:$2,0)-1,FALSE),"")</f>
        <v>75</v>
      </c>
      <c r="P117" s="31" t="str">
        <f>IFERROR(VLOOKUP($A117,집계!$B:$AD,MATCH(P$1,집계!$2:$2,0)-1,FALSE),"")</f>
        <v/>
      </c>
    </row>
    <row r="118" spans="1:32" ht="17.100000000000001" customHeight="1" x14ac:dyDescent="0.35">
      <c r="A118" s="2">
        <v>20429160</v>
      </c>
      <c r="B118" s="4">
        <f>IFERROR(VLOOKUP($A118,집계!$B:$AD,MATCH(B$1,집계!$2:$2,0)-1,FALSE),"")</f>
        <v>73</v>
      </c>
      <c r="C118" s="4" t="str">
        <f>IFERROR(VLOOKUP($A118,집계!$B:$AD,MATCH(C$1,집계!$2:$2,0)-1,FALSE),"")</f>
        <v>심은희</v>
      </c>
      <c r="D118" s="4">
        <f>IFERROR(VLOOKUP($A118,집계!$B:$AD,MATCH(D$1,집계!$2:$2,0)-1,FALSE),"")</f>
        <v>20429160</v>
      </c>
      <c r="E118" s="4" t="str">
        <f>IFERROR(VLOOKUP($A118,집계!$B:$AD,MATCH(E$1,집계!$2:$2,0)-1,FALSE),"")</f>
        <v>국산 과일 소재화 기술 기반 데이터·AI 연계 K-Fruit 동결건조 식품소재 개발 및 글로벌 사업화</v>
      </c>
      <c r="F118" s="31">
        <f>IFERROR(VLOOKUP($A118,대상!$B:$AD,MATCH(F$1,대상!$1:$1,0)-1,FALSE),"")</f>
        <v>0</v>
      </c>
      <c r="G118" s="3">
        <f>IFERROR(VLOOKUP($A118,집계!$B:$AD,MATCH(G$1,집계!$2:$2,0)-1,FALSE),"")</f>
        <v>5</v>
      </c>
      <c r="H118" s="3">
        <f>IFERROR(VLOOKUP($A118,집계!$B:$AD,MATCH(H$1,집계!$2:$2,0)-1,FALSE),"")</f>
        <v>84</v>
      </c>
      <c r="I118" s="3">
        <f>IFERROR(VLOOKUP($A118,집계!$B:$AD,MATCH(I$1,집계!$2:$2,0)-1,FALSE),"")</f>
        <v>65</v>
      </c>
      <c r="J118" s="3">
        <f>IFERROR(VLOOKUP($A118,집계!$B:$AD,MATCH(J$1,집계!$2:$2,0)-1,FALSE),"")</f>
        <v>77</v>
      </c>
      <c r="K118" s="3">
        <f>IFERROR(VLOOKUP($A118,집계!$B:$AD,MATCH(K$1,집계!$2:$2,0)-1,FALSE),"")</f>
        <v>84</v>
      </c>
      <c r="L118" s="3">
        <f>IFERROR(VLOOKUP($A118,집계!$B:$AD,MATCH(L$1,집계!$2:$2,0)-1,FALSE),"")</f>
        <v>70</v>
      </c>
      <c r="M118" s="16">
        <f>IFERROR(VLOOKUP($A118,집계!$B:$AD,MATCH(M$1,집계!$2:$2,0)-1,FALSE),"")</f>
        <v>77</v>
      </c>
      <c r="N118" s="16">
        <f>IFERROR(VLOOKUP($A118,집계!$B:$AD,MATCH(N$1,집계!$2:$2,0)-1,FALSE),"")</f>
        <v>0</v>
      </c>
      <c r="O118" s="16">
        <f>IFERROR(VLOOKUP($A118,집계!$B:$AD,MATCH(O$1,집계!$2:$2,0)-1,FALSE),"")</f>
        <v>77</v>
      </c>
      <c r="P118" s="31" t="str">
        <f>IFERROR(VLOOKUP($A118,집계!$B:$AD,MATCH(P$1,집계!$2:$2,0)-1,FALSE),"")</f>
        <v/>
      </c>
    </row>
    <row r="119" spans="1:32" ht="17.100000000000001" customHeight="1" x14ac:dyDescent="0.35">
      <c r="A119" s="2">
        <v>20429165</v>
      </c>
      <c r="B119" s="4">
        <f>IFERROR(VLOOKUP($A119,집계!$B:$AD,MATCH(B$1,집계!$2:$2,0)-1,FALSE),"")</f>
        <v>24</v>
      </c>
      <c r="C119" s="4" t="str">
        <f>IFERROR(VLOOKUP($A119,집계!$B:$AD,MATCH(C$1,집계!$2:$2,0)-1,FALSE),"")</f>
        <v>고현일</v>
      </c>
      <c r="D119" s="4">
        <f>IFERROR(VLOOKUP($A119,집계!$B:$AD,MATCH(D$1,집계!$2:$2,0)-1,FALSE),"")</f>
        <v>20429165</v>
      </c>
      <c r="E119" s="4" t="str">
        <f>IFERROR(VLOOKUP($A119,집계!$B:$AD,MATCH(E$1,집계!$2:$2,0)-1,FALSE),"")</f>
        <v>AI x IoT 기반 Off-Grid 재난·안전 대응 스마트 모바일 쉘터</v>
      </c>
      <c r="F119" s="31">
        <f>IFERROR(VLOOKUP($A119,대상!$B:$AD,MATCH(F$1,대상!$1:$1,0)-1,FALSE),"")</f>
        <v>0</v>
      </c>
      <c r="G119" s="3">
        <f>IFERROR(VLOOKUP($A119,집계!$B:$AD,MATCH(G$1,집계!$2:$2,0)-1,FALSE),"")</f>
        <v>5</v>
      </c>
      <c r="H119" s="3">
        <f>IFERROR(VLOOKUP($A119,집계!$B:$AD,MATCH(H$1,집계!$2:$2,0)-1,FALSE),"")</f>
        <v>79</v>
      </c>
      <c r="I119" s="3">
        <f>IFERROR(VLOOKUP($A119,집계!$B:$AD,MATCH(I$1,집계!$2:$2,0)-1,FALSE),"")</f>
        <v>89</v>
      </c>
      <c r="J119" s="3">
        <f>IFERROR(VLOOKUP($A119,집계!$B:$AD,MATCH(J$1,집계!$2:$2,0)-1,FALSE),"")</f>
        <v>84</v>
      </c>
      <c r="K119" s="3">
        <f>IFERROR(VLOOKUP($A119,집계!$B:$AD,MATCH(K$1,집계!$2:$2,0)-1,FALSE),"")</f>
        <v>85</v>
      </c>
      <c r="L119" s="3">
        <f>IFERROR(VLOOKUP($A119,집계!$B:$AD,MATCH(L$1,집계!$2:$2,0)-1,FALSE),"")</f>
        <v>65</v>
      </c>
      <c r="M119" s="16">
        <f>IFERROR(VLOOKUP($A119,집계!$B:$AD,MATCH(M$1,집계!$2:$2,0)-1,FALSE),"")</f>
        <v>82.666666666666671</v>
      </c>
      <c r="N119" s="16">
        <f>IFERROR(VLOOKUP($A119,집계!$B:$AD,MATCH(N$1,집계!$2:$2,0)-1,FALSE),"")</f>
        <v>0</v>
      </c>
      <c r="O119" s="16">
        <f>IFERROR(VLOOKUP($A119,집계!$B:$AD,MATCH(O$1,집계!$2:$2,0)-1,FALSE),"")</f>
        <v>82.666666666666671</v>
      </c>
      <c r="P119" s="31" t="str">
        <f>IFERROR(VLOOKUP($A119,집계!$B:$AD,MATCH(P$1,집계!$2:$2,0)-1,FALSE),"")</f>
        <v/>
      </c>
    </row>
    <row r="120" spans="1:32" ht="17.100000000000001" customHeight="1" x14ac:dyDescent="0.35">
      <c r="A120" s="2">
        <v>20429774</v>
      </c>
      <c r="B120" s="4">
        <f>IFERROR(VLOOKUP($A120,집계!$B:$AD,MATCH(B$1,집계!$2:$2,0)-1,FALSE),"")</f>
        <v>107</v>
      </c>
      <c r="C120" s="4" t="str">
        <f>IFERROR(VLOOKUP($A120,집계!$B:$AD,MATCH(C$1,집계!$2:$2,0)-1,FALSE),"")</f>
        <v>김영수</v>
      </c>
      <c r="D120" s="4">
        <f>IFERROR(VLOOKUP($A120,집계!$B:$AD,MATCH(D$1,집계!$2:$2,0)-1,FALSE),"")</f>
        <v>20429774</v>
      </c>
      <c r="E120" s="4" t="str">
        <f>IFERROR(VLOOKUP($A120,집계!$B:$AD,MATCH(E$1,집계!$2:$2,0)-1,FALSE),"")</f>
        <v>주짓수 도복 및 스포츠웨어 스마트 제조 및 제작</v>
      </c>
      <c r="F120" s="31">
        <f>IFERROR(VLOOKUP($A120,대상!$B:$AD,MATCH(F$1,대상!$1:$1,0)-1,FALSE),"")</f>
        <v>0</v>
      </c>
      <c r="G120" s="3">
        <f>IFERROR(VLOOKUP($A120,집계!$B:$AD,MATCH(G$1,집계!$2:$2,0)-1,FALSE),"")</f>
        <v>5</v>
      </c>
      <c r="H120" s="3">
        <f>IFERROR(VLOOKUP($A120,집계!$B:$AD,MATCH(H$1,집계!$2:$2,0)-1,FALSE),"")</f>
        <v>73</v>
      </c>
      <c r="I120" s="3">
        <f>IFERROR(VLOOKUP($A120,집계!$B:$AD,MATCH(I$1,집계!$2:$2,0)-1,FALSE),"")</f>
        <v>67</v>
      </c>
      <c r="J120" s="3">
        <f>IFERROR(VLOOKUP($A120,집계!$B:$AD,MATCH(J$1,집계!$2:$2,0)-1,FALSE),"")</f>
        <v>74</v>
      </c>
      <c r="K120" s="3">
        <f>IFERROR(VLOOKUP($A120,집계!$B:$AD,MATCH(K$1,집계!$2:$2,0)-1,FALSE),"")</f>
        <v>88</v>
      </c>
      <c r="L120" s="3">
        <f>IFERROR(VLOOKUP($A120,집계!$B:$AD,MATCH(L$1,집계!$2:$2,0)-1,FALSE),"")</f>
        <v>68</v>
      </c>
      <c r="M120" s="16">
        <f>IFERROR(VLOOKUP($A120,집계!$B:$AD,MATCH(M$1,집계!$2:$2,0)-1,FALSE),"")</f>
        <v>71.666666666666671</v>
      </c>
      <c r="N120" s="16">
        <f>IFERROR(VLOOKUP($A120,집계!$B:$AD,MATCH(N$1,집계!$2:$2,0)-1,FALSE),"")</f>
        <v>0</v>
      </c>
      <c r="O120" s="16">
        <f>IFERROR(VLOOKUP($A120,집계!$B:$AD,MATCH(O$1,집계!$2:$2,0)-1,FALSE),"")</f>
        <v>71.666666666666671</v>
      </c>
      <c r="P120" s="31" t="str">
        <f>IFERROR(VLOOKUP($A120,집계!$B:$AD,MATCH(P$1,집계!$2:$2,0)-1,FALSE),"")</f>
        <v/>
      </c>
    </row>
    <row r="121" spans="1:32" ht="17.100000000000001" customHeight="1" x14ac:dyDescent="0.35">
      <c r="A121" s="2">
        <v>20430395</v>
      </c>
      <c r="B121" s="4">
        <f>IFERROR(VLOOKUP($A121,집계!$B:$AD,MATCH(B$1,집계!$2:$2,0)-1,FALSE),"")</f>
        <v>85</v>
      </c>
      <c r="C121" s="4" t="str">
        <f>IFERROR(VLOOKUP($A121,집계!$B:$AD,MATCH(C$1,집계!$2:$2,0)-1,FALSE),"")</f>
        <v>권슬기</v>
      </c>
      <c r="D121" s="4">
        <f>IFERROR(VLOOKUP($A121,집계!$B:$AD,MATCH(D$1,집계!$2:$2,0)-1,FALSE),"")</f>
        <v>20430395</v>
      </c>
      <c r="E121" s="4" t="str">
        <f>IFERROR(VLOOKUP($A121,집계!$B:$AD,MATCH(E$1,집계!$2:$2,0)-1,FALSE),"")</f>
        <v>고양이와 안전하게 외출할 수 있는 슬개골‧디스크 케어 이동가방</v>
      </c>
      <c r="F121" s="31">
        <f>IFERROR(VLOOKUP($A121,대상!$B:$AD,MATCH(F$1,대상!$1:$1,0)-1,FALSE),"")</f>
        <v>0</v>
      </c>
      <c r="G121" s="3">
        <f>IFERROR(VLOOKUP($A121,집계!$B:$AD,MATCH(G$1,집계!$2:$2,0)-1,FALSE),"")</f>
        <v>5</v>
      </c>
      <c r="H121" s="3">
        <f>IFERROR(VLOOKUP($A121,집계!$B:$AD,MATCH(H$1,집계!$2:$2,0)-1,FALSE),"")</f>
        <v>80</v>
      </c>
      <c r="I121" s="3">
        <f>IFERROR(VLOOKUP($A121,집계!$B:$AD,MATCH(I$1,집계!$2:$2,0)-1,FALSE),"")</f>
        <v>74</v>
      </c>
      <c r="J121" s="3">
        <f>IFERROR(VLOOKUP($A121,집계!$B:$AD,MATCH(J$1,집계!$2:$2,0)-1,FALSE),"")</f>
        <v>67</v>
      </c>
      <c r="K121" s="3">
        <f>IFERROR(VLOOKUP($A121,집계!$B:$AD,MATCH(K$1,집계!$2:$2,0)-1,FALSE),"")</f>
        <v>81</v>
      </c>
      <c r="L121" s="3">
        <f>IFERROR(VLOOKUP($A121,집계!$B:$AD,MATCH(L$1,집계!$2:$2,0)-1,FALSE),"")</f>
        <v>64</v>
      </c>
      <c r="M121" s="16">
        <f>IFERROR(VLOOKUP($A121,집계!$B:$AD,MATCH(M$1,집계!$2:$2,0)-1,FALSE),"")</f>
        <v>73.666666666666671</v>
      </c>
      <c r="N121" s="16">
        <f>IFERROR(VLOOKUP($A121,집계!$B:$AD,MATCH(N$1,집계!$2:$2,0)-1,FALSE),"")</f>
        <v>2</v>
      </c>
      <c r="O121" s="16">
        <f>IFERROR(VLOOKUP($A121,집계!$B:$AD,MATCH(O$1,집계!$2:$2,0)-1,FALSE),"")</f>
        <v>75.666666666666671</v>
      </c>
      <c r="P121" s="31" t="str">
        <f>IFERROR(VLOOKUP($A121,집계!$B:$AD,MATCH(P$1,집계!$2:$2,0)-1,FALSE),"")</f>
        <v/>
      </c>
    </row>
    <row r="122" spans="1:32" ht="17.100000000000001" customHeight="1" x14ac:dyDescent="0.35">
      <c r="A122" s="2">
        <v>20431705</v>
      </c>
      <c r="B122" s="4">
        <f>IFERROR(VLOOKUP($A122,집계!$B:$AD,MATCH(B$1,집계!$2:$2,0)-1,FALSE),"")</f>
        <v>14</v>
      </c>
      <c r="C122" s="4" t="str">
        <f>IFERROR(VLOOKUP($A122,집계!$B:$AD,MATCH(C$1,집계!$2:$2,0)-1,FALSE),"")</f>
        <v>천종우</v>
      </c>
      <c r="D122" s="4">
        <f>IFERROR(VLOOKUP($A122,집계!$B:$AD,MATCH(D$1,집계!$2:$2,0)-1,FALSE),"")</f>
        <v>20431705</v>
      </c>
      <c r="E122" s="4" t="str">
        <f>IFERROR(VLOOKUP($A122,집계!$B:$AD,MATCH(E$1,집계!$2:$2,0)-1,FALSE),"")</f>
        <v>스피큘 비드 코팅 기술 및 PDRN 시각화 기능이 적용된 B2B 화장품 원료 'Crystal Spicule Bead V4.0'</v>
      </c>
      <c r="F122" s="31">
        <f>IFERROR(VLOOKUP($A122,대상!$B:$AD,MATCH(F$1,대상!$1:$1,0)-1,FALSE),"")</f>
        <v>0</v>
      </c>
      <c r="G122" s="3">
        <f>IFERROR(VLOOKUP($A122,집계!$B:$AD,MATCH(G$1,집계!$2:$2,0)-1,FALSE),"")</f>
        <v>5</v>
      </c>
      <c r="H122" s="3">
        <f>IFERROR(VLOOKUP($A122,집계!$B:$AD,MATCH(H$1,집계!$2:$2,0)-1,FALSE),"")</f>
        <v>85</v>
      </c>
      <c r="I122" s="3">
        <f>IFERROR(VLOOKUP($A122,집계!$B:$AD,MATCH(I$1,집계!$2:$2,0)-1,FALSE),"")</f>
        <v>78</v>
      </c>
      <c r="J122" s="3">
        <f>IFERROR(VLOOKUP($A122,집계!$B:$AD,MATCH(J$1,집계!$2:$2,0)-1,FALSE),"")</f>
        <v>85</v>
      </c>
      <c r="K122" s="3">
        <f>IFERROR(VLOOKUP($A122,집계!$B:$AD,MATCH(K$1,집계!$2:$2,0)-1,FALSE),"")</f>
        <v>87</v>
      </c>
      <c r="L122" s="3">
        <f>IFERROR(VLOOKUP($A122,집계!$B:$AD,MATCH(L$1,집계!$2:$2,0)-1,FALSE),"")</f>
        <v>87</v>
      </c>
      <c r="M122" s="16">
        <f>IFERROR(VLOOKUP($A122,집계!$B:$AD,MATCH(M$1,집계!$2:$2,0)-1,FALSE),"")</f>
        <v>85.666666666666671</v>
      </c>
      <c r="N122" s="16">
        <f>IFERROR(VLOOKUP($A122,집계!$B:$AD,MATCH(N$1,집계!$2:$2,0)-1,FALSE),"")</f>
        <v>0</v>
      </c>
      <c r="O122" s="16">
        <f>IFERROR(VLOOKUP($A122,집계!$B:$AD,MATCH(O$1,집계!$2:$2,0)-1,FALSE),"")</f>
        <v>85.666666666666671</v>
      </c>
      <c r="P122" s="31" t="str">
        <f>IFERROR(VLOOKUP($A122,집계!$B:$AD,MATCH(P$1,집계!$2:$2,0)-1,FALSE),"")</f>
        <v/>
      </c>
    </row>
    <row r="123" spans="1:32" ht="17.100000000000001" customHeight="1" x14ac:dyDescent="0.35">
      <c r="A123" s="2">
        <v>20422189</v>
      </c>
      <c r="B123" s="4">
        <f>IFERROR(VLOOKUP($A123,집계!$B:$AD,MATCH(B$1,집계!$2:$2,0)-1,FALSE),"")</f>
        <v>98</v>
      </c>
      <c r="C123" s="4" t="str">
        <f>IFERROR(VLOOKUP($A123,집계!$B:$AD,MATCH(C$1,집계!$2:$2,0)-1,FALSE),"")</f>
        <v>임병주</v>
      </c>
      <c r="D123" s="4">
        <f>IFERROR(VLOOKUP($A123,집계!$B:$AD,MATCH(D$1,집계!$2:$2,0)-1,FALSE),"")</f>
        <v>20422189</v>
      </c>
      <c r="E123" s="4" t="str">
        <f>IFERROR(VLOOKUP($A123,집계!$B:$AD,MATCH(E$1,집계!$2:$2,0)-1,FALSE),"")</f>
        <v>피부 장벽 개선 및 복합적 피부 고민 관리를 위한 스킨케어 솔루션</v>
      </c>
      <c r="F123" s="31">
        <f>IFERROR(VLOOKUP($A123,대상!$B:$AD,MATCH(F$1,대상!$1:$1,0)-1,FALSE),"")</f>
        <v>0</v>
      </c>
      <c r="G123" s="3">
        <f>IFERROR(VLOOKUP($A123,집계!$B:$AD,MATCH(G$1,집계!$2:$2,0)-1,FALSE),"")</f>
        <v>5</v>
      </c>
      <c r="H123" s="3">
        <f>IFERROR(VLOOKUP($A123,집계!$B:$AD,MATCH(H$1,집계!$2:$2,0)-1,FALSE),"")</f>
        <v>72</v>
      </c>
      <c r="I123" s="3">
        <f>IFERROR(VLOOKUP($A123,집계!$B:$AD,MATCH(I$1,집계!$2:$2,0)-1,FALSE),"")</f>
        <v>68</v>
      </c>
      <c r="J123" s="3">
        <f>IFERROR(VLOOKUP($A123,집계!$B:$AD,MATCH(J$1,집계!$2:$2,0)-1,FALSE),"")</f>
        <v>73</v>
      </c>
      <c r="K123" s="3">
        <f>IFERROR(VLOOKUP($A123,집계!$B:$AD,MATCH(K$1,집계!$2:$2,0)-1,FALSE),"")</f>
        <v>86</v>
      </c>
      <c r="L123" s="3">
        <f>IFERROR(VLOOKUP($A123,집계!$B:$AD,MATCH(L$1,집계!$2:$2,0)-1,FALSE),"")</f>
        <v>76</v>
      </c>
      <c r="M123" s="16">
        <f>IFERROR(VLOOKUP($A123,집계!$B:$AD,MATCH(M$1,집계!$2:$2,0)-1,FALSE),"")</f>
        <v>73.666666666666671</v>
      </c>
      <c r="N123" s="16">
        <f>IFERROR(VLOOKUP($A123,집계!$B:$AD,MATCH(N$1,집계!$2:$2,0)-1,FALSE),"")</f>
        <v>0</v>
      </c>
      <c r="O123" s="16">
        <f>IFERROR(VLOOKUP($A123,집계!$B:$AD,MATCH(O$1,집계!$2:$2,0)-1,FALSE),"")</f>
        <v>73.666666666666671</v>
      </c>
      <c r="P123" s="31" t="str">
        <f>IFERROR(VLOOKUP($A123,집계!$B:$AD,MATCH(P$1,집계!$2:$2,0)-1,FALSE),"")</f>
        <v/>
      </c>
    </row>
    <row r="124" spans="1:32" ht="17.100000000000001" customHeight="1" x14ac:dyDescent="0.35">
      <c r="A124" s="2"/>
      <c r="B124" s="4" t="str">
        <f>IFERROR(VLOOKUP($A124,집계!$B:$AD,MATCH(B$1,집계!$2:$2,0)-1,FALSE),"")</f>
        <v/>
      </c>
      <c r="C124" s="4" t="str">
        <f>IFERROR(VLOOKUP($A124,집계!$B:$AD,MATCH(C$1,집계!$2:$2,0)-1,FALSE),"")</f>
        <v/>
      </c>
      <c r="D124" s="4" t="str">
        <f>IFERROR(VLOOKUP($A124,집계!$B:$AD,MATCH(D$1,집계!$2:$2,0)-1,FALSE),"")</f>
        <v/>
      </c>
      <c r="E124" s="4" t="str">
        <f>IFERROR(VLOOKUP($A124,집계!$B:$AD,MATCH(E$1,집계!$2:$2,0)-1,FALSE),"")</f>
        <v/>
      </c>
      <c r="F124" s="31" t="str">
        <f>IFERROR(VLOOKUP($A124,대상!$B:$AD,MATCH(F$1,대상!$1:$1,0)-1,FALSE),"")</f>
        <v/>
      </c>
      <c r="G124" s="3" t="str">
        <f>IFERROR(VLOOKUP($A124,집계!$B:$AD,MATCH(G$1,집계!$2:$2,0)-1,FALSE),"")</f>
        <v/>
      </c>
      <c r="H124" s="3" t="str">
        <f>IFERROR(VLOOKUP($A124,집계!$B:$AD,MATCH(H$1,집계!$2:$2,0)-1,FALSE),"")</f>
        <v/>
      </c>
      <c r="I124" s="3" t="str">
        <f>IFERROR(VLOOKUP($A124,집계!$B:$AD,MATCH(I$1,집계!$2:$2,0)-1,FALSE),"")</f>
        <v/>
      </c>
      <c r="J124" s="3" t="str">
        <f>IFERROR(VLOOKUP($A124,집계!$B:$AD,MATCH(J$1,집계!$2:$2,0)-1,FALSE),"")</f>
        <v/>
      </c>
      <c r="K124" s="3" t="str">
        <f>IFERROR(VLOOKUP($A124,집계!$B:$AD,MATCH(K$1,집계!$2:$2,0)-1,FALSE),"")</f>
        <v/>
      </c>
      <c r="L124" s="3" t="str">
        <f>IFERROR(VLOOKUP($A124,집계!$B:$AD,MATCH(L$1,집계!$2:$2,0)-1,FALSE),"")</f>
        <v/>
      </c>
      <c r="M124" s="16" t="str">
        <f>IFERROR(VLOOKUP($A124,집계!$B:$AD,MATCH(M$1,집계!$2:$2,0)-1,FALSE),"")</f>
        <v/>
      </c>
      <c r="N124" s="16" t="str">
        <f>IFERROR(VLOOKUP($A124,집계!$B:$AD,MATCH(N$1,집계!$2:$2,0)-1,FALSE),"")</f>
        <v/>
      </c>
      <c r="O124" s="16" t="str">
        <f>IFERROR(VLOOKUP($A124,집계!$B:$AD,MATCH(O$1,집계!$2:$2,0)-1,FALSE),"")</f>
        <v/>
      </c>
      <c r="P124" s="31" t="str">
        <f>IFERROR(VLOOKUP($A124,집계!$B:$AD,MATCH(P$1,집계!$2:$2,0)-1,FALSE),"")</f>
        <v/>
      </c>
    </row>
    <row r="125" spans="1:32" s="5" customFormat="1" ht="17.100000000000001" customHeight="1" x14ac:dyDescent="0.35">
      <c r="A125" s="2"/>
      <c r="B125" s="4" t="str">
        <f>IFERROR(VLOOKUP($A125,집계!$B:$AD,MATCH(B$1,집계!$2:$2,0)-1,FALSE),"")</f>
        <v/>
      </c>
      <c r="C125" s="4" t="str">
        <f>IFERROR(VLOOKUP($A125,집계!$B:$AD,MATCH(C$1,집계!$2:$2,0)-1,FALSE),"")</f>
        <v/>
      </c>
      <c r="D125" s="4" t="str">
        <f>IFERROR(VLOOKUP($A125,집계!$B:$AD,MATCH(D$1,집계!$2:$2,0)-1,FALSE),"")</f>
        <v/>
      </c>
      <c r="E125" s="4" t="str">
        <f>IFERROR(VLOOKUP($A125,집계!$B:$AD,MATCH(E$1,집계!$2:$2,0)-1,FALSE),"")</f>
        <v/>
      </c>
      <c r="F125" s="31" t="str">
        <f>IFERROR(VLOOKUP($A125,대상!$B:$AD,MATCH(F$1,대상!$1:$1,0)-1,FALSE),"")</f>
        <v/>
      </c>
      <c r="G125" s="3" t="str">
        <f>IFERROR(VLOOKUP($A125,집계!$B:$AD,MATCH(G$1,집계!$2:$2,0)-1,FALSE),"")</f>
        <v/>
      </c>
      <c r="H125" s="3" t="str">
        <f>IFERROR(VLOOKUP($A125,집계!$B:$AD,MATCH(H$1,집계!$2:$2,0)-1,FALSE),"")</f>
        <v/>
      </c>
      <c r="I125" s="3" t="str">
        <f>IFERROR(VLOOKUP($A125,집계!$B:$AD,MATCH(I$1,집계!$2:$2,0)-1,FALSE),"")</f>
        <v/>
      </c>
      <c r="J125" s="3" t="str">
        <f>IFERROR(VLOOKUP($A125,집계!$B:$AD,MATCH(J$1,집계!$2:$2,0)-1,FALSE),"")</f>
        <v/>
      </c>
      <c r="K125" s="3" t="str">
        <f>IFERROR(VLOOKUP($A125,집계!$B:$AD,MATCH(K$1,집계!$2:$2,0)-1,FALSE),"")</f>
        <v/>
      </c>
      <c r="L125" s="3" t="str">
        <f>IFERROR(VLOOKUP($A125,집계!$B:$AD,MATCH(L$1,집계!$2:$2,0)-1,FALSE),"")</f>
        <v/>
      </c>
      <c r="M125" s="16" t="str">
        <f>IFERROR(VLOOKUP($A125,집계!$B:$AD,MATCH(M$1,집계!$2:$2,0)-1,FALSE),"")</f>
        <v/>
      </c>
      <c r="N125" s="16" t="str">
        <f>IFERROR(VLOOKUP($A125,집계!$B:$AD,MATCH(N$1,집계!$2:$2,0)-1,FALSE),"")</f>
        <v/>
      </c>
      <c r="O125" s="16" t="str">
        <f>IFERROR(VLOOKUP($A125,집계!$B:$AD,MATCH(O$1,집계!$2:$2,0)-1,FALSE),"")</f>
        <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c r="B126" s="4" t="str">
        <f>IFERROR(VLOOKUP($A126,집계!$B:$AD,MATCH(B$1,집계!$2:$2,0)-1,FALSE),"")</f>
        <v/>
      </c>
      <c r="C126" s="4" t="str">
        <f>IFERROR(VLOOKUP($A126,집계!$B:$AD,MATCH(C$1,집계!$2:$2,0)-1,FALSE),"")</f>
        <v/>
      </c>
      <c r="D126" s="4" t="str">
        <f>IFERROR(VLOOKUP($A126,집계!$B:$AD,MATCH(D$1,집계!$2:$2,0)-1,FALSE),"")</f>
        <v/>
      </c>
      <c r="E126" s="4" t="str">
        <f>IFERROR(VLOOKUP($A126,집계!$B:$AD,MATCH(E$1,집계!$2:$2,0)-1,FALSE),"")</f>
        <v/>
      </c>
      <c r="F126" s="31" t="str">
        <f>IFERROR(VLOOKUP($A126,대상!$B:$AD,MATCH(F$1,대상!$1:$1,0)-1,FALSE),"")</f>
        <v/>
      </c>
      <c r="G126" s="3" t="str">
        <f>IFERROR(VLOOKUP($A126,집계!$B:$AD,MATCH(G$1,집계!$2:$2,0)-1,FALSE),"")</f>
        <v/>
      </c>
      <c r="H126" s="3" t="str">
        <f>IFERROR(VLOOKUP($A126,집계!$B:$AD,MATCH(H$1,집계!$2:$2,0)-1,FALSE),"")</f>
        <v/>
      </c>
      <c r="I126" s="3" t="str">
        <f>IFERROR(VLOOKUP($A126,집계!$B:$AD,MATCH(I$1,집계!$2:$2,0)-1,FALSE),"")</f>
        <v/>
      </c>
      <c r="J126" s="3" t="str">
        <f>IFERROR(VLOOKUP($A126,집계!$B:$AD,MATCH(J$1,집계!$2:$2,0)-1,FALSE),"")</f>
        <v/>
      </c>
      <c r="K126" s="3" t="str">
        <f>IFERROR(VLOOKUP($A126,집계!$B:$AD,MATCH(K$1,집계!$2:$2,0)-1,FALSE),"")</f>
        <v/>
      </c>
      <c r="L126" s="3" t="str">
        <f>IFERROR(VLOOKUP($A126,집계!$B:$AD,MATCH(L$1,집계!$2:$2,0)-1,FALSE),"")</f>
        <v/>
      </c>
      <c r="M126" s="16" t="str">
        <f>IFERROR(VLOOKUP($A126,집계!$B:$AD,MATCH(M$1,집계!$2:$2,0)-1,FALSE),"")</f>
        <v/>
      </c>
      <c r="N126" s="16" t="str">
        <f>IFERROR(VLOOKUP($A126,집계!$B:$AD,MATCH(N$1,집계!$2:$2,0)-1,FALSE),"")</f>
        <v/>
      </c>
      <c r="O126" s="16" t="str">
        <f>IFERROR(VLOOKUP($A126,집계!$B:$AD,MATCH(O$1,집계!$2:$2,0)-1,FALSE),"")</f>
        <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c r="B127" s="4" t="str">
        <f>IFERROR(VLOOKUP($A127,집계!$B:$AD,MATCH(B$1,집계!$2:$2,0)-1,FALSE),"")</f>
        <v/>
      </c>
      <c r="C127" s="4" t="str">
        <f>IFERROR(VLOOKUP($A127,집계!$B:$AD,MATCH(C$1,집계!$2:$2,0)-1,FALSE),"")</f>
        <v/>
      </c>
      <c r="D127" s="4" t="str">
        <f>IFERROR(VLOOKUP($A127,집계!$B:$AD,MATCH(D$1,집계!$2:$2,0)-1,FALSE),"")</f>
        <v/>
      </c>
      <c r="E127" s="4" t="str">
        <f>IFERROR(VLOOKUP($A127,집계!$B:$AD,MATCH(E$1,집계!$2:$2,0)-1,FALSE),"")</f>
        <v/>
      </c>
      <c r="F127" s="31" t="str">
        <f>IFERROR(VLOOKUP($A127,대상!$B:$AD,MATCH(F$1,대상!$1:$1,0)-1,FALSE),"")</f>
        <v/>
      </c>
      <c r="G127" s="3" t="str">
        <f>IFERROR(VLOOKUP($A127,집계!$B:$AD,MATCH(G$1,집계!$2:$2,0)-1,FALSE),"")</f>
        <v/>
      </c>
      <c r="H127" s="3" t="str">
        <f>IFERROR(VLOOKUP($A127,집계!$B:$AD,MATCH(H$1,집계!$2:$2,0)-1,FALSE),"")</f>
        <v/>
      </c>
      <c r="I127" s="3" t="str">
        <f>IFERROR(VLOOKUP($A127,집계!$B:$AD,MATCH(I$1,집계!$2:$2,0)-1,FALSE),"")</f>
        <v/>
      </c>
      <c r="J127" s="3" t="str">
        <f>IFERROR(VLOOKUP($A127,집계!$B:$AD,MATCH(J$1,집계!$2:$2,0)-1,FALSE),"")</f>
        <v/>
      </c>
      <c r="K127" s="3" t="str">
        <f>IFERROR(VLOOKUP($A127,집계!$B:$AD,MATCH(K$1,집계!$2:$2,0)-1,FALSE),"")</f>
        <v/>
      </c>
      <c r="L127" s="3" t="str">
        <f>IFERROR(VLOOKUP($A127,집계!$B:$AD,MATCH(L$1,집계!$2:$2,0)-1,FALSE),"")</f>
        <v/>
      </c>
      <c r="M127" s="16" t="str">
        <f>IFERROR(VLOOKUP($A127,집계!$B:$AD,MATCH(M$1,집계!$2:$2,0)-1,FALSE),"")</f>
        <v/>
      </c>
      <c r="N127" s="16" t="str">
        <f>IFERROR(VLOOKUP($A127,집계!$B:$AD,MATCH(N$1,집계!$2:$2,0)-1,FALSE),"")</f>
        <v/>
      </c>
      <c r="O127" s="16" t="str">
        <f>IFERROR(VLOOKUP($A127,집계!$B:$AD,MATCH(O$1,집계!$2:$2,0)-1,FALSE),"")</f>
        <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c r="B128" s="4" t="str">
        <f>IFERROR(VLOOKUP($A128,집계!$B:$AD,MATCH(B$1,집계!$2:$2,0)-1,FALSE),"")</f>
        <v/>
      </c>
      <c r="C128" s="4" t="str">
        <f>IFERROR(VLOOKUP($A128,집계!$B:$AD,MATCH(C$1,집계!$2:$2,0)-1,FALSE),"")</f>
        <v/>
      </c>
      <c r="D128" s="4" t="str">
        <f>IFERROR(VLOOKUP($A128,집계!$B:$AD,MATCH(D$1,집계!$2:$2,0)-1,FALSE),"")</f>
        <v/>
      </c>
      <c r="E128" s="4" t="str">
        <f>IFERROR(VLOOKUP($A128,집계!$B:$AD,MATCH(E$1,집계!$2:$2,0)-1,FALSE),"")</f>
        <v/>
      </c>
      <c r="F128" s="31" t="str">
        <f>IFERROR(VLOOKUP($A128,대상!$B:$AD,MATCH(F$1,대상!$1:$1,0)-1,FALSE),"")</f>
        <v/>
      </c>
      <c r="G128" s="3" t="str">
        <f>IFERROR(VLOOKUP($A128,집계!$B:$AD,MATCH(G$1,집계!$2:$2,0)-1,FALSE),"")</f>
        <v/>
      </c>
      <c r="H128" s="3" t="str">
        <f>IFERROR(VLOOKUP($A128,집계!$B:$AD,MATCH(H$1,집계!$2:$2,0)-1,FALSE),"")</f>
        <v/>
      </c>
      <c r="I128" s="3" t="str">
        <f>IFERROR(VLOOKUP($A128,집계!$B:$AD,MATCH(I$1,집계!$2:$2,0)-1,FALSE),"")</f>
        <v/>
      </c>
      <c r="J128" s="3" t="str">
        <f>IFERROR(VLOOKUP($A128,집계!$B:$AD,MATCH(J$1,집계!$2:$2,0)-1,FALSE),"")</f>
        <v/>
      </c>
      <c r="K128" s="3" t="str">
        <f>IFERROR(VLOOKUP($A128,집계!$B:$AD,MATCH(K$1,집계!$2:$2,0)-1,FALSE),"")</f>
        <v/>
      </c>
      <c r="L128" s="3" t="str">
        <f>IFERROR(VLOOKUP($A128,집계!$B:$AD,MATCH(L$1,집계!$2:$2,0)-1,FALSE),"")</f>
        <v/>
      </c>
      <c r="M128" s="16" t="str">
        <f>IFERROR(VLOOKUP($A128,집계!$B:$AD,MATCH(M$1,집계!$2:$2,0)-1,FALSE),"")</f>
        <v/>
      </c>
      <c r="N128" s="16" t="str">
        <f>IFERROR(VLOOKUP($A128,집계!$B:$AD,MATCH(N$1,집계!$2:$2,0)-1,FALSE),"")</f>
        <v/>
      </c>
      <c r="O128" s="16" t="str">
        <f>IFERROR(VLOOKUP($A128,집계!$B:$AD,MATCH(O$1,집계!$2:$2,0)-1,FALSE),"")</f>
        <v/>
      </c>
      <c r="P128" s="31" t="str">
        <f>IFERROR(VLOOKUP($A128,집계!$B:$AD,MATCH(P$1,집계!$2:$2,0)-1,FALSE),"")</f>
        <v/>
      </c>
    </row>
    <row r="129" spans="1:16" ht="17.100000000000001" customHeight="1" x14ac:dyDescent="0.35">
      <c r="A129" s="2"/>
      <c r="B129" s="4" t="str">
        <f>IFERROR(VLOOKUP($A129,집계!$B:$AD,MATCH(B$1,집계!$2:$2,0)-1,FALSE),"")</f>
        <v/>
      </c>
      <c r="C129" s="4" t="str">
        <f>IFERROR(VLOOKUP($A129,집계!$B:$AD,MATCH(C$1,집계!$2:$2,0)-1,FALSE),"")</f>
        <v/>
      </c>
      <c r="D129" s="4" t="str">
        <f>IFERROR(VLOOKUP($A129,집계!$B:$AD,MATCH(D$1,집계!$2:$2,0)-1,FALSE),"")</f>
        <v/>
      </c>
      <c r="E129" s="4" t="str">
        <f>IFERROR(VLOOKUP($A129,집계!$B:$AD,MATCH(E$1,집계!$2:$2,0)-1,FALSE),"")</f>
        <v/>
      </c>
      <c r="F129" s="31" t="str">
        <f>IFERROR(VLOOKUP($A129,대상!$B:$AD,MATCH(F$1,대상!$1:$1,0)-1,FALSE),"")</f>
        <v/>
      </c>
      <c r="G129" s="3" t="str">
        <f>IFERROR(VLOOKUP($A129,집계!$B:$AD,MATCH(G$1,집계!$2:$2,0)-1,FALSE),"")</f>
        <v/>
      </c>
      <c r="H129" s="3" t="str">
        <f>IFERROR(VLOOKUP($A129,집계!$B:$AD,MATCH(H$1,집계!$2:$2,0)-1,FALSE),"")</f>
        <v/>
      </c>
      <c r="I129" s="3" t="str">
        <f>IFERROR(VLOOKUP($A129,집계!$B:$AD,MATCH(I$1,집계!$2:$2,0)-1,FALSE),"")</f>
        <v/>
      </c>
      <c r="J129" s="3" t="str">
        <f>IFERROR(VLOOKUP($A129,집계!$B:$AD,MATCH(J$1,집계!$2:$2,0)-1,FALSE),"")</f>
        <v/>
      </c>
      <c r="K129" s="3" t="str">
        <f>IFERROR(VLOOKUP($A129,집계!$B:$AD,MATCH(K$1,집계!$2:$2,0)-1,FALSE),"")</f>
        <v/>
      </c>
      <c r="L129" s="3" t="str">
        <f>IFERROR(VLOOKUP($A129,집계!$B:$AD,MATCH(L$1,집계!$2:$2,0)-1,FALSE),"")</f>
        <v/>
      </c>
      <c r="M129" s="16" t="str">
        <f>IFERROR(VLOOKUP($A129,집계!$B:$AD,MATCH(M$1,집계!$2:$2,0)-1,FALSE),"")</f>
        <v/>
      </c>
      <c r="N129" s="16" t="str">
        <f>IFERROR(VLOOKUP($A129,집계!$B:$AD,MATCH(N$1,집계!$2:$2,0)-1,FALSE),"")</f>
        <v/>
      </c>
      <c r="O129" s="16" t="str">
        <f>IFERROR(VLOOKUP($A129,집계!$B:$AD,MATCH(O$1,집계!$2:$2,0)-1,FALSE),"")</f>
        <v/>
      </c>
      <c r="P129" s="31" t="str">
        <f>IFERROR(VLOOKUP($A129,집계!$B:$AD,MATCH(P$1,집계!$2:$2,0)-1,FALSE),"")</f>
        <v/>
      </c>
    </row>
    <row r="130" spans="1:16" ht="17.100000000000001" customHeight="1" x14ac:dyDescent="0.35">
      <c r="A130" s="2"/>
      <c r="B130" s="4" t="str">
        <f>IFERROR(VLOOKUP($A130,집계!$B:$AD,MATCH(B$1,집계!$2:$2,0)-1,FALSE),"")</f>
        <v/>
      </c>
      <c r="C130" s="4" t="str">
        <f>IFERROR(VLOOKUP($A130,집계!$B:$AD,MATCH(C$1,집계!$2:$2,0)-1,FALSE),"")</f>
        <v/>
      </c>
      <c r="D130" s="4" t="str">
        <f>IFERROR(VLOOKUP($A130,집계!$B:$AD,MATCH(D$1,집계!$2:$2,0)-1,FALSE),"")</f>
        <v/>
      </c>
      <c r="E130" s="4" t="str">
        <f>IFERROR(VLOOKUP($A130,집계!$B:$AD,MATCH(E$1,집계!$2:$2,0)-1,FALSE),"")</f>
        <v/>
      </c>
      <c r="F130" s="31" t="str">
        <f>IFERROR(VLOOKUP($A130,대상!$B:$AD,MATCH(F$1,대상!$1:$1,0)-1,FALSE),"")</f>
        <v/>
      </c>
      <c r="G130" s="3" t="str">
        <f>IFERROR(VLOOKUP($A130,집계!$B:$AD,MATCH(G$1,집계!$2:$2,0)-1,FALSE),"")</f>
        <v/>
      </c>
      <c r="H130" s="3" t="str">
        <f>IFERROR(VLOOKUP($A130,집계!$B:$AD,MATCH(H$1,집계!$2:$2,0)-1,FALSE),"")</f>
        <v/>
      </c>
      <c r="I130" s="3" t="str">
        <f>IFERROR(VLOOKUP($A130,집계!$B:$AD,MATCH(I$1,집계!$2:$2,0)-1,FALSE),"")</f>
        <v/>
      </c>
      <c r="J130" s="3" t="str">
        <f>IFERROR(VLOOKUP($A130,집계!$B:$AD,MATCH(J$1,집계!$2:$2,0)-1,FALSE),"")</f>
        <v/>
      </c>
      <c r="K130" s="3" t="str">
        <f>IFERROR(VLOOKUP($A130,집계!$B:$AD,MATCH(K$1,집계!$2:$2,0)-1,FALSE),"")</f>
        <v/>
      </c>
      <c r="L130" s="3" t="str">
        <f>IFERROR(VLOOKUP($A130,집계!$B:$AD,MATCH(L$1,집계!$2:$2,0)-1,FALSE),"")</f>
        <v/>
      </c>
      <c r="M130" s="16" t="str">
        <f>IFERROR(VLOOKUP($A130,집계!$B:$AD,MATCH(M$1,집계!$2:$2,0)-1,FALSE),"")</f>
        <v/>
      </c>
      <c r="N130" s="16" t="str">
        <f>IFERROR(VLOOKUP($A130,집계!$B:$AD,MATCH(N$1,집계!$2:$2,0)-1,FALSE),"")</f>
        <v/>
      </c>
      <c r="O130" s="16" t="str">
        <f>IFERROR(VLOOKUP($A130,집계!$B:$AD,MATCH(O$1,집계!$2:$2,0)-1,FALSE),"")</f>
        <v/>
      </c>
      <c r="P130" s="31" t="str">
        <f>IFERROR(VLOOKUP($A130,집계!$B:$AD,MATCH(P$1,집계!$2:$2,0)-1,FALSE),"")</f>
        <v/>
      </c>
    </row>
    <row r="131" spans="1:16" ht="17.100000000000001" customHeight="1" x14ac:dyDescent="0.35">
      <c r="A131" s="2"/>
      <c r="B131" s="4" t="str">
        <f>IFERROR(VLOOKUP($A131,집계!$B:$AD,MATCH(B$1,집계!$2:$2,0)-1,FALSE),"")</f>
        <v/>
      </c>
      <c r="C131" s="4" t="str">
        <f>IFERROR(VLOOKUP($A131,집계!$B:$AD,MATCH(C$1,집계!$2:$2,0)-1,FALSE),"")</f>
        <v/>
      </c>
      <c r="D131" s="4" t="str">
        <f>IFERROR(VLOOKUP($A131,집계!$B:$AD,MATCH(D$1,집계!$2:$2,0)-1,FALSE),"")</f>
        <v/>
      </c>
      <c r="E131" s="4" t="str">
        <f>IFERROR(VLOOKUP($A131,집계!$B:$AD,MATCH(E$1,집계!$2:$2,0)-1,FALSE),"")</f>
        <v/>
      </c>
      <c r="F131" s="31" t="str">
        <f>IFERROR(VLOOKUP($A131,대상!$B:$AD,MATCH(F$1,대상!$1:$1,0)-1,FALSE),"")</f>
        <v/>
      </c>
      <c r="G131" s="3" t="str">
        <f>IFERROR(VLOOKUP($A131,집계!$B:$AD,MATCH(G$1,집계!$2:$2,0)-1,FALSE),"")</f>
        <v/>
      </c>
      <c r="H131" s="3" t="str">
        <f>IFERROR(VLOOKUP($A131,집계!$B:$AD,MATCH(H$1,집계!$2:$2,0)-1,FALSE),"")</f>
        <v/>
      </c>
      <c r="I131" s="3" t="str">
        <f>IFERROR(VLOOKUP($A131,집계!$B:$AD,MATCH(I$1,집계!$2:$2,0)-1,FALSE),"")</f>
        <v/>
      </c>
      <c r="J131" s="3" t="str">
        <f>IFERROR(VLOOKUP($A131,집계!$B:$AD,MATCH(J$1,집계!$2:$2,0)-1,FALSE),"")</f>
        <v/>
      </c>
      <c r="K131" s="3" t="str">
        <f>IFERROR(VLOOKUP($A131,집계!$B:$AD,MATCH(K$1,집계!$2:$2,0)-1,FALSE),"")</f>
        <v/>
      </c>
      <c r="L131" s="3" t="str">
        <f>IFERROR(VLOOKUP($A131,집계!$B:$AD,MATCH(L$1,집계!$2:$2,0)-1,FALSE),"")</f>
        <v/>
      </c>
      <c r="M131" s="16" t="str">
        <f>IFERROR(VLOOKUP($A131,집계!$B:$AD,MATCH(M$1,집계!$2:$2,0)-1,FALSE),"")</f>
        <v/>
      </c>
      <c r="N131" s="16" t="str">
        <f>IFERROR(VLOOKUP($A131,집계!$B:$AD,MATCH(N$1,집계!$2:$2,0)-1,FALSE),"")</f>
        <v/>
      </c>
      <c r="O131" s="16" t="str">
        <f>IFERROR(VLOOKUP($A131,집계!$B:$AD,MATCH(O$1,집계!$2:$2,0)-1,FALSE),"")</f>
        <v/>
      </c>
      <c r="P131" s="31" t="str">
        <f>IFERROR(VLOOKUP($A131,집계!$B:$AD,MATCH(P$1,집계!$2:$2,0)-1,FALSE),"")</f>
        <v/>
      </c>
    </row>
    <row r="132" spans="1:16" ht="17.100000000000001" customHeight="1" x14ac:dyDescent="0.35">
      <c r="A132" s="2"/>
      <c r="B132" s="4" t="str">
        <f>IFERROR(VLOOKUP($A132,집계!$B:$AD,MATCH(B$1,집계!$2:$2,0)-1,FALSE),"")</f>
        <v/>
      </c>
      <c r="C132" s="4" t="str">
        <f>IFERROR(VLOOKUP($A132,집계!$B:$AD,MATCH(C$1,집계!$2:$2,0)-1,FALSE),"")</f>
        <v/>
      </c>
      <c r="D132" s="4" t="str">
        <f>IFERROR(VLOOKUP($A132,집계!$B:$AD,MATCH(D$1,집계!$2:$2,0)-1,FALSE),"")</f>
        <v/>
      </c>
      <c r="E132" s="4" t="str">
        <f>IFERROR(VLOOKUP($A132,집계!$B:$AD,MATCH(E$1,집계!$2:$2,0)-1,FALSE),"")</f>
        <v/>
      </c>
      <c r="F132" s="31" t="str">
        <f>IFERROR(VLOOKUP($A132,대상!$B:$AD,MATCH(F$1,대상!$1:$1,0)-1,FALSE),"")</f>
        <v/>
      </c>
      <c r="G132" s="3" t="str">
        <f>IFERROR(VLOOKUP($A132,집계!$B:$AD,MATCH(G$1,집계!$2:$2,0)-1,FALSE),"")</f>
        <v/>
      </c>
      <c r="H132" s="3" t="str">
        <f>IFERROR(VLOOKUP($A132,집계!$B:$AD,MATCH(H$1,집계!$2:$2,0)-1,FALSE),"")</f>
        <v/>
      </c>
      <c r="I132" s="3" t="str">
        <f>IFERROR(VLOOKUP($A132,집계!$B:$AD,MATCH(I$1,집계!$2:$2,0)-1,FALSE),"")</f>
        <v/>
      </c>
      <c r="J132" s="3" t="str">
        <f>IFERROR(VLOOKUP($A132,집계!$B:$AD,MATCH(J$1,집계!$2:$2,0)-1,FALSE),"")</f>
        <v/>
      </c>
      <c r="K132" s="3" t="str">
        <f>IFERROR(VLOOKUP($A132,집계!$B:$AD,MATCH(K$1,집계!$2:$2,0)-1,FALSE),"")</f>
        <v/>
      </c>
      <c r="L132" s="3" t="str">
        <f>IFERROR(VLOOKUP($A132,집계!$B:$AD,MATCH(L$1,집계!$2:$2,0)-1,FALSE),"")</f>
        <v/>
      </c>
      <c r="M132" s="16" t="str">
        <f>IFERROR(VLOOKUP($A132,집계!$B:$AD,MATCH(M$1,집계!$2:$2,0)-1,FALSE),"")</f>
        <v/>
      </c>
      <c r="N132" s="16" t="str">
        <f>IFERROR(VLOOKUP($A132,집계!$B:$AD,MATCH(N$1,집계!$2:$2,0)-1,FALSE),"")</f>
        <v/>
      </c>
      <c r="O132" s="16" t="str">
        <f>IFERROR(VLOOKUP($A132,집계!$B:$AD,MATCH(O$1,집계!$2:$2,0)-1,FALSE),"")</f>
        <v/>
      </c>
      <c r="P132" s="31" t="str">
        <f>IFERROR(VLOOKUP($A132,집계!$B:$AD,MATCH(P$1,집계!$2:$2,0)-1,FALSE),"")</f>
        <v/>
      </c>
    </row>
    <row r="133" spans="1:16" ht="17.100000000000001" customHeight="1" x14ac:dyDescent="0.35">
      <c r="A133" s="2"/>
      <c r="B133" s="4" t="str">
        <f>IFERROR(VLOOKUP($A133,집계!$B:$AD,MATCH(B$1,집계!$2:$2,0)-1,FALSE),"")</f>
        <v/>
      </c>
      <c r="C133" s="4" t="str">
        <f>IFERROR(VLOOKUP($A133,집계!$B:$AD,MATCH(C$1,집계!$2:$2,0)-1,FALSE),"")</f>
        <v/>
      </c>
      <c r="D133" s="4" t="str">
        <f>IFERROR(VLOOKUP($A133,집계!$B:$AD,MATCH(D$1,집계!$2:$2,0)-1,FALSE),"")</f>
        <v/>
      </c>
      <c r="E133" s="4" t="str">
        <f>IFERROR(VLOOKUP($A133,집계!$B:$AD,MATCH(E$1,집계!$2:$2,0)-1,FALSE),"")</f>
        <v/>
      </c>
      <c r="F133" s="31" t="str">
        <f>IFERROR(VLOOKUP($A133,대상!$B:$AD,MATCH(F$1,대상!$1:$1,0)-1,FALSE),"")</f>
        <v/>
      </c>
      <c r="G133" s="3" t="str">
        <f>IFERROR(VLOOKUP($A133,집계!$B:$AD,MATCH(G$1,집계!$2:$2,0)-1,FALSE),"")</f>
        <v/>
      </c>
      <c r="H133" s="3" t="str">
        <f>IFERROR(VLOOKUP($A133,집계!$B:$AD,MATCH(H$1,집계!$2:$2,0)-1,FALSE),"")</f>
        <v/>
      </c>
      <c r="I133" s="3" t="str">
        <f>IFERROR(VLOOKUP($A133,집계!$B:$AD,MATCH(I$1,집계!$2:$2,0)-1,FALSE),"")</f>
        <v/>
      </c>
      <c r="J133" s="3" t="str">
        <f>IFERROR(VLOOKUP($A133,집계!$B:$AD,MATCH(J$1,집계!$2:$2,0)-1,FALSE),"")</f>
        <v/>
      </c>
      <c r="K133" s="3" t="str">
        <f>IFERROR(VLOOKUP($A133,집계!$B:$AD,MATCH(K$1,집계!$2:$2,0)-1,FALSE),"")</f>
        <v/>
      </c>
      <c r="L133" s="3" t="str">
        <f>IFERROR(VLOOKUP($A133,집계!$B:$AD,MATCH(L$1,집계!$2:$2,0)-1,FALSE),"")</f>
        <v/>
      </c>
      <c r="M133" s="16" t="str">
        <f>IFERROR(VLOOKUP($A133,집계!$B:$AD,MATCH(M$1,집계!$2:$2,0)-1,FALSE),"")</f>
        <v/>
      </c>
      <c r="N133" s="16" t="str">
        <f>IFERROR(VLOOKUP($A133,집계!$B:$AD,MATCH(N$1,집계!$2:$2,0)-1,FALSE),"")</f>
        <v/>
      </c>
      <c r="O133" s="16" t="str">
        <f>IFERROR(VLOOKUP($A133,집계!$B:$AD,MATCH(O$1,집계!$2:$2,0)-1,FALSE),"")</f>
        <v/>
      </c>
      <c r="P133" s="31" t="str">
        <f>IFERROR(VLOOKUP($A133,집계!$B:$AD,MATCH(P$1,집계!$2:$2,0)-1,FALSE),"")</f>
        <v/>
      </c>
    </row>
    <row r="134" spans="1:16" ht="17.100000000000001" customHeight="1" x14ac:dyDescent="0.35">
      <c r="A134" s="2"/>
      <c r="B134" s="4" t="str">
        <f>IFERROR(VLOOKUP($A134,집계!$B:$AD,MATCH(B$1,집계!$2:$2,0)-1,FALSE),"")</f>
        <v/>
      </c>
      <c r="C134" s="4" t="str">
        <f>IFERROR(VLOOKUP($A134,집계!$B:$AD,MATCH(C$1,집계!$2:$2,0)-1,FALSE),"")</f>
        <v/>
      </c>
      <c r="D134" s="4" t="str">
        <f>IFERROR(VLOOKUP($A134,집계!$B:$AD,MATCH(D$1,집계!$2:$2,0)-1,FALSE),"")</f>
        <v/>
      </c>
      <c r="E134" s="4" t="str">
        <f>IFERROR(VLOOKUP($A134,집계!$B:$AD,MATCH(E$1,집계!$2:$2,0)-1,FALSE),"")</f>
        <v/>
      </c>
      <c r="F134" s="31" t="str">
        <f>IFERROR(VLOOKUP($A134,대상!$B:$AD,MATCH(F$1,대상!$1:$1,0)-1,FALSE),"")</f>
        <v/>
      </c>
      <c r="G134" s="3" t="str">
        <f>IFERROR(VLOOKUP($A134,집계!$B:$AD,MATCH(G$1,집계!$2:$2,0)-1,FALSE),"")</f>
        <v/>
      </c>
      <c r="H134" s="3" t="str">
        <f>IFERROR(VLOOKUP($A134,집계!$B:$AD,MATCH(H$1,집계!$2:$2,0)-1,FALSE),"")</f>
        <v/>
      </c>
      <c r="I134" s="3" t="str">
        <f>IFERROR(VLOOKUP($A134,집계!$B:$AD,MATCH(I$1,집계!$2:$2,0)-1,FALSE),"")</f>
        <v/>
      </c>
      <c r="J134" s="3" t="str">
        <f>IFERROR(VLOOKUP($A134,집계!$B:$AD,MATCH(J$1,집계!$2:$2,0)-1,FALSE),"")</f>
        <v/>
      </c>
      <c r="K134" s="3" t="str">
        <f>IFERROR(VLOOKUP($A134,집계!$B:$AD,MATCH(K$1,집계!$2:$2,0)-1,FALSE),"")</f>
        <v/>
      </c>
      <c r="L134" s="3" t="str">
        <f>IFERROR(VLOOKUP($A134,집계!$B:$AD,MATCH(L$1,집계!$2:$2,0)-1,FALSE),"")</f>
        <v/>
      </c>
      <c r="M134" s="16" t="str">
        <f>IFERROR(VLOOKUP($A134,집계!$B:$AD,MATCH(M$1,집계!$2:$2,0)-1,FALSE),"")</f>
        <v/>
      </c>
      <c r="N134" s="16" t="str">
        <f>IFERROR(VLOOKUP($A134,집계!$B:$AD,MATCH(N$1,집계!$2:$2,0)-1,FALSE),"")</f>
        <v/>
      </c>
      <c r="O134" s="16" t="str">
        <f>IFERROR(VLOOKUP($A134,집계!$B:$AD,MATCH(O$1,집계!$2:$2,0)-1,FALSE),"")</f>
        <v/>
      </c>
      <c r="P134" s="31" t="str">
        <f>IFERROR(VLOOKUP($A134,집계!$B:$AD,MATCH(P$1,집계!$2:$2,0)-1,FALSE),"")</f>
        <v/>
      </c>
    </row>
    <row r="135" spans="1:16" ht="17.100000000000001" customHeight="1" x14ac:dyDescent="0.35">
      <c r="A135" s="2"/>
      <c r="B135" s="4" t="str">
        <f>IFERROR(VLOOKUP($A135,집계!$B:$AD,MATCH(B$1,집계!$2:$2,0)-1,FALSE),"")</f>
        <v/>
      </c>
      <c r="C135" s="4" t="str">
        <f>IFERROR(VLOOKUP($A135,집계!$B:$AD,MATCH(C$1,집계!$2:$2,0)-1,FALSE),"")</f>
        <v/>
      </c>
      <c r="D135" s="4" t="str">
        <f>IFERROR(VLOOKUP($A135,집계!$B:$AD,MATCH(D$1,집계!$2:$2,0)-1,FALSE),"")</f>
        <v/>
      </c>
      <c r="E135" s="4" t="str">
        <f>IFERROR(VLOOKUP($A135,집계!$B:$AD,MATCH(E$1,집계!$2:$2,0)-1,FALSE),"")</f>
        <v/>
      </c>
      <c r="F135" s="31" t="str">
        <f>IFERROR(VLOOKUP($A135,대상!$B:$AD,MATCH(F$1,대상!$1:$1,0)-1,FALSE),"")</f>
        <v/>
      </c>
      <c r="G135" s="3" t="str">
        <f>IFERROR(VLOOKUP($A135,집계!$B:$AD,MATCH(G$1,집계!$2:$2,0)-1,FALSE),"")</f>
        <v/>
      </c>
      <c r="H135" s="3" t="str">
        <f>IFERROR(VLOOKUP($A135,집계!$B:$AD,MATCH(H$1,집계!$2:$2,0)-1,FALSE),"")</f>
        <v/>
      </c>
      <c r="I135" s="3" t="str">
        <f>IFERROR(VLOOKUP($A135,집계!$B:$AD,MATCH(I$1,집계!$2:$2,0)-1,FALSE),"")</f>
        <v/>
      </c>
      <c r="J135" s="3" t="str">
        <f>IFERROR(VLOOKUP($A135,집계!$B:$AD,MATCH(J$1,집계!$2:$2,0)-1,FALSE),"")</f>
        <v/>
      </c>
      <c r="K135" s="3" t="str">
        <f>IFERROR(VLOOKUP($A135,집계!$B:$AD,MATCH(K$1,집계!$2:$2,0)-1,FALSE),"")</f>
        <v/>
      </c>
      <c r="L135" s="3" t="str">
        <f>IFERROR(VLOOKUP($A135,집계!$B:$AD,MATCH(L$1,집계!$2:$2,0)-1,FALSE),"")</f>
        <v/>
      </c>
      <c r="M135" s="16" t="str">
        <f>IFERROR(VLOOKUP($A135,집계!$B:$AD,MATCH(M$1,집계!$2:$2,0)-1,FALSE),"")</f>
        <v/>
      </c>
      <c r="N135" s="16" t="str">
        <f>IFERROR(VLOOKUP($A135,집계!$B:$AD,MATCH(N$1,집계!$2:$2,0)-1,FALSE),"")</f>
        <v/>
      </c>
      <c r="O135" s="16" t="str">
        <f>IFERROR(VLOOKUP($A135,집계!$B:$AD,MATCH(O$1,집계!$2:$2,0)-1,FALSE),"")</f>
        <v/>
      </c>
      <c r="P135" s="31" t="str">
        <f>IFERROR(VLOOKUP($A135,집계!$B:$AD,MATCH(P$1,집계!$2:$2,0)-1,FALSE),"")</f>
        <v/>
      </c>
    </row>
    <row r="136" spans="1:16" ht="17.100000000000001" customHeight="1" x14ac:dyDescent="0.35">
      <c r="A136" s="2"/>
      <c r="B136" s="4" t="str">
        <f>IFERROR(VLOOKUP($A136,집계!$B:$AD,MATCH(B$1,집계!$2:$2,0)-1,FALSE),"")</f>
        <v/>
      </c>
      <c r="C136" s="4" t="str">
        <f>IFERROR(VLOOKUP($A136,집계!$B:$AD,MATCH(C$1,집계!$2:$2,0)-1,FALSE),"")</f>
        <v/>
      </c>
      <c r="D136" s="4" t="str">
        <f>IFERROR(VLOOKUP($A136,집계!$B:$AD,MATCH(D$1,집계!$2:$2,0)-1,FALSE),"")</f>
        <v/>
      </c>
      <c r="E136" s="4" t="str">
        <f>IFERROR(VLOOKUP($A136,집계!$B:$AD,MATCH(E$1,집계!$2:$2,0)-1,FALSE),"")</f>
        <v/>
      </c>
      <c r="F136" s="31" t="str">
        <f>IFERROR(VLOOKUP($A136,대상!$B:$AD,MATCH(F$1,대상!$1:$1,0)-1,FALSE),"")</f>
        <v/>
      </c>
      <c r="G136" s="3" t="str">
        <f>IFERROR(VLOOKUP($A136,집계!$B:$AD,MATCH(G$1,집계!$2:$2,0)-1,FALSE),"")</f>
        <v/>
      </c>
      <c r="H136" s="3" t="str">
        <f>IFERROR(VLOOKUP($A136,집계!$B:$AD,MATCH(H$1,집계!$2:$2,0)-1,FALSE),"")</f>
        <v/>
      </c>
      <c r="I136" s="3" t="str">
        <f>IFERROR(VLOOKUP($A136,집계!$B:$AD,MATCH(I$1,집계!$2:$2,0)-1,FALSE),"")</f>
        <v/>
      </c>
      <c r="J136" s="3" t="str">
        <f>IFERROR(VLOOKUP($A136,집계!$B:$AD,MATCH(J$1,집계!$2:$2,0)-1,FALSE),"")</f>
        <v/>
      </c>
      <c r="K136" s="3" t="str">
        <f>IFERROR(VLOOKUP($A136,집계!$B:$AD,MATCH(K$1,집계!$2:$2,0)-1,FALSE),"")</f>
        <v/>
      </c>
      <c r="L136" s="3" t="str">
        <f>IFERROR(VLOOKUP($A136,집계!$B:$AD,MATCH(L$1,집계!$2:$2,0)-1,FALSE),"")</f>
        <v/>
      </c>
      <c r="M136" s="16" t="str">
        <f>IFERROR(VLOOKUP($A136,집계!$B:$AD,MATCH(M$1,집계!$2:$2,0)-1,FALSE),"")</f>
        <v/>
      </c>
      <c r="N136" s="16" t="str">
        <f>IFERROR(VLOOKUP($A136,집계!$B:$AD,MATCH(N$1,집계!$2:$2,0)-1,FALSE),"")</f>
        <v/>
      </c>
      <c r="O136" s="16" t="str">
        <f>IFERROR(VLOOKUP($A136,집계!$B:$AD,MATCH(O$1,집계!$2:$2,0)-1,FALSE),"")</f>
        <v/>
      </c>
      <c r="P136" s="31" t="str">
        <f>IFERROR(VLOOKUP($A136,집계!$B:$AD,MATCH(P$1,집계!$2:$2,0)-1,FALSE),"")</f>
        <v/>
      </c>
    </row>
    <row r="137" spans="1:16" ht="17.100000000000001" customHeight="1" x14ac:dyDescent="0.35">
      <c r="A137" s="2"/>
      <c r="B137" s="4" t="str">
        <f>IFERROR(VLOOKUP($A137,집계!$B:$AD,MATCH(B$1,집계!$2:$2,0)-1,FALSE),"")</f>
        <v/>
      </c>
      <c r="C137" s="4" t="str">
        <f>IFERROR(VLOOKUP($A137,집계!$B:$AD,MATCH(C$1,집계!$2:$2,0)-1,FALSE),"")</f>
        <v/>
      </c>
      <c r="D137" s="4" t="str">
        <f>IFERROR(VLOOKUP($A137,집계!$B:$AD,MATCH(D$1,집계!$2:$2,0)-1,FALSE),"")</f>
        <v/>
      </c>
      <c r="E137" s="4" t="str">
        <f>IFERROR(VLOOKUP($A137,집계!$B:$AD,MATCH(E$1,집계!$2:$2,0)-1,FALSE),"")</f>
        <v/>
      </c>
      <c r="F137" s="31" t="str">
        <f>IFERROR(VLOOKUP($A137,대상!$B:$AD,MATCH(F$1,대상!$1:$1,0)-1,FALSE),"")</f>
        <v/>
      </c>
      <c r="G137" s="3" t="str">
        <f>IFERROR(VLOOKUP($A137,집계!$B:$AD,MATCH(G$1,집계!$2:$2,0)-1,FALSE),"")</f>
        <v/>
      </c>
      <c r="H137" s="3" t="str">
        <f>IFERROR(VLOOKUP($A137,집계!$B:$AD,MATCH(H$1,집계!$2:$2,0)-1,FALSE),"")</f>
        <v/>
      </c>
      <c r="I137" s="3" t="str">
        <f>IFERROR(VLOOKUP($A137,집계!$B:$AD,MATCH(I$1,집계!$2:$2,0)-1,FALSE),"")</f>
        <v/>
      </c>
      <c r="J137" s="3" t="str">
        <f>IFERROR(VLOOKUP($A137,집계!$B:$AD,MATCH(J$1,집계!$2:$2,0)-1,FALSE),"")</f>
        <v/>
      </c>
      <c r="K137" s="3" t="str">
        <f>IFERROR(VLOOKUP($A137,집계!$B:$AD,MATCH(K$1,집계!$2:$2,0)-1,FALSE),"")</f>
        <v/>
      </c>
      <c r="L137" s="3" t="str">
        <f>IFERROR(VLOOKUP($A137,집계!$B:$AD,MATCH(L$1,집계!$2:$2,0)-1,FALSE),"")</f>
        <v/>
      </c>
      <c r="M137" s="16" t="str">
        <f>IFERROR(VLOOKUP($A137,집계!$B:$AD,MATCH(M$1,집계!$2:$2,0)-1,FALSE),"")</f>
        <v/>
      </c>
      <c r="N137" s="16" t="str">
        <f>IFERROR(VLOOKUP($A137,집계!$B:$AD,MATCH(N$1,집계!$2:$2,0)-1,FALSE),"")</f>
        <v/>
      </c>
      <c r="O137" s="16" t="str">
        <f>IFERROR(VLOOKUP($A137,집계!$B:$AD,MATCH(O$1,집계!$2:$2,0)-1,FALSE),"")</f>
        <v/>
      </c>
      <c r="P137" s="31" t="str">
        <f>IFERROR(VLOOKUP($A137,집계!$B:$AD,MATCH(P$1,집계!$2:$2,0)-1,FALSE),"")</f>
        <v/>
      </c>
    </row>
    <row r="138" spans="1:16" ht="17.100000000000001" customHeight="1" x14ac:dyDescent="0.35">
      <c r="A138" s="2"/>
      <c r="B138" s="4" t="str">
        <f>IFERROR(VLOOKUP($A138,집계!$B:$AD,MATCH(B$1,집계!$2:$2,0)-1,FALSE),"")</f>
        <v/>
      </c>
      <c r="C138" s="4" t="str">
        <f>IFERROR(VLOOKUP($A138,집계!$B:$AD,MATCH(C$1,집계!$2:$2,0)-1,FALSE),"")</f>
        <v/>
      </c>
      <c r="D138" s="4" t="str">
        <f>IFERROR(VLOOKUP($A138,집계!$B:$AD,MATCH(D$1,집계!$2:$2,0)-1,FALSE),"")</f>
        <v/>
      </c>
      <c r="E138" s="4" t="str">
        <f>IFERROR(VLOOKUP($A138,집계!$B:$AD,MATCH(E$1,집계!$2:$2,0)-1,FALSE),"")</f>
        <v/>
      </c>
      <c r="F138" s="31" t="str">
        <f>IFERROR(VLOOKUP($A138,대상!$B:$AD,MATCH(F$1,대상!$1:$1,0)-1,FALSE),"")</f>
        <v/>
      </c>
      <c r="G138" s="3" t="str">
        <f>IFERROR(VLOOKUP($A138,집계!$B:$AD,MATCH(G$1,집계!$2:$2,0)-1,FALSE),"")</f>
        <v/>
      </c>
      <c r="H138" s="3" t="str">
        <f>IFERROR(VLOOKUP($A138,집계!$B:$AD,MATCH(H$1,집계!$2:$2,0)-1,FALSE),"")</f>
        <v/>
      </c>
      <c r="I138" s="3" t="str">
        <f>IFERROR(VLOOKUP($A138,집계!$B:$AD,MATCH(I$1,집계!$2:$2,0)-1,FALSE),"")</f>
        <v/>
      </c>
      <c r="J138" s="3" t="str">
        <f>IFERROR(VLOOKUP($A138,집계!$B:$AD,MATCH(J$1,집계!$2:$2,0)-1,FALSE),"")</f>
        <v/>
      </c>
      <c r="K138" s="3" t="str">
        <f>IFERROR(VLOOKUP($A138,집계!$B:$AD,MATCH(K$1,집계!$2:$2,0)-1,FALSE),"")</f>
        <v/>
      </c>
      <c r="L138" s="3" t="str">
        <f>IFERROR(VLOOKUP($A138,집계!$B:$AD,MATCH(L$1,집계!$2:$2,0)-1,FALSE),"")</f>
        <v/>
      </c>
      <c r="M138" s="16" t="str">
        <f>IFERROR(VLOOKUP($A138,집계!$B:$AD,MATCH(M$1,집계!$2:$2,0)-1,FALSE),"")</f>
        <v/>
      </c>
      <c r="N138" s="16" t="str">
        <f>IFERROR(VLOOKUP($A138,집계!$B:$AD,MATCH(N$1,집계!$2:$2,0)-1,FALSE),"")</f>
        <v/>
      </c>
      <c r="O138" s="16" t="str">
        <f>IFERROR(VLOOKUP($A138,집계!$B:$AD,MATCH(O$1,집계!$2:$2,0)-1,FALSE),"")</f>
        <v/>
      </c>
      <c r="P138" s="31" t="str">
        <f>IFERROR(VLOOKUP($A138,집계!$B:$AD,MATCH(P$1,집계!$2:$2,0)-1,FALSE),"")</f>
        <v/>
      </c>
    </row>
    <row r="139" spans="1:16" ht="17.100000000000001" customHeight="1" x14ac:dyDescent="0.35">
      <c r="A139" s="2"/>
      <c r="B139" s="4" t="str">
        <f>IFERROR(VLOOKUP($A139,집계!$B:$AD,MATCH(B$1,집계!$2:$2,0)-1,FALSE),"")</f>
        <v/>
      </c>
      <c r="C139" s="4" t="str">
        <f>IFERROR(VLOOKUP($A139,집계!$B:$AD,MATCH(C$1,집계!$2:$2,0)-1,FALSE),"")</f>
        <v/>
      </c>
      <c r="D139" s="4" t="str">
        <f>IFERROR(VLOOKUP($A139,집계!$B:$AD,MATCH(D$1,집계!$2:$2,0)-1,FALSE),"")</f>
        <v/>
      </c>
      <c r="E139" s="4" t="str">
        <f>IFERROR(VLOOKUP($A139,집계!$B:$AD,MATCH(E$1,집계!$2:$2,0)-1,FALSE),"")</f>
        <v/>
      </c>
      <c r="F139" s="31" t="str">
        <f>IFERROR(VLOOKUP($A139,대상!$B:$AD,MATCH(F$1,대상!$1:$1,0)-1,FALSE),"")</f>
        <v/>
      </c>
      <c r="G139" s="3" t="str">
        <f>IFERROR(VLOOKUP($A139,집계!$B:$AD,MATCH(G$1,집계!$2:$2,0)-1,FALSE),"")</f>
        <v/>
      </c>
      <c r="H139" s="3" t="str">
        <f>IFERROR(VLOOKUP($A139,집계!$B:$AD,MATCH(H$1,집계!$2:$2,0)-1,FALSE),"")</f>
        <v/>
      </c>
      <c r="I139" s="3" t="str">
        <f>IFERROR(VLOOKUP($A139,집계!$B:$AD,MATCH(I$1,집계!$2:$2,0)-1,FALSE),"")</f>
        <v/>
      </c>
      <c r="J139" s="3" t="str">
        <f>IFERROR(VLOOKUP($A139,집계!$B:$AD,MATCH(J$1,집계!$2:$2,0)-1,FALSE),"")</f>
        <v/>
      </c>
      <c r="K139" s="3" t="str">
        <f>IFERROR(VLOOKUP($A139,집계!$B:$AD,MATCH(K$1,집계!$2:$2,0)-1,FALSE),"")</f>
        <v/>
      </c>
      <c r="L139" s="3" t="str">
        <f>IFERROR(VLOOKUP($A139,집계!$B:$AD,MATCH(L$1,집계!$2:$2,0)-1,FALSE),"")</f>
        <v/>
      </c>
      <c r="M139" s="16" t="str">
        <f>IFERROR(VLOOKUP($A139,집계!$B:$AD,MATCH(M$1,집계!$2:$2,0)-1,FALSE),"")</f>
        <v/>
      </c>
      <c r="N139" s="16" t="str">
        <f>IFERROR(VLOOKUP($A139,집계!$B:$AD,MATCH(N$1,집계!$2:$2,0)-1,FALSE),"")</f>
        <v/>
      </c>
      <c r="O139" s="16" t="str">
        <f>IFERROR(VLOOKUP($A139,집계!$B:$AD,MATCH(O$1,집계!$2:$2,0)-1,FALSE),"")</f>
        <v/>
      </c>
      <c r="P139" s="31" t="str">
        <f>IFERROR(VLOOKUP($A139,집계!$B:$AD,MATCH(P$1,집계!$2:$2,0)-1,FALSE),"")</f>
        <v/>
      </c>
    </row>
    <row r="140" spans="1:16" ht="17.100000000000001" customHeight="1" x14ac:dyDescent="0.35">
      <c r="A140" s="2"/>
      <c r="B140" s="4" t="str">
        <f>IFERROR(VLOOKUP($A140,집계!$B:$AD,MATCH(B$1,집계!$2:$2,0)-1,FALSE),"")</f>
        <v/>
      </c>
      <c r="C140" s="4" t="str">
        <f>IFERROR(VLOOKUP($A140,집계!$B:$AD,MATCH(C$1,집계!$2:$2,0)-1,FALSE),"")</f>
        <v/>
      </c>
      <c r="D140" s="4" t="str">
        <f>IFERROR(VLOOKUP($A140,집계!$B:$AD,MATCH(D$1,집계!$2:$2,0)-1,FALSE),"")</f>
        <v/>
      </c>
      <c r="E140" s="4" t="str">
        <f>IFERROR(VLOOKUP($A140,집계!$B:$AD,MATCH(E$1,집계!$2:$2,0)-1,FALSE),"")</f>
        <v/>
      </c>
      <c r="F140" s="31" t="str">
        <f>IFERROR(VLOOKUP($A140,대상!$B:$AD,MATCH(F$1,대상!$1:$1,0)-1,FALSE),"")</f>
        <v/>
      </c>
      <c r="G140" s="3" t="str">
        <f>IFERROR(VLOOKUP($A140,집계!$B:$AD,MATCH(G$1,집계!$2:$2,0)-1,FALSE),"")</f>
        <v/>
      </c>
      <c r="H140" s="3" t="str">
        <f>IFERROR(VLOOKUP($A140,집계!$B:$AD,MATCH(H$1,집계!$2:$2,0)-1,FALSE),"")</f>
        <v/>
      </c>
      <c r="I140" s="3" t="str">
        <f>IFERROR(VLOOKUP($A140,집계!$B:$AD,MATCH(I$1,집계!$2:$2,0)-1,FALSE),"")</f>
        <v/>
      </c>
      <c r="J140" s="3" t="str">
        <f>IFERROR(VLOOKUP($A140,집계!$B:$AD,MATCH(J$1,집계!$2:$2,0)-1,FALSE),"")</f>
        <v/>
      </c>
      <c r="K140" s="3" t="str">
        <f>IFERROR(VLOOKUP($A140,집계!$B:$AD,MATCH(K$1,집계!$2:$2,0)-1,FALSE),"")</f>
        <v/>
      </c>
      <c r="L140" s="3" t="str">
        <f>IFERROR(VLOOKUP($A140,집계!$B:$AD,MATCH(L$1,집계!$2:$2,0)-1,FALSE),"")</f>
        <v/>
      </c>
      <c r="M140" s="16" t="str">
        <f>IFERROR(VLOOKUP($A140,집계!$B:$AD,MATCH(M$1,집계!$2:$2,0)-1,FALSE),"")</f>
        <v/>
      </c>
      <c r="N140" s="16" t="str">
        <f>IFERROR(VLOOKUP($A140,집계!$B:$AD,MATCH(N$1,집계!$2:$2,0)-1,FALSE),"")</f>
        <v/>
      </c>
      <c r="O140" s="16" t="str">
        <f>IFERROR(VLOOKUP($A140,집계!$B:$AD,MATCH(O$1,집계!$2:$2,0)-1,FALSE),"")</f>
        <v/>
      </c>
      <c r="P140" s="31" t="str">
        <f>IFERROR(VLOOKUP($A140,집계!$B:$AD,MATCH(P$1,집계!$2:$2,0)-1,FALSE),"")</f>
        <v/>
      </c>
    </row>
    <row r="141" spans="1:16" ht="17.100000000000001" customHeight="1" x14ac:dyDescent="0.35">
      <c r="A141" s="2"/>
      <c r="B141" s="4" t="str">
        <f>IFERROR(VLOOKUP($A141,집계!$B:$AD,MATCH(B$1,집계!$2:$2,0)-1,FALSE),"")</f>
        <v/>
      </c>
      <c r="C141" s="4" t="str">
        <f>IFERROR(VLOOKUP($A141,집계!$B:$AD,MATCH(C$1,집계!$2:$2,0)-1,FALSE),"")</f>
        <v/>
      </c>
      <c r="D141" s="4" t="str">
        <f>IFERROR(VLOOKUP($A141,집계!$B:$AD,MATCH(D$1,집계!$2:$2,0)-1,FALSE),"")</f>
        <v/>
      </c>
      <c r="E141" s="4" t="str">
        <f>IFERROR(VLOOKUP($A141,집계!$B:$AD,MATCH(E$1,집계!$2:$2,0)-1,FALSE),"")</f>
        <v/>
      </c>
      <c r="F141" s="31" t="str">
        <f>IFERROR(VLOOKUP($A141,대상!$B:$AD,MATCH(F$1,대상!$1:$1,0)-1,FALSE),"")</f>
        <v/>
      </c>
      <c r="G141" s="3" t="str">
        <f>IFERROR(VLOOKUP($A141,집계!$B:$AD,MATCH(G$1,집계!$2:$2,0)-1,FALSE),"")</f>
        <v/>
      </c>
      <c r="H141" s="3" t="str">
        <f>IFERROR(VLOOKUP($A141,집계!$B:$AD,MATCH(H$1,집계!$2:$2,0)-1,FALSE),"")</f>
        <v/>
      </c>
      <c r="I141" s="3" t="str">
        <f>IFERROR(VLOOKUP($A141,집계!$B:$AD,MATCH(I$1,집계!$2:$2,0)-1,FALSE),"")</f>
        <v/>
      </c>
      <c r="J141" s="3" t="str">
        <f>IFERROR(VLOOKUP($A141,집계!$B:$AD,MATCH(J$1,집계!$2:$2,0)-1,FALSE),"")</f>
        <v/>
      </c>
      <c r="K141" s="3" t="str">
        <f>IFERROR(VLOOKUP($A141,집계!$B:$AD,MATCH(K$1,집계!$2:$2,0)-1,FALSE),"")</f>
        <v/>
      </c>
      <c r="L141" s="3" t="str">
        <f>IFERROR(VLOOKUP($A141,집계!$B:$AD,MATCH(L$1,집계!$2:$2,0)-1,FALSE),"")</f>
        <v/>
      </c>
      <c r="M141" s="16" t="str">
        <f>IFERROR(VLOOKUP($A141,집계!$B:$AD,MATCH(M$1,집계!$2:$2,0)-1,FALSE),"")</f>
        <v/>
      </c>
      <c r="N141" s="16" t="str">
        <f>IFERROR(VLOOKUP($A141,집계!$B:$AD,MATCH(N$1,집계!$2:$2,0)-1,FALSE),"")</f>
        <v/>
      </c>
      <c r="O141" s="16" t="str">
        <f>IFERROR(VLOOKUP($A141,집계!$B:$AD,MATCH(O$1,집계!$2:$2,0)-1,FALSE),"")</f>
        <v/>
      </c>
      <c r="P141" s="31" t="str">
        <f>IFERROR(VLOOKUP($A141,집계!$B:$AD,MATCH(P$1,집계!$2:$2,0)-1,FALSE),"")</f>
        <v/>
      </c>
    </row>
    <row r="142" spans="1:16" ht="17.100000000000001" customHeight="1" x14ac:dyDescent="0.35">
      <c r="A142" s="2"/>
      <c r="B142" s="4" t="str">
        <f>IFERROR(VLOOKUP($A142,집계!$B:$AD,MATCH(B$1,집계!$2:$2,0)-1,FALSE),"")</f>
        <v/>
      </c>
      <c r="C142" s="4" t="str">
        <f>IFERROR(VLOOKUP($A142,집계!$B:$AD,MATCH(C$1,집계!$2:$2,0)-1,FALSE),"")</f>
        <v/>
      </c>
      <c r="D142" s="4" t="str">
        <f>IFERROR(VLOOKUP($A142,집계!$B:$AD,MATCH(D$1,집계!$2:$2,0)-1,FALSE),"")</f>
        <v/>
      </c>
      <c r="E142" s="4" t="str">
        <f>IFERROR(VLOOKUP($A142,집계!$B:$AD,MATCH(E$1,집계!$2:$2,0)-1,FALSE),"")</f>
        <v/>
      </c>
      <c r="F142" s="31" t="str">
        <f>IFERROR(VLOOKUP($A142,대상!$B:$AD,MATCH(F$1,대상!$1:$1,0)-1,FALSE),"")</f>
        <v/>
      </c>
      <c r="G142" s="3" t="str">
        <f>IFERROR(VLOOKUP($A142,집계!$B:$AD,MATCH(G$1,집계!$2:$2,0)-1,FALSE),"")</f>
        <v/>
      </c>
      <c r="H142" s="3" t="str">
        <f>IFERROR(VLOOKUP($A142,집계!$B:$AD,MATCH(H$1,집계!$2:$2,0)-1,FALSE),"")</f>
        <v/>
      </c>
      <c r="I142" s="3" t="str">
        <f>IFERROR(VLOOKUP($A142,집계!$B:$AD,MATCH(I$1,집계!$2:$2,0)-1,FALSE),"")</f>
        <v/>
      </c>
      <c r="J142" s="3" t="str">
        <f>IFERROR(VLOOKUP($A142,집계!$B:$AD,MATCH(J$1,집계!$2:$2,0)-1,FALSE),"")</f>
        <v/>
      </c>
      <c r="K142" s="3" t="str">
        <f>IFERROR(VLOOKUP($A142,집계!$B:$AD,MATCH(K$1,집계!$2:$2,0)-1,FALSE),"")</f>
        <v/>
      </c>
      <c r="L142" s="3" t="str">
        <f>IFERROR(VLOOKUP($A142,집계!$B:$AD,MATCH(L$1,집계!$2:$2,0)-1,FALSE),"")</f>
        <v/>
      </c>
      <c r="M142" s="16" t="str">
        <f>IFERROR(VLOOKUP($A142,집계!$B:$AD,MATCH(M$1,집계!$2:$2,0)-1,FALSE),"")</f>
        <v/>
      </c>
      <c r="N142" s="16" t="str">
        <f>IFERROR(VLOOKUP($A142,집계!$B:$AD,MATCH(N$1,집계!$2:$2,0)-1,FALSE),"")</f>
        <v/>
      </c>
      <c r="O142" s="16" t="str">
        <f>IFERROR(VLOOKUP($A142,집계!$B:$AD,MATCH(O$1,집계!$2:$2,0)-1,FALSE),"")</f>
        <v/>
      </c>
      <c r="P142" s="31" t="str">
        <f>IFERROR(VLOOKUP($A142,집계!$B:$AD,MATCH(P$1,집계!$2:$2,0)-1,FALSE),"")</f>
        <v/>
      </c>
    </row>
    <row r="143" spans="1:16" ht="17.100000000000001" customHeight="1" x14ac:dyDescent="0.35">
      <c r="A143" s="2"/>
      <c r="B143" s="4" t="str">
        <f>IFERROR(VLOOKUP($A143,집계!$B:$AD,MATCH(B$1,집계!$2:$2,0)-1,FALSE),"")</f>
        <v/>
      </c>
      <c r="C143" s="4" t="str">
        <f>IFERROR(VLOOKUP($A143,집계!$B:$AD,MATCH(C$1,집계!$2:$2,0)-1,FALSE),"")</f>
        <v/>
      </c>
      <c r="D143" s="4" t="str">
        <f>IFERROR(VLOOKUP($A143,집계!$B:$AD,MATCH(D$1,집계!$2:$2,0)-1,FALSE),"")</f>
        <v/>
      </c>
      <c r="E143" s="4" t="str">
        <f>IFERROR(VLOOKUP($A143,집계!$B:$AD,MATCH(E$1,집계!$2:$2,0)-1,FALSE),"")</f>
        <v/>
      </c>
      <c r="F143" s="31" t="str">
        <f>IFERROR(VLOOKUP($A143,대상!$B:$AD,MATCH(F$1,대상!$1:$1,0)-1,FALSE),"")</f>
        <v/>
      </c>
      <c r="G143" s="3" t="str">
        <f>IFERROR(VLOOKUP($A143,집계!$B:$AD,MATCH(G$1,집계!$2:$2,0)-1,FALSE),"")</f>
        <v/>
      </c>
      <c r="H143" s="3" t="str">
        <f>IFERROR(VLOOKUP($A143,집계!$B:$AD,MATCH(H$1,집계!$2:$2,0)-1,FALSE),"")</f>
        <v/>
      </c>
      <c r="I143" s="3" t="str">
        <f>IFERROR(VLOOKUP($A143,집계!$B:$AD,MATCH(I$1,집계!$2:$2,0)-1,FALSE),"")</f>
        <v/>
      </c>
      <c r="J143" s="3" t="str">
        <f>IFERROR(VLOOKUP($A143,집계!$B:$AD,MATCH(J$1,집계!$2:$2,0)-1,FALSE),"")</f>
        <v/>
      </c>
      <c r="K143" s="3" t="str">
        <f>IFERROR(VLOOKUP($A143,집계!$B:$AD,MATCH(K$1,집계!$2:$2,0)-1,FALSE),"")</f>
        <v/>
      </c>
      <c r="L143" s="3" t="str">
        <f>IFERROR(VLOOKUP($A143,집계!$B:$AD,MATCH(L$1,집계!$2:$2,0)-1,FALSE),"")</f>
        <v/>
      </c>
      <c r="M143" s="16" t="str">
        <f>IFERROR(VLOOKUP($A143,집계!$B:$AD,MATCH(M$1,집계!$2:$2,0)-1,FALSE),"")</f>
        <v/>
      </c>
      <c r="N143" s="16" t="str">
        <f>IFERROR(VLOOKUP($A143,집계!$B:$AD,MATCH(N$1,집계!$2:$2,0)-1,FALSE),"")</f>
        <v/>
      </c>
      <c r="O143" s="16" t="str">
        <f>IFERROR(VLOOKUP($A143,집계!$B:$AD,MATCH(O$1,집계!$2:$2,0)-1,FALSE),"")</f>
        <v/>
      </c>
      <c r="P143" s="31" t="str">
        <f>IFERROR(VLOOKUP($A143,집계!$B:$AD,MATCH(P$1,집계!$2:$2,0)-1,FALSE),"")</f>
        <v/>
      </c>
    </row>
    <row r="144" spans="1:16" ht="17.100000000000001" customHeight="1" x14ac:dyDescent="0.35">
      <c r="A144" s="2"/>
      <c r="B144" s="4" t="str">
        <f>IFERROR(VLOOKUP($A144,집계!$B:$AD,MATCH(B$1,집계!$2:$2,0)-1,FALSE),"")</f>
        <v/>
      </c>
      <c r="C144" s="4" t="str">
        <f>IFERROR(VLOOKUP($A144,집계!$B:$AD,MATCH(C$1,집계!$2:$2,0)-1,FALSE),"")</f>
        <v/>
      </c>
      <c r="D144" s="4" t="str">
        <f>IFERROR(VLOOKUP($A144,집계!$B:$AD,MATCH(D$1,집계!$2:$2,0)-1,FALSE),"")</f>
        <v/>
      </c>
      <c r="E144" s="4" t="str">
        <f>IFERROR(VLOOKUP($A144,집계!$B:$AD,MATCH(E$1,집계!$2:$2,0)-1,FALSE),"")</f>
        <v/>
      </c>
      <c r="F144" s="31" t="str">
        <f>IFERROR(VLOOKUP($A144,대상!$B:$AD,MATCH(F$1,대상!$1:$1,0)-1,FALSE),"")</f>
        <v/>
      </c>
      <c r="G144" s="3" t="str">
        <f>IFERROR(VLOOKUP($A144,집계!$B:$AD,MATCH(G$1,집계!$2:$2,0)-1,FALSE),"")</f>
        <v/>
      </c>
      <c r="H144" s="3" t="str">
        <f>IFERROR(VLOOKUP($A144,집계!$B:$AD,MATCH(H$1,집계!$2:$2,0)-1,FALSE),"")</f>
        <v/>
      </c>
      <c r="I144" s="3" t="str">
        <f>IFERROR(VLOOKUP($A144,집계!$B:$AD,MATCH(I$1,집계!$2:$2,0)-1,FALSE),"")</f>
        <v/>
      </c>
      <c r="J144" s="3" t="str">
        <f>IFERROR(VLOOKUP($A144,집계!$B:$AD,MATCH(J$1,집계!$2:$2,0)-1,FALSE),"")</f>
        <v/>
      </c>
      <c r="K144" s="3" t="str">
        <f>IFERROR(VLOOKUP($A144,집계!$B:$AD,MATCH(K$1,집계!$2:$2,0)-1,FALSE),"")</f>
        <v/>
      </c>
      <c r="L144" s="3" t="str">
        <f>IFERROR(VLOOKUP($A144,집계!$B:$AD,MATCH(L$1,집계!$2:$2,0)-1,FALSE),"")</f>
        <v/>
      </c>
      <c r="M144" s="16" t="str">
        <f>IFERROR(VLOOKUP($A144,집계!$B:$AD,MATCH(M$1,집계!$2:$2,0)-1,FALSE),"")</f>
        <v/>
      </c>
      <c r="N144" s="16" t="str">
        <f>IFERROR(VLOOKUP($A144,집계!$B:$AD,MATCH(N$1,집계!$2:$2,0)-1,FALSE),"")</f>
        <v/>
      </c>
      <c r="O144" s="16" t="str">
        <f>IFERROR(VLOOKUP($A144,집계!$B:$AD,MATCH(O$1,집계!$2:$2,0)-1,FALSE),"")</f>
        <v/>
      </c>
      <c r="P144" s="31" t="str">
        <f>IFERROR(VLOOKUP($A144,집계!$B:$AD,MATCH(P$1,집계!$2:$2,0)-1,FALSE),"")</f>
        <v/>
      </c>
    </row>
    <row r="145" spans="1:16" ht="17.100000000000001" customHeight="1" x14ac:dyDescent="0.35">
      <c r="A145" s="2"/>
      <c r="B145" s="4" t="str">
        <f>IFERROR(VLOOKUP($A145,집계!$B:$AD,MATCH(B$1,집계!$2:$2,0)-1,FALSE),"")</f>
        <v/>
      </c>
      <c r="C145" s="4" t="str">
        <f>IFERROR(VLOOKUP($A145,집계!$B:$AD,MATCH(C$1,집계!$2:$2,0)-1,FALSE),"")</f>
        <v/>
      </c>
      <c r="D145" s="4" t="str">
        <f>IFERROR(VLOOKUP($A145,집계!$B:$AD,MATCH(D$1,집계!$2:$2,0)-1,FALSE),"")</f>
        <v/>
      </c>
      <c r="E145" s="4" t="str">
        <f>IFERROR(VLOOKUP($A145,집계!$B:$AD,MATCH(E$1,집계!$2:$2,0)-1,FALSE),"")</f>
        <v/>
      </c>
      <c r="F145" s="31" t="str">
        <f>IFERROR(VLOOKUP($A145,대상!$B:$AD,MATCH(F$1,대상!$1:$1,0)-1,FALSE),"")</f>
        <v/>
      </c>
      <c r="G145" s="3" t="str">
        <f>IFERROR(VLOOKUP($A145,집계!$B:$AD,MATCH(G$1,집계!$2:$2,0)-1,FALSE),"")</f>
        <v/>
      </c>
      <c r="H145" s="3" t="str">
        <f>IFERROR(VLOOKUP($A145,집계!$B:$AD,MATCH(H$1,집계!$2:$2,0)-1,FALSE),"")</f>
        <v/>
      </c>
      <c r="I145" s="3" t="str">
        <f>IFERROR(VLOOKUP($A145,집계!$B:$AD,MATCH(I$1,집계!$2:$2,0)-1,FALSE),"")</f>
        <v/>
      </c>
      <c r="J145" s="3" t="str">
        <f>IFERROR(VLOOKUP($A145,집계!$B:$AD,MATCH(J$1,집계!$2:$2,0)-1,FALSE),"")</f>
        <v/>
      </c>
      <c r="K145" s="3" t="str">
        <f>IFERROR(VLOOKUP($A145,집계!$B:$AD,MATCH(K$1,집계!$2:$2,0)-1,FALSE),"")</f>
        <v/>
      </c>
      <c r="L145" s="3" t="str">
        <f>IFERROR(VLOOKUP($A145,집계!$B:$AD,MATCH(L$1,집계!$2:$2,0)-1,FALSE),"")</f>
        <v/>
      </c>
      <c r="M145" s="16" t="str">
        <f>IFERROR(VLOOKUP($A145,집계!$B:$AD,MATCH(M$1,집계!$2:$2,0)-1,FALSE),"")</f>
        <v/>
      </c>
      <c r="N145" s="16" t="str">
        <f>IFERROR(VLOOKUP($A145,집계!$B:$AD,MATCH(N$1,집계!$2:$2,0)-1,FALSE),"")</f>
        <v/>
      </c>
      <c r="O145" s="16" t="str">
        <f>IFERROR(VLOOKUP($A145,집계!$B:$AD,MATCH(O$1,집계!$2:$2,0)-1,FALSE),"")</f>
        <v/>
      </c>
      <c r="P145" s="31" t="str">
        <f>IFERROR(VLOOKUP($A145,집계!$B:$AD,MATCH(P$1,집계!$2:$2,0)-1,FALSE),"")</f>
        <v/>
      </c>
    </row>
    <row r="146" spans="1:16" ht="17.100000000000001" customHeight="1" x14ac:dyDescent="0.35">
      <c r="A146" s="2"/>
      <c r="B146" s="4" t="str">
        <f>IFERROR(VLOOKUP($A146,집계!$B:$AD,MATCH(B$1,집계!$2:$2,0)-1,FALSE),"")</f>
        <v/>
      </c>
      <c r="C146" s="4" t="str">
        <f>IFERROR(VLOOKUP($A146,집계!$B:$AD,MATCH(C$1,집계!$2:$2,0)-1,FALSE),"")</f>
        <v/>
      </c>
      <c r="D146" s="4" t="str">
        <f>IFERROR(VLOOKUP($A146,집계!$B:$AD,MATCH(D$1,집계!$2:$2,0)-1,FALSE),"")</f>
        <v/>
      </c>
      <c r="E146" s="4" t="str">
        <f>IFERROR(VLOOKUP($A146,집계!$B:$AD,MATCH(E$1,집계!$2:$2,0)-1,FALSE),"")</f>
        <v/>
      </c>
      <c r="F146" s="31" t="str">
        <f>IFERROR(VLOOKUP($A146,대상!$B:$AD,MATCH(F$1,대상!$1:$1,0)-1,FALSE),"")</f>
        <v/>
      </c>
      <c r="G146" s="3" t="str">
        <f>IFERROR(VLOOKUP($A146,집계!$B:$AD,MATCH(G$1,집계!$2:$2,0)-1,FALSE),"")</f>
        <v/>
      </c>
      <c r="H146" s="3" t="str">
        <f>IFERROR(VLOOKUP($A146,집계!$B:$AD,MATCH(H$1,집계!$2:$2,0)-1,FALSE),"")</f>
        <v/>
      </c>
      <c r="I146" s="3" t="str">
        <f>IFERROR(VLOOKUP($A146,집계!$B:$AD,MATCH(I$1,집계!$2:$2,0)-1,FALSE),"")</f>
        <v/>
      </c>
      <c r="J146" s="3" t="str">
        <f>IFERROR(VLOOKUP($A146,집계!$B:$AD,MATCH(J$1,집계!$2:$2,0)-1,FALSE),"")</f>
        <v/>
      </c>
      <c r="K146" s="3" t="str">
        <f>IFERROR(VLOOKUP($A146,집계!$B:$AD,MATCH(K$1,집계!$2:$2,0)-1,FALSE),"")</f>
        <v/>
      </c>
      <c r="L146" s="3" t="str">
        <f>IFERROR(VLOOKUP($A146,집계!$B:$AD,MATCH(L$1,집계!$2:$2,0)-1,FALSE),"")</f>
        <v/>
      </c>
      <c r="M146" s="16" t="str">
        <f>IFERROR(VLOOKUP($A146,집계!$B:$AD,MATCH(M$1,집계!$2:$2,0)-1,FALSE),"")</f>
        <v/>
      </c>
      <c r="N146" s="16" t="str">
        <f>IFERROR(VLOOKUP($A146,집계!$B:$AD,MATCH(N$1,집계!$2:$2,0)-1,FALSE),"")</f>
        <v/>
      </c>
      <c r="O146" s="16" t="str">
        <f>IFERROR(VLOOKUP($A146,집계!$B:$AD,MATCH(O$1,집계!$2:$2,0)-1,FALSE),"")</f>
        <v/>
      </c>
      <c r="P146" s="31" t="str">
        <f>IFERROR(VLOOKUP($A146,집계!$B:$AD,MATCH(P$1,집계!$2:$2,0)-1,FALSE),"")</f>
        <v/>
      </c>
    </row>
    <row r="147" spans="1:16" ht="17.100000000000001" customHeight="1" x14ac:dyDescent="0.35">
      <c r="A147" s="2"/>
      <c r="B147" s="4" t="str">
        <f>IFERROR(VLOOKUP($A147,집계!$B:$AD,MATCH(B$1,집계!$2:$2,0)-1,FALSE),"")</f>
        <v/>
      </c>
      <c r="C147" s="4" t="str">
        <f>IFERROR(VLOOKUP($A147,집계!$B:$AD,MATCH(C$1,집계!$2:$2,0)-1,FALSE),"")</f>
        <v/>
      </c>
      <c r="D147" s="4" t="str">
        <f>IFERROR(VLOOKUP($A147,집계!$B:$AD,MATCH(D$1,집계!$2:$2,0)-1,FALSE),"")</f>
        <v/>
      </c>
      <c r="E147" s="4" t="str">
        <f>IFERROR(VLOOKUP($A147,집계!$B:$AD,MATCH(E$1,집계!$2:$2,0)-1,FALSE),"")</f>
        <v/>
      </c>
      <c r="F147" s="31" t="str">
        <f>IFERROR(VLOOKUP($A147,대상!$B:$AD,MATCH(F$1,대상!$1:$1,0)-1,FALSE),"")</f>
        <v/>
      </c>
      <c r="G147" s="3" t="str">
        <f>IFERROR(VLOOKUP($A147,집계!$B:$AD,MATCH(G$1,집계!$2:$2,0)-1,FALSE),"")</f>
        <v/>
      </c>
      <c r="H147" s="3" t="str">
        <f>IFERROR(VLOOKUP($A147,집계!$B:$AD,MATCH(H$1,집계!$2:$2,0)-1,FALSE),"")</f>
        <v/>
      </c>
      <c r="I147" s="3" t="str">
        <f>IFERROR(VLOOKUP($A147,집계!$B:$AD,MATCH(I$1,집계!$2:$2,0)-1,FALSE),"")</f>
        <v/>
      </c>
      <c r="J147" s="3" t="str">
        <f>IFERROR(VLOOKUP($A147,집계!$B:$AD,MATCH(J$1,집계!$2:$2,0)-1,FALSE),"")</f>
        <v/>
      </c>
      <c r="K147" s="3" t="str">
        <f>IFERROR(VLOOKUP($A147,집계!$B:$AD,MATCH(K$1,집계!$2:$2,0)-1,FALSE),"")</f>
        <v/>
      </c>
      <c r="L147" s="3" t="str">
        <f>IFERROR(VLOOKUP($A147,집계!$B:$AD,MATCH(L$1,집계!$2:$2,0)-1,FALSE),"")</f>
        <v/>
      </c>
      <c r="M147" s="16" t="str">
        <f>IFERROR(VLOOKUP($A147,집계!$B:$AD,MATCH(M$1,집계!$2:$2,0)-1,FALSE),"")</f>
        <v/>
      </c>
      <c r="N147" s="16" t="str">
        <f>IFERROR(VLOOKUP($A147,집계!$B:$AD,MATCH(N$1,집계!$2:$2,0)-1,FALSE),"")</f>
        <v/>
      </c>
      <c r="O147" s="16" t="str">
        <f>IFERROR(VLOOKUP($A147,집계!$B:$AD,MATCH(O$1,집계!$2:$2,0)-1,FALSE),"")</f>
        <v/>
      </c>
      <c r="P147" s="31" t="str">
        <f>IFERROR(VLOOKUP($A147,집계!$B:$AD,MATCH(P$1,집계!$2:$2,0)-1,FALSE),"")</f>
        <v/>
      </c>
    </row>
    <row r="148" spans="1:16" ht="17.100000000000001" customHeight="1" x14ac:dyDescent="0.35">
      <c r="A148" s="2"/>
      <c r="B148" s="4" t="str">
        <f>IFERROR(VLOOKUP($A148,집계!$B:$AD,MATCH(B$1,집계!$2:$2,0)-1,FALSE),"")</f>
        <v/>
      </c>
      <c r="C148" s="4" t="str">
        <f>IFERROR(VLOOKUP($A148,집계!$B:$AD,MATCH(C$1,집계!$2:$2,0)-1,FALSE),"")</f>
        <v/>
      </c>
      <c r="D148" s="4" t="str">
        <f>IFERROR(VLOOKUP($A148,집계!$B:$AD,MATCH(D$1,집계!$2:$2,0)-1,FALSE),"")</f>
        <v/>
      </c>
      <c r="E148" s="4" t="str">
        <f>IFERROR(VLOOKUP($A148,집계!$B:$AD,MATCH(E$1,집계!$2:$2,0)-1,FALSE),"")</f>
        <v/>
      </c>
      <c r="F148" s="31" t="str">
        <f>IFERROR(VLOOKUP($A148,대상!$B:$AD,MATCH(F$1,대상!$1:$1,0)-1,FALSE),"")</f>
        <v/>
      </c>
      <c r="G148" s="3" t="str">
        <f>IFERROR(VLOOKUP($A148,집계!$B:$AD,MATCH(G$1,집계!$2:$2,0)-1,FALSE),"")</f>
        <v/>
      </c>
      <c r="H148" s="3" t="str">
        <f>IFERROR(VLOOKUP($A148,집계!$B:$AD,MATCH(H$1,집계!$2:$2,0)-1,FALSE),"")</f>
        <v/>
      </c>
      <c r="I148" s="3" t="str">
        <f>IFERROR(VLOOKUP($A148,집계!$B:$AD,MATCH(I$1,집계!$2:$2,0)-1,FALSE),"")</f>
        <v/>
      </c>
      <c r="J148" s="3" t="str">
        <f>IFERROR(VLOOKUP($A148,집계!$B:$AD,MATCH(J$1,집계!$2:$2,0)-1,FALSE),"")</f>
        <v/>
      </c>
      <c r="K148" s="3" t="str">
        <f>IFERROR(VLOOKUP($A148,집계!$B:$AD,MATCH(K$1,집계!$2:$2,0)-1,FALSE),"")</f>
        <v/>
      </c>
      <c r="L148" s="3" t="str">
        <f>IFERROR(VLOOKUP($A148,집계!$B:$AD,MATCH(L$1,집계!$2:$2,0)-1,FALSE),"")</f>
        <v/>
      </c>
      <c r="M148" s="16" t="str">
        <f>IFERROR(VLOOKUP($A148,집계!$B:$AD,MATCH(M$1,집계!$2:$2,0)-1,FALSE),"")</f>
        <v/>
      </c>
      <c r="N148" s="16" t="str">
        <f>IFERROR(VLOOKUP($A148,집계!$B:$AD,MATCH(N$1,집계!$2:$2,0)-1,FALSE),"")</f>
        <v/>
      </c>
      <c r="O148" s="16" t="str">
        <f>IFERROR(VLOOKUP($A148,집계!$B:$AD,MATCH(O$1,집계!$2:$2,0)-1,FALSE),"")</f>
        <v/>
      </c>
      <c r="P148" s="31" t="str">
        <f>IFERROR(VLOOKUP($A148,집계!$B:$AD,MATCH(P$1,집계!$2:$2,0)-1,FALSE),"")</f>
        <v/>
      </c>
    </row>
    <row r="149" spans="1:16" ht="17.100000000000001" customHeight="1" x14ac:dyDescent="0.35">
      <c r="A149" s="2"/>
      <c r="B149" s="4" t="str">
        <f>IFERROR(VLOOKUP($A149,집계!$B:$AD,MATCH(B$1,집계!$2:$2,0)-1,FALSE),"")</f>
        <v/>
      </c>
      <c r="C149" s="4" t="str">
        <f>IFERROR(VLOOKUP($A149,집계!$B:$AD,MATCH(C$1,집계!$2:$2,0)-1,FALSE),"")</f>
        <v/>
      </c>
      <c r="D149" s="4" t="str">
        <f>IFERROR(VLOOKUP($A149,집계!$B:$AD,MATCH(D$1,집계!$2:$2,0)-1,FALSE),"")</f>
        <v/>
      </c>
      <c r="E149" s="4" t="str">
        <f>IFERROR(VLOOKUP($A149,집계!$B:$AD,MATCH(E$1,집계!$2:$2,0)-1,FALSE),"")</f>
        <v/>
      </c>
      <c r="F149" s="31" t="str">
        <f>IFERROR(VLOOKUP($A149,대상!$B:$AD,MATCH(F$1,대상!$1:$1,0)-1,FALSE),"")</f>
        <v/>
      </c>
      <c r="G149" s="3" t="str">
        <f>IFERROR(VLOOKUP($A149,집계!$B:$AD,MATCH(G$1,집계!$2:$2,0)-1,FALSE),"")</f>
        <v/>
      </c>
      <c r="H149" s="3" t="str">
        <f>IFERROR(VLOOKUP($A149,집계!$B:$AD,MATCH(H$1,집계!$2:$2,0)-1,FALSE),"")</f>
        <v/>
      </c>
      <c r="I149" s="3" t="str">
        <f>IFERROR(VLOOKUP($A149,집계!$B:$AD,MATCH(I$1,집계!$2:$2,0)-1,FALSE),"")</f>
        <v/>
      </c>
      <c r="J149" s="3" t="str">
        <f>IFERROR(VLOOKUP($A149,집계!$B:$AD,MATCH(J$1,집계!$2:$2,0)-1,FALSE),"")</f>
        <v/>
      </c>
      <c r="K149" s="3" t="str">
        <f>IFERROR(VLOOKUP($A149,집계!$B:$AD,MATCH(K$1,집계!$2:$2,0)-1,FALSE),"")</f>
        <v/>
      </c>
      <c r="L149" s="3" t="str">
        <f>IFERROR(VLOOKUP($A149,집계!$B:$AD,MATCH(L$1,집계!$2:$2,0)-1,FALSE),"")</f>
        <v/>
      </c>
      <c r="M149" s="16" t="str">
        <f>IFERROR(VLOOKUP($A149,집계!$B:$AD,MATCH(M$1,집계!$2:$2,0)-1,FALSE),"")</f>
        <v/>
      </c>
      <c r="N149" s="16" t="str">
        <f>IFERROR(VLOOKUP($A149,집계!$B:$AD,MATCH(N$1,집계!$2:$2,0)-1,FALSE),"")</f>
        <v/>
      </c>
      <c r="O149" s="16" t="str">
        <f>IFERROR(VLOOKUP($A149,집계!$B:$AD,MATCH(O$1,집계!$2:$2,0)-1,FALSE),"")</f>
        <v/>
      </c>
      <c r="P149" s="31" t="str">
        <f>IFERROR(VLOOKUP($A149,집계!$B:$AD,MATCH(P$1,집계!$2:$2,0)-1,FALSE),"")</f>
        <v/>
      </c>
    </row>
    <row r="150" spans="1:16" ht="17.100000000000001" customHeight="1" x14ac:dyDescent="0.35">
      <c r="A150" s="2"/>
      <c r="B150" s="4" t="str">
        <f>IFERROR(VLOOKUP($A150,집계!$B:$AD,MATCH(B$1,집계!$2:$2,0)-1,FALSE),"")</f>
        <v/>
      </c>
      <c r="C150" s="4" t="str">
        <f>IFERROR(VLOOKUP($A150,집계!$B:$AD,MATCH(C$1,집계!$2:$2,0)-1,FALSE),"")</f>
        <v/>
      </c>
      <c r="D150" s="4" t="str">
        <f>IFERROR(VLOOKUP($A150,집계!$B:$AD,MATCH(D$1,집계!$2:$2,0)-1,FALSE),"")</f>
        <v/>
      </c>
      <c r="E150" s="4" t="str">
        <f>IFERROR(VLOOKUP($A150,집계!$B:$AD,MATCH(E$1,집계!$2:$2,0)-1,FALSE),"")</f>
        <v/>
      </c>
      <c r="F150" s="31" t="str">
        <f>IFERROR(VLOOKUP($A150,대상!$B:$AD,MATCH(F$1,대상!$1:$1,0)-1,FALSE),"")</f>
        <v/>
      </c>
      <c r="G150" s="3" t="str">
        <f>IFERROR(VLOOKUP($A150,집계!$B:$AD,MATCH(G$1,집계!$2:$2,0)-1,FALSE),"")</f>
        <v/>
      </c>
      <c r="H150" s="3" t="str">
        <f>IFERROR(VLOOKUP($A150,집계!$B:$AD,MATCH(H$1,집계!$2:$2,0)-1,FALSE),"")</f>
        <v/>
      </c>
      <c r="I150" s="3" t="str">
        <f>IFERROR(VLOOKUP($A150,집계!$B:$AD,MATCH(I$1,집계!$2:$2,0)-1,FALSE),"")</f>
        <v/>
      </c>
      <c r="J150" s="3" t="str">
        <f>IFERROR(VLOOKUP($A150,집계!$B:$AD,MATCH(J$1,집계!$2:$2,0)-1,FALSE),"")</f>
        <v/>
      </c>
      <c r="K150" s="3" t="str">
        <f>IFERROR(VLOOKUP($A150,집계!$B:$AD,MATCH(K$1,집계!$2:$2,0)-1,FALSE),"")</f>
        <v/>
      </c>
      <c r="L150" s="3" t="str">
        <f>IFERROR(VLOOKUP($A150,집계!$B:$AD,MATCH(L$1,집계!$2:$2,0)-1,FALSE),"")</f>
        <v/>
      </c>
      <c r="M150" s="16" t="str">
        <f>IFERROR(VLOOKUP($A150,집계!$B:$AD,MATCH(M$1,집계!$2:$2,0)-1,FALSE),"")</f>
        <v/>
      </c>
      <c r="N150" s="16" t="str">
        <f>IFERROR(VLOOKUP($A150,집계!$B:$AD,MATCH(N$1,집계!$2:$2,0)-1,FALSE),"")</f>
        <v/>
      </c>
      <c r="O150" s="16" t="str">
        <f>IFERROR(VLOOKUP($A150,집계!$B:$AD,MATCH(O$1,집계!$2:$2,0)-1,FALSE),"")</f>
        <v/>
      </c>
      <c r="P150" s="31" t="str">
        <f>IFERROR(VLOOKUP($A150,집계!$B:$AD,MATCH(P$1,집계!$2:$2,0)-1,FALSE),"")</f>
        <v/>
      </c>
    </row>
    <row r="151" spans="1:16" ht="17.100000000000001" customHeight="1" x14ac:dyDescent="0.35">
      <c r="A151" s="2"/>
      <c r="B151" s="4" t="str">
        <f>IFERROR(VLOOKUP($A151,집계!$B:$AD,MATCH(B$1,집계!$2:$2,0)-1,FALSE),"")</f>
        <v/>
      </c>
      <c r="C151" s="4" t="str">
        <f>IFERROR(VLOOKUP($A151,집계!$B:$AD,MATCH(C$1,집계!$2:$2,0)-1,FALSE),"")</f>
        <v/>
      </c>
      <c r="D151" s="4" t="str">
        <f>IFERROR(VLOOKUP($A151,집계!$B:$AD,MATCH(D$1,집계!$2:$2,0)-1,FALSE),"")</f>
        <v/>
      </c>
      <c r="E151" s="4" t="str">
        <f>IFERROR(VLOOKUP($A151,집계!$B:$AD,MATCH(E$1,집계!$2:$2,0)-1,FALSE),"")</f>
        <v/>
      </c>
      <c r="F151" s="31" t="str">
        <f>IFERROR(VLOOKUP($A151,대상!$B:$AD,MATCH(F$1,대상!$1:$1,0)-1,FALSE),"")</f>
        <v/>
      </c>
      <c r="G151" s="3" t="str">
        <f>IFERROR(VLOOKUP($A151,집계!$B:$AD,MATCH(G$1,집계!$2:$2,0)-1,FALSE),"")</f>
        <v/>
      </c>
      <c r="H151" s="3" t="str">
        <f>IFERROR(VLOOKUP($A151,집계!$B:$AD,MATCH(H$1,집계!$2:$2,0)-1,FALSE),"")</f>
        <v/>
      </c>
      <c r="I151" s="3" t="str">
        <f>IFERROR(VLOOKUP($A151,집계!$B:$AD,MATCH(I$1,집계!$2:$2,0)-1,FALSE),"")</f>
        <v/>
      </c>
      <c r="J151" s="3" t="str">
        <f>IFERROR(VLOOKUP($A151,집계!$B:$AD,MATCH(J$1,집계!$2:$2,0)-1,FALSE),"")</f>
        <v/>
      </c>
      <c r="K151" s="3" t="str">
        <f>IFERROR(VLOOKUP($A151,집계!$B:$AD,MATCH(K$1,집계!$2:$2,0)-1,FALSE),"")</f>
        <v/>
      </c>
      <c r="L151" s="3" t="str">
        <f>IFERROR(VLOOKUP($A151,집계!$B:$AD,MATCH(L$1,집계!$2:$2,0)-1,FALSE),"")</f>
        <v/>
      </c>
      <c r="M151" s="16" t="str">
        <f>IFERROR(VLOOKUP($A151,집계!$B:$AD,MATCH(M$1,집계!$2:$2,0)-1,FALSE),"")</f>
        <v/>
      </c>
      <c r="N151" s="16" t="str">
        <f>IFERROR(VLOOKUP($A151,집계!$B:$AD,MATCH(N$1,집계!$2:$2,0)-1,FALSE),"")</f>
        <v/>
      </c>
      <c r="O151" s="16" t="str">
        <f>IFERROR(VLOOKUP($A151,집계!$B:$AD,MATCH(O$1,집계!$2:$2,0)-1,FALSE),"")</f>
        <v/>
      </c>
      <c r="P151" s="31" t="str">
        <f>IFERROR(VLOOKUP($A151,집계!$B:$AD,MATCH(P$1,집계!$2:$2,0)-1,FALSE),"")</f>
        <v/>
      </c>
    </row>
    <row r="152" spans="1:16" ht="17.100000000000001" customHeight="1" x14ac:dyDescent="0.35">
      <c r="A152" s="2"/>
      <c r="B152" s="4" t="str">
        <f>IFERROR(VLOOKUP($A152,집계!$B:$AD,MATCH(B$1,집계!$2:$2,0)-1,FALSE),"")</f>
        <v/>
      </c>
      <c r="C152" s="4" t="str">
        <f>IFERROR(VLOOKUP($A152,집계!$B:$AD,MATCH(C$1,집계!$2:$2,0)-1,FALSE),"")</f>
        <v/>
      </c>
      <c r="D152" s="4" t="str">
        <f>IFERROR(VLOOKUP($A152,집계!$B:$AD,MATCH(D$1,집계!$2:$2,0)-1,FALSE),"")</f>
        <v/>
      </c>
      <c r="E152" s="4" t="str">
        <f>IFERROR(VLOOKUP($A152,집계!$B:$AD,MATCH(E$1,집계!$2:$2,0)-1,FALSE),"")</f>
        <v/>
      </c>
      <c r="F152" s="31" t="str">
        <f>IFERROR(VLOOKUP($A152,대상!$B:$AD,MATCH(F$1,대상!$1:$1,0)-1,FALSE),"")</f>
        <v/>
      </c>
      <c r="G152" s="3" t="str">
        <f>IFERROR(VLOOKUP($A152,집계!$B:$AD,MATCH(G$1,집계!$2:$2,0)-1,FALSE),"")</f>
        <v/>
      </c>
      <c r="H152" s="3" t="str">
        <f>IFERROR(VLOOKUP($A152,집계!$B:$AD,MATCH(H$1,집계!$2:$2,0)-1,FALSE),"")</f>
        <v/>
      </c>
      <c r="I152" s="3" t="str">
        <f>IFERROR(VLOOKUP($A152,집계!$B:$AD,MATCH(I$1,집계!$2:$2,0)-1,FALSE),"")</f>
        <v/>
      </c>
      <c r="J152" s="3" t="str">
        <f>IFERROR(VLOOKUP($A152,집계!$B:$AD,MATCH(J$1,집계!$2:$2,0)-1,FALSE),"")</f>
        <v/>
      </c>
      <c r="K152" s="3" t="str">
        <f>IFERROR(VLOOKUP($A152,집계!$B:$AD,MATCH(K$1,집계!$2:$2,0)-1,FALSE),"")</f>
        <v/>
      </c>
      <c r="L152" s="3" t="str">
        <f>IFERROR(VLOOKUP($A152,집계!$B:$AD,MATCH(L$1,집계!$2:$2,0)-1,FALSE),"")</f>
        <v/>
      </c>
      <c r="M152" s="16" t="str">
        <f>IFERROR(VLOOKUP($A152,집계!$B:$AD,MATCH(M$1,집계!$2:$2,0)-1,FALSE),"")</f>
        <v/>
      </c>
      <c r="N152" s="16" t="str">
        <f>IFERROR(VLOOKUP($A152,집계!$B:$AD,MATCH(N$1,집계!$2:$2,0)-1,FALSE),"")</f>
        <v/>
      </c>
      <c r="O152" s="16" t="str">
        <f>IFERROR(VLOOKUP($A152,집계!$B:$AD,MATCH(O$1,집계!$2:$2,0)-1,FALSE),"")</f>
        <v/>
      </c>
      <c r="P152" s="31" t="str">
        <f>IFERROR(VLOOKUP($A152,집계!$B:$AD,MATCH(P$1,집계!$2:$2,0)-1,FALSE),"")</f>
        <v/>
      </c>
    </row>
    <row r="153" spans="1:16" ht="17.100000000000001" customHeight="1" x14ac:dyDescent="0.35">
      <c r="A153" s="2"/>
      <c r="B153" s="4" t="str">
        <f>IFERROR(VLOOKUP($A153,집계!$B:$AD,MATCH(B$1,집계!$2:$2,0)-1,FALSE),"")</f>
        <v/>
      </c>
      <c r="C153" s="4" t="str">
        <f>IFERROR(VLOOKUP($A153,집계!$B:$AD,MATCH(C$1,집계!$2:$2,0)-1,FALSE),"")</f>
        <v/>
      </c>
      <c r="D153" s="4" t="str">
        <f>IFERROR(VLOOKUP($A153,집계!$B:$AD,MATCH(D$1,집계!$2:$2,0)-1,FALSE),"")</f>
        <v/>
      </c>
      <c r="E153" s="4" t="str">
        <f>IFERROR(VLOOKUP($A153,집계!$B:$AD,MATCH(E$1,집계!$2:$2,0)-1,FALSE),"")</f>
        <v/>
      </c>
      <c r="F153" s="31" t="str">
        <f>IFERROR(VLOOKUP($A153,대상!$B:$AD,MATCH(F$1,대상!$1:$1,0)-1,FALSE),"")</f>
        <v/>
      </c>
      <c r="G153" s="3" t="str">
        <f>IFERROR(VLOOKUP($A153,집계!$B:$AD,MATCH(G$1,집계!$2:$2,0)-1,FALSE),"")</f>
        <v/>
      </c>
      <c r="H153" s="3" t="str">
        <f>IFERROR(VLOOKUP($A153,집계!$B:$AD,MATCH(H$1,집계!$2:$2,0)-1,FALSE),"")</f>
        <v/>
      </c>
      <c r="I153" s="3" t="str">
        <f>IFERROR(VLOOKUP($A153,집계!$B:$AD,MATCH(I$1,집계!$2:$2,0)-1,FALSE),"")</f>
        <v/>
      </c>
      <c r="J153" s="3" t="str">
        <f>IFERROR(VLOOKUP($A153,집계!$B:$AD,MATCH(J$1,집계!$2:$2,0)-1,FALSE),"")</f>
        <v/>
      </c>
      <c r="K153" s="3" t="str">
        <f>IFERROR(VLOOKUP($A153,집계!$B:$AD,MATCH(K$1,집계!$2:$2,0)-1,FALSE),"")</f>
        <v/>
      </c>
      <c r="L153" s="3" t="str">
        <f>IFERROR(VLOOKUP($A153,집계!$B:$AD,MATCH(L$1,집계!$2:$2,0)-1,FALSE),"")</f>
        <v/>
      </c>
      <c r="M153" s="16" t="str">
        <f>IFERROR(VLOOKUP($A153,집계!$B:$AD,MATCH(M$1,집계!$2:$2,0)-1,FALSE),"")</f>
        <v/>
      </c>
      <c r="N153" s="16" t="str">
        <f>IFERROR(VLOOKUP($A153,집계!$B:$AD,MATCH(N$1,집계!$2:$2,0)-1,FALSE),"")</f>
        <v/>
      </c>
      <c r="O153" s="16" t="str">
        <f>IFERROR(VLOOKUP($A153,집계!$B:$AD,MATCH(O$1,집계!$2:$2,0)-1,FALSE),"")</f>
        <v/>
      </c>
      <c r="P153" s="31" t="str">
        <f>IFERROR(VLOOKUP($A153,집계!$B:$AD,MATCH(P$1,집계!$2:$2,0)-1,FALSE),"")</f>
        <v/>
      </c>
    </row>
    <row r="154" spans="1:16" ht="17.100000000000001" customHeight="1" x14ac:dyDescent="0.35">
      <c r="A154" s="2"/>
      <c r="B154" s="4" t="str">
        <f>IFERROR(VLOOKUP($A154,집계!$B:$AD,MATCH(B$1,집계!$2:$2,0)-1,FALSE),"")</f>
        <v/>
      </c>
      <c r="C154" s="4" t="str">
        <f>IFERROR(VLOOKUP($A154,집계!$B:$AD,MATCH(C$1,집계!$2:$2,0)-1,FALSE),"")</f>
        <v/>
      </c>
      <c r="D154" s="4" t="str">
        <f>IFERROR(VLOOKUP($A154,집계!$B:$AD,MATCH(D$1,집계!$2:$2,0)-1,FALSE),"")</f>
        <v/>
      </c>
      <c r="E154" s="4" t="str">
        <f>IFERROR(VLOOKUP($A154,집계!$B:$AD,MATCH(E$1,집계!$2:$2,0)-1,FALSE),"")</f>
        <v/>
      </c>
      <c r="F154" s="31" t="str">
        <f>IFERROR(VLOOKUP($A154,대상!$B:$AD,MATCH(F$1,대상!$1:$1,0)-1,FALSE),"")</f>
        <v/>
      </c>
      <c r="G154" s="3" t="str">
        <f>IFERROR(VLOOKUP($A154,집계!$B:$AD,MATCH(G$1,집계!$2:$2,0)-1,FALSE),"")</f>
        <v/>
      </c>
      <c r="H154" s="3" t="str">
        <f>IFERROR(VLOOKUP($A154,집계!$B:$AD,MATCH(H$1,집계!$2:$2,0)-1,FALSE),"")</f>
        <v/>
      </c>
      <c r="I154" s="3" t="str">
        <f>IFERROR(VLOOKUP($A154,집계!$B:$AD,MATCH(I$1,집계!$2:$2,0)-1,FALSE),"")</f>
        <v/>
      </c>
      <c r="J154" s="3" t="str">
        <f>IFERROR(VLOOKUP($A154,집계!$B:$AD,MATCH(J$1,집계!$2:$2,0)-1,FALSE),"")</f>
        <v/>
      </c>
      <c r="K154" s="3" t="str">
        <f>IFERROR(VLOOKUP($A154,집계!$B:$AD,MATCH(K$1,집계!$2:$2,0)-1,FALSE),"")</f>
        <v/>
      </c>
      <c r="L154" s="3" t="str">
        <f>IFERROR(VLOOKUP($A154,집계!$B:$AD,MATCH(L$1,집계!$2:$2,0)-1,FALSE),"")</f>
        <v/>
      </c>
      <c r="M154" s="16" t="str">
        <f>IFERROR(VLOOKUP($A154,집계!$B:$AD,MATCH(M$1,집계!$2:$2,0)-1,FALSE),"")</f>
        <v/>
      </c>
      <c r="N154" s="16" t="str">
        <f>IFERROR(VLOOKUP($A154,집계!$B:$AD,MATCH(N$1,집계!$2:$2,0)-1,FALSE),"")</f>
        <v/>
      </c>
      <c r="O154" s="16" t="str">
        <f>IFERROR(VLOOKUP($A154,집계!$B:$AD,MATCH(O$1,집계!$2:$2,0)-1,FALSE),"")</f>
        <v/>
      </c>
      <c r="P154" s="31" t="str">
        <f>IFERROR(VLOOKUP($A154,집계!$B:$AD,MATCH(P$1,집계!$2:$2,0)-1,FALSE),"")</f>
        <v/>
      </c>
    </row>
    <row r="155" spans="1:16" ht="17.100000000000001" customHeight="1" x14ac:dyDescent="0.35">
      <c r="A155" s="2"/>
      <c r="B155" s="4" t="str">
        <f>IFERROR(VLOOKUP($A155,집계!$B:$AD,MATCH(B$1,집계!$2:$2,0)-1,FALSE),"")</f>
        <v/>
      </c>
      <c r="C155" s="4" t="str">
        <f>IFERROR(VLOOKUP($A155,집계!$B:$AD,MATCH(C$1,집계!$2:$2,0)-1,FALSE),"")</f>
        <v/>
      </c>
      <c r="D155" s="4" t="str">
        <f>IFERROR(VLOOKUP($A155,집계!$B:$AD,MATCH(D$1,집계!$2:$2,0)-1,FALSE),"")</f>
        <v/>
      </c>
      <c r="E155" s="4" t="str">
        <f>IFERROR(VLOOKUP($A155,집계!$B:$AD,MATCH(E$1,집계!$2:$2,0)-1,FALSE),"")</f>
        <v/>
      </c>
      <c r="F155" s="31" t="str">
        <f>IFERROR(VLOOKUP($A155,대상!$B:$AD,MATCH(F$1,대상!$1:$1,0)-1,FALSE),"")</f>
        <v/>
      </c>
      <c r="G155" s="3" t="str">
        <f>IFERROR(VLOOKUP($A155,집계!$B:$AD,MATCH(G$1,집계!$2:$2,0)-1,FALSE),"")</f>
        <v/>
      </c>
      <c r="H155" s="3" t="str">
        <f>IFERROR(VLOOKUP($A155,집계!$B:$AD,MATCH(H$1,집계!$2:$2,0)-1,FALSE),"")</f>
        <v/>
      </c>
      <c r="I155" s="3" t="str">
        <f>IFERROR(VLOOKUP($A155,집계!$B:$AD,MATCH(I$1,집계!$2:$2,0)-1,FALSE),"")</f>
        <v/>
      </c>
      <c r="J155" s="3" t="str">
        <f>IFERROR(VLOOKUP($A155,집계!$B:$AD,MATCH(J$1,집계!$2:$2,0)-1,FALSE),"")</f>
        <v/>
      </c>
      <c r="K155" s="3" t="str">
        <f>IFERROR(VLOOKUP($A155,집계!$B:$AD,MATCH(K$1,집계!$2:$2,0)-1,FALSE),"")</f>
        <v/>
      </c>
      <c r="L155" s="3" t="str">
        <f>IFERROR(VLOOKUP($A155,집계!$B:$AD,MATCH(L$1,집계!$2:$2,0)-1,FALSE),"")</f>
        <v/>
      </c>
      <c r="M155" s="16" t="str">
        <f>IFERROR(VLOOKUP($A155,집계!$B:$AD,MATCH(M$1,집계!$2:$2,0)-1,FALSE),"")</f>
        <v/>
      </c>
      <c r="N155" s="16" t="str">
        <f>IFERROR(VLOOKUP($A155,집계!$B:$AD,MATCH(N$1,집계!$2:$2,0)-1,FALSE),"")</f>
        <v/>
      </c>
      <c r="O155" s="16" t="str">
        <f>IFERROR(VLOOKUP($A155,집계!$B:$AD,MATCH(O$1,집계!$2:$2,0)-1,FALSE),"")</f>
        <v/>
      </c>
      <c r="P155" s="31" t="str">
        <f>IFERROR(VLOOKUP($A155,집계!$B:$AD,MATCH(P$1,집계!$2:$2,0)-1,FALSE),"")</f>
        <v/>
      </c>
    </row>
    <row r="156" spans="1:16" ht="17.100000000000001" customHeight="1" x14ac:dyDescent="0.35">
      <c r="A156" s="2"/>
      <c r="B156" s="4" t="str">
        <f>IFERROR(VLOOKUP($A156,집계!$B:$AD,MATCH(B$1,집계!$2:$2,0)-1,FALSE),"")</f>
        <v/>
      </c>
      <c r="C156" s="4" t="str">
        <f>IFERROR(VLOOKUP($A156,집계!$B:$AD,MATCH(C$1,집계!$2:$2,0)-1,FALSE),"")</f>
        <v/>
      </c>
      <c r="D156" s="4" t="str">
        <f>IFERROR(VLOOKUP($A156,집계!$B:$AD,MATCH(D$1,집계!$2:$2,0)-1,FALSE),"")</f>
        <v/>
      </c>
      <c r="E156" s="4" t="str">
        <f>IFERROR(VLOOKUP($A156,집계!$B:$AD,MATCH(E$1,집계!$2:$2,0)-1,FALSE),"")</f>
        <v/>
      </c>
      <c r="F156" s="31" t="str">
        <f>IFERROR(VLOOKUP($A156,대상!$B:$AD,MATCH(F$1,대상!$1:$1,0)-1,FALSE),"")</f>
        <v/>
      </c>
      <c r="G156" s="3" t="str">
        <f>IFERROR(VLOOKUP($A156,집계!$B:$AD,MATCH(G$1,집계!$2:$2,0)-1,FALSE),"")</f>
        <v/>
      </c>
      <c r="H156" s="3" t="str">
        <f>IFERROR(VLOOKUP($A156,집계!$B:$AD,MATCH(H$1,집계!$2:$2,0)-1,FALSE),"")</f>
        <v/>
      </c>
      <c r="I156" s="3" t="str">
        <f>IFERROR(VLOOKUP($A156,집계!$B:$AD,MATCH(I$1,집계!$2:$2,0)-1,FALSE),"")</f>
        <v/>
      </c>
      <c r="J156" s="3" t="str">
        <f>IFERROR(VLOOKUP($A156,집계!$B:$AD,MATCH(J$1,집계!$2:$2,0)-1,FALSE),"")</f>
        <v/>
      </c>
      <c r="K156" s="3" t="str">
        <f>IFERROR(VLOOKUP($A156,집계!$B:$AD,MATCH(K$1,집계!$2:$2,0)-1,FALSE),"")</f>
        <v/>
      </c>
      <c r="L156" s="3" t="str">
        <f>IFERROR(VLOOKUP($A156,집계!$B:$AD,MATCH(L$1,집계!$2:$2,0)-1,FALSE),"")</f>
        <v/>
      </c>
      <c r="M156" s="16" t="str">
        <f>IFERROR(VLOOKUP($A156,집계!$B:$AD,MATCH(M$1,집계!$2:$2,0)-1,FALSE),"")</f>
        <v/>
      </c>
      <c r="N156" s="16" t="str">
        <f>IFERROR(VLOOKUP($A156,집계!$B:$AD,MATCH(N$1,집계!$2:$2,0)-1,FALSE),"")</f>
        <v/>
      </c>
      <c r="O156" s="16" t="str">
        <f>IFERROR(VLOOKUP($A156,집계!$B:$AD,MATCH(O$1,집계!$2:$2,0)-1,FALSE),"")</f>
        <v/>
      </c>
      <c r="P156" s="31" t="str">
        <f>IFERROR(VLOOKUP($A156,집계!$B:$AD,MATCH(P$1,집계!$2:$2,0)-1,FALSE),"")</f>
        <v/>
      </c>
    </row>
    <row r="157" spans="1:16" ht="17.100000000000001" customHeight="1" x14ac:dyDescent="0.35">
      <c r="A157" s="2"/>
      <c r="B157" s="4" t="str">
        <f>IFERROR(VLOOKUP($A157,집계!$B:$AD,MATCH(B$1,집계!$2:$2,0)-1,FALSE),"")</f>
        <v/>
      </c>
      <c r="C157" s="4" t="str">
        <f>IFERROR(VLOOKUP($A157,집계!$B:$AD,MATCH(C$1,집계!$2:$2,0)-1,FALSE),"")</f>
        <v/>
      </c>
      <c r="D157" s="4" t="str">
        <f>IFERROR(VLOOKUP($A157,집계!$B:$AD,MATCH(D$1,집계!$2:$2,0)-1,FALSE),"")</f>
        <v/>
      </c>
      <c r="E157" s="4" t="str">
        <f>IFERROR(VLOOKUP($A157,집계!$B:$AD,MATCH(E$1,집계!$2:$2,0)-1,FALSE),"")</f>
        <v/>
      </c>
      <c r="F157" s="31" t="str">
        <f>IFERROR(VLOOKUP($A157,대상!$B:$AD,MATCH(F$1,대상!$1:$1,0)-1,FALSE),"")</f>
        <v/>
      </c>
      <c r="G157" s="3" t="str">
        <f>IFERROR(VLOOKUP($A157,집계!$B:$AD,MATCH(G$1,집계!$2:$2,0)-1,FALSE),"")</f>
        <v/>
      </c>
      <c r="H157" s="3" t="str">
        <f>IFERROR(VLOOKUP($A157,집계!$B:$AD,MATCH(H$1,집계!$2:$2,0)-1,FALSE),"")</f>
        <v/>
      </c>
      <c r="I157" s="3" t="str">
        <f>IFERROR(VLOOKUP($A157,집계!$B:$AD,MATCH(I$1,집계!$2:$2,0)-1,FALSE),"")</f>
        <v/>
      </c>
      <c r="J157" s="3" t="str">
        <f>IFERROR(VLOOKUP($A157,집계!$B:$AD,MATCH(J$1,집계!$2:$2,0)-1,FALSE),"")</f>
        <v/>
      </c>
      <c r="K157" s="3" t="str">
        <f>IFERROR(VLOOKUP($A157,집계!$B:$AD,MATCH(K$1,집계!$2:$2,0)-1,FALSE),"")</f>
        <v/>
      </c>
      <c r="L157" s="3" t="str">
        <f>IFERROR(VLOOKUP($A157,집계!$B:$AD,MATCH(L$1,집계!$2:$2,0)-1,FALSE),"")</f>
        <v/>
      </c>
      <c r="M157" s="16" t="str">
        <f>IFERROR(VLOOKUP($A157,집계!$B:$AD,MATCH(M$1,집계!$2:$2,0)-1,FALSE),"")</f>
        <v/>
      </c>
      <c r="N157" s="16" t="str">
        <f>IFERROR(VLOOKUP($A157,집계!$B:$AD,MATCH(N$1,집계!$2:$2,0)-1,FALSE),"")</f>
        <v/>
      </c>
      <c r="O157" s="16" t="str">
        <f>IFERROR(VLOOKUP($A157,집계!$B:$AD,MATCH(O$1,집계!$2:$2,0)-1,FALSE),"")</f>
        <v/>
      </c>
      <c r="P157" s="31" t="str">
        <f>IFERROR(VLOOKUP($A157,집계!$B:$AD,MATCH(P$1,집계!$2:$2,0)-1,FALSE),"")</f>
        <v/>
      </c>
    </row>
    <row r="158" spans="1:16" ht="17.100000000000001" customHeight="1" x14ac:dyDescent="0.35">
      <c r="A158" s="2"/>
      <c r="B158" s="4" t="str">
        <f>IFERROR(VLOOKUP($A158,집계!$B:$AD,MATCH(B$1,집계!$2:$2,0)-1,FALSE),"")</f>
        <v/>
      </c>
      <c r="C158" s="4" t="str">
        <f>IFERROR(VLOOKUP($A158,집계!$B:$AD,MATCH(C$1,집계!$2:$2,0)-1,FALSE),"")</f>
        <v/>
      </c>
      <c r="D158" s="4" t="str">
        <f>IFERROR(VLOOKUP($A158,집계!$B:$AD,MATCH(D$1,집계!$2:$2,0)-1,FALSE),"")</f>
        <v/>
      </c>
      <c r="E158" s="4" t="str">
        <f>IFERROR(VLOOKUP($A158,집계!$B:$AD,MATCH(E$1,집계!$2:$2,0)-1,FALSE),"")</f>
        <v/>
      </c>
      <c r="F158" s="31" t="str">
        <f>IFERROR(VLOOKUP($A158,대상!$B:$AD,MATCH(F$1,대상!$1:$1,0)-1,FALSE),"")</f>
        <v/>
      </c>
      <c r="G158" s="3" t="str">
        <f>IFERROR(VLOOKUP($A158,집계!$B:$AD,MATCH(G$1,집계!$2:$2,0)-1,FALSE),"")</f>
        <v/>
      </c>
      <c r="H158" s="3" t="str">
        <f>IFERROR(VLOOKUP($A158,집계!$B:$AD,MATCH(H$1,집계!$2:$2,0)-1,FALSE),"")</f>
        <v/>
      </c>
      <c r="I158" s="3" t="str">
        <f>IFERROR(VLOOKUP($A158,집계!$B:$AD,MATCH(I$1,집계!$2:$2,0)-1,FALSE),"")</f>
        <v/>
      </c>
      <c r="J158" s="3" t="str">
        <f>IFERROR(VLOOKUP($A158,집계!$B:$AD,MATCH(J$1,집계!$2:$2,0)-1,FALSE),"")</f>
        <v/>
      </c>
      <c r="K158" s="3" t="str">
        <f>IFERROR(VLOOKUP($A158,집계!$B:$AD,MATCH(K$1,집계!$2:$2,0)-1,FALSE),"")</f>
        <v/>
      </c>
      <c r="L158" s="3" t="str">
        <f>IFERROR(VLOOKUP($A158,집계!$B:$AD,MATCH(L$1,집계!$2:$2,0)-1,FALSE),"")</f>
        <v/>
      </c>
      <c r="M158" s="16" t="str">
        <f>IFERROR(VLOOKUP($A158,집계!$B:$AD,MATCH(M$1,집계!$2:$2,0)-1,FALSE),"")</f>
        <v/>
      </c>
      <c r="N158" s="16" t="str">
        <f>IFERROR(VLOOKUP($A158,집계!$B:$AD,MATCH(N$1,집계!$2:$2,0)-1,FALSE),"")</f>
        <v/>
      </c>
      <c r="O158" s="16" t="str">
        <f>IFERROR(VLOOKUP($A158,집계!$B:$AD,MATCH(O$1,집계!$2:$2,0)-1,FALSE),"")</f>
        <v/>
      </c>
      <c r="P158" s="31" t="str">
        <f>IFERROR(VLOOKUP($A158,집계!$B:$AD,MATCH(P$1,집계!$2:$2,0)-1,FALSE),"")</f>
        <v/>
      </c>
    </row>
    <row r="159" spans="1:16" ht="17.100000000000001" customHeight="1" x14ac:dyDescent="0.35">
      <c r="A159" s="2"/>
      <c r="B159" s="4" t="str">
        <f>IFERROR(VLOOKUP($A159,집계!$B:$AD,MATCH(B$1,집계!$2:$2,0)-1,FALSE),"")</f>
        <v/>
      </c>
      <c r="C159" s="4" t="str">
        <f>IFERROR(VLOOKUP($A159,집계!$B:$AD,MATCH(C$1,집계!$2:$2,0)-1,FALSE),"")</f>
        <v/>
      </c>
      <c r="D159" s="4" t="str">
        <f>IFERROR(VLOOKUP($A159,집계!$B:$AD,MATCH(D$1,집계!$2:$2,0)-1,FALSE),"")</f>
        <v/>
      </c>
      <c r="E159" s="4" t="str">
        <f>IFERROR(VLOOKUP($A159,집계!$B:$AD,MATCH(E$1,집계!$2:$2,0)-1,FALSE),"")</f>
        <v/>
      </c>
      <c r="F159" s="31" t="str">
        <f>IFERROR(VLOOKUP($A159,대상!$B:$AD,MATCH(F$1,대상!$1:$1,0)-1,FALSE),"")</f>
        <v/>
      </c>
      <c r="G159" s="3" t="str">
        <f>IFERROR(VLOOKUP($A159,집계!$B:$AD,MATCH(G$1,집계!$2:$2,0)-1,FALSE),"")</f>
        <v/>
      </c>
      <c r="H159" s="3" t="str">
        <f>IFERROR(VLOOKUP($A159,집계!$B:$AD,MATCH(H$1,집계!$2:$2,0)-1,FALSE),"")</f>
        <v/>
      </c>
      <c r="I159" s="3" t="str">
        <f>IFERROR(VLOOKUP($A159,집계!$B:$AD,MATCH(I$1,집계!$2:$2,0)-1,FALSE),"")</f>
        <v/>
      </c>
      <c r="J159" s="3" t="str">
        <f>IFERROR(VLOOKUP($A159,집계!$B:$AD,MATCH(J$1,집계!$2:$2,0)-1,FALSE),"")</f>
        <v/>
      </c>
      <c r="K159" s="3" t="str">
        <f>IFERROR(VLOOKUP($A159,집계!$B:$AD,MATCH(K$1,집계!$2:$2,0)-1,FALSE),"")</f>
        <v/>
      </c>
      <c r="L159" s="3" t="str">
        <f>IFERROR(VLOOKUP($A159,집계!$B:$AD,MATCH(L$1,집계!$2:$2,0)-1,FALSE),"")</f>
        <v/>
      </c>
      <c r="M159" s="16" t="str">
        <f>IFERROR(VLOOKUP($A159,집계!$B:$AD,MATCH(M$1,집계!$2:$2,0)-1,FALSE),"")</f>
        <v/>
      </c>
      <c r="N159" s="16" t="str">
        <f>IFERROR(VLOOKUP($A159,집계!$B:$AD,MATCH(N$1,집계!$2:$2,0)-1,FALSE),"")</f>
        <v/>
      </c>
      <c r="O159" s="16" t="str">
        <f>IFERROR(VLOOKUP($A159,집계!$B:$AD,MATCH(O$1,집계!$2:$2,0)-1,FALSE),"")</f>
        <v/>
      </c>
      <c r="P159" s="31" t="str">
        <f>IFERROR(VLOOKUP($A159,집계!$B:$AD,MATCH(P$1,집계!$2:$2,0)-1,FALSE),"")</f>
        <v/>
      </c>
    </row>
    <row r="160" spans="1:16" ht="17.100000000000001" customHeight="1" x14ac:dyDescent="0.35">
      <c r="A160" s="2"/>
      <c r="B160" s="4" t="str">
        <f>IFERROR(VLOOKUP($A160,집계!$B:$AD,MATCH(B$1,집계!$2:$2,0)-1,FALSE),"")</f>
        <v/>
      </c>
      <c r="C160" s="4" t="str">
        <f>IFERROR(VLOOKUP($A160,집계!$B:$AD,MATCH(C$1,집계!$2:$2,0)-1,FALSE),"")</f>
        <v/>
      </c>
      <c r="D160" s="4" t="str">
        <f>IFERROR(VLOOKUP($A160,집계!$B:$AD,MATCH(D$1,집계!$2:$2,0)-1,FALSE),"")</f>
        <v/>
      </c>
      <c r="E160" s="4" t="str">
        <f>IFERROR(VLOOKUP($A160,집계!$B:$AD,MATCH(E$1,집계!$2:$2,0)-1,FALSE),"")</f>
        <v/>
      </c>
      <c r="F160" s="31" t="str">
        <f>IFERROR(VLOOKUP($A160,대상!$B:$AD,MATCH(F$1,대상!$1:$1,0)-1,FALSE),"")</f>
        <v/>
      </c>
      <c r="G160" s="3" t="str">
        <f>IFERROR(VLOOKUP($A160,집계!$B:$AD,MATCH(G$1,집계!$2:$2,0)-1,FALSE),"")</f>
        <v/>
      </c>
      <c r="H160" s="3" t="str">
        <f>IFERROR(VLOOKUP($A160,집계!$B:$AD,MATCH(H$1,집계!$2:$2,0)-1,FALSE),"")</f>
        <v/>
      </c>
      <c r="I160" s="3" t="str">
        <f>IFERROR(VLOOKUP($A160,집계!$B:$AD,MATCH(I$1,집계!$2:$2,0)-1,FALSE),"")</f>
        <v/>
      </c>
      <c r="J160" s="3" t="str">
        <f>IFERROR(VLOOKUP($A160,집계!$B:$AD,MATCH(J$1,집계!$2:$2,0)-1,FALSE),"")</f>
        <v/>
      </c>
      <c r="K160" s="3" t="str">
        <f>IFERROR(VLOOKUP($A160,집계!$B:$AD,MATCH(K$1,집계!$2:$2,0)-1,FALSE),"")</f>
        <v/>
      </c>
      <c r="L160" s="3" t="str">
        <f>IFERROR(VLOOKUP($A160,집계!$B:$AD,MATCH(L$1,집계!$2:$2,0)-1,FALSE),"")</f>
        <v/>
      </c>
      <c r="M160" s="16" t="str">
        <f>IFERROR(VLOOKUP($A160,집계!$B:$AD,MATCH(M$1,집계!$2:$2,0)-1,FALSE),"")</f>
        <v/>
      </c>
      <c r="N160" s="16" t="str">
        <f>IFERROR(VLOOKUP($A160,집계!$B:$AD,MATCH(N$1,집계!$2:$2,0)-1,FALSE),"")</f>
        <v/>
      </c>
      <c r="O160" s="16" t="str">
        <f>IFERROR(VLOOKUP($A160,집계!$B:$AD,MATCH(O$1,집계!$2:$2,0)-1,FALSE),"")</f>
        <v/>
      </c>
      <c r="P160" s="31" t="str">
        <f>IFERROR(VLOOKUP($A160,집계!$B:$AD,MATCH(P$1,집계!$2:$2,0)-1,FALSE),"")</f>
        <v/>
      </c>
    </row>
    <row r="161" spans="1:16" ht="17.100000000000001" customHeight="1" x14ac:dyDescent="0.35">
      <c r="A161" s="2"/>
      <c r="B161" s="4" t="str">
        <f>IFERROR(VLOOKUP($A161,집계!$B:$AD,MATCH(B$1,집계!$2:$2,0)-1,FALSE),"")</f>
        <v/>
      </c>
      <c r="C161" s="4" t="str">
        <f>IFERROR(VLOOKUP($A161,집계!$B:$AD,MATCH(C$1,집계!$2:$2,0)-1,FALSE),"")</f>
        <v/>
      </c>
      <c r="D161" s="4" t="str">
        <f>IFERROR(VLOOKUP($A161,집계!$B:$AD,MATCH(D$1,집계!$2:$2,0)-1,FALSE),"")</f>
        <v/>
      </c>
      <c r="E161" s="4" t="str">
        <f>IFERROR(VLOOKUP($A161,집계!$B:$AD,MATCH(E$1,집계!$2:$2,0)-1,FALSE),"")</f>
        <v/>
      </c>
      <c r="F161" s="31" t="str">
        <f>IFERROR(VLOOKUP($A161,대상!$B:$AD,MATCH(F$1,대상!$1:$1,0)-1,FALSE),"")</f>
        <v/>
      </c>
      <c r="G161" s="3" t="str">
        <f>IFERROR(VLOOKUP($A161,집계!$B:$AD,MATCH(G$1,집계!$2:$2,0)-1,FALSE),"")</f>
        <v/>
      </c>
      <c r="H161" s="3" t="str">
        <f>IFERROR(VLOOKUP($A161,집계!$B:$AD,MATCH(H$1,집계!$2:$2,0)-1,FALSE),"")</f>
        <v/>
      </c>
      <c r="I161" s="3" t="str">
        <f>IFERROR(VLOOKUP($A161,집계!$B:$AD,MATCH(I$1,집계!$2:$2,0)-1,FALSE),"")</f>
        <v/>
      </c>
      <c r="J161" s="3" t="str">
        <f>IFERROR(VLOOKUP($A161,집계!$B:$AD,MATCH(J$1,집계!$2:$2,0)-1,FALSE),"")</f>
        <v/>
      </c>
      <c r="K161" s="3" t="str">
        <f>IFERROR(VLOOKUP($A161,집계!$B:$AD,MATCH(K$1,집계!$2:$2,0)-1,FALSE),"")</f>
        <v/>
      </c>
      <c r="L161" s="3" t="str">
        <f>IFERROR(VLOOKUP($A161,집계!$B:$AD,MATCH(L$1,집계!$2:$2,0)-1,FALSE),"")</f>
        <v/>
      </c>
      <c r="M161" s="16" t="str">
        <f>IFERROR(VLOOKUP($A161,집계!$B:$AD,MATCH(M$1,집계!$2:$2,0)-1,FALSE),"")</f>
        <v/>
      </c>
      <c r="N161" s="16" t="str">
        <f>IFERROR(VLOOKUP($A161,집계!$B:$AD,MATCH(N$1,집계!$2:$2,0)-1,FALSE),"")</f>
        <v/>
      </c>
      <c r="O161" s="16" t="str">
        <f>IFERROR(VLOOKUP($A161,집계!$B:$AD,MATCH(O$1,집계!$2:$2,0)-1,FALSE),"")</f>
        <v/>
      </c>
      <c r="P161" s="31" t="str">
        <f>IFERROR(VLOOKUP($A161,집계!$B:$AD,MATCH(P$1,집계!$2:$2,0)-1,FALSE),"")</f>
        <v/>
      </c>
    </row>
    <row r="162" spans="1:16" ht="17.100000000000001" customHeight="1" x14ac:dyDescent="0.35">
      <c r="A162" s="2"/>
      <c r="B162" s="4" t="str">
        <f>IFERROR(VLOOKUP($A162,집계!$B:$AD,MATCH(B$1,집계!$2:$2,0)-1,FALSE),"")</f>
        <v/>
      </c>
      <c r="C162" s="4" t="str">
        <f>IFERROR(VLOOKUP($A162,집계!$B:$AD,MATCH(C$1,집계!$2:$2,0)-1,FALSE),"")</f>
        <v/>
      </c>
      <c r="D162" s="4" t="str">
        <f>IFERROR(VLOOKUP($A162,집계!$B:$AD,MATCH(D$1,집계!$2:$2,0)-1,FALSE),"")</f>
        <v/>
      </c>
      <c r="E162" s="4" t="str">
        <f>IFERROR(VLOOKUP($A162,집계!$B:$AD,MATCH(E$1,집계!$2:$2,0)-1,FALSE),"")</f>
        <v/>
      </c>
      <c r="F162" s="31" t="str">
        <f>IFERROR(VLOOKUP($A162,대상!$B:$AD,MATCH(F$1,대상!$1:$1,0)-1,FALSE),"")</f>
        <v/>
      </c>
      <c r="G162" s="3" t="str">
        <f>IFERROR(VLOOKUP($A162,집계!$B:$AD,MATCH(G$1,집계!$2:$2,0)-1,FALSE),"")</f>
        <v/>
      </c>
      <c r="H162" s="3" t="str">
        <f>IFERROR(VLOOKUP($A162,집계!$B:$AD,MATCH(H$1,집계!$2:$2,0)-1,FALSE),"")</f>
        <v/>
      </c>
      <c r="I162" s="3" t="str">
        <f>IFERROR(VLOOKUP($A162,집계!$B:$AD,MATCH(I$1,집계!$2:$2,0)-1,FALSE),"")</f>
        <v/>
      </c>
      <c r="J162" s="3" t="str">
        <f>IFERROR(VLOOKUP($A162,집계!$B:$AD,MATCH(J$1,집계!$2:$2,0)-1,FALSE),"")</f>
        <v/>
      </c>
      <c r="K162" s="3" t="str">
        <f>IFERROR(VLOOKUP($A162,집계!$B:$AD,MATCH(K$1,집계!$2:$2,0)-1,FALSE),"")</f>
        <v/>
      </c>
      <c r="L162" s="3" t="str">
        <f>IFERROR(VLOOKUP($A162,집계!$B:$AD,MATCH(L$1,집계!$2:$2,0)-1,FALSE),"")</f>
        <v/>
      </c>
      <c r="M162" s="16" t="str">
        <f>IFERROR(VLOOKUP($A162,집계!$B:$AD,MATCH(M$1,집계!$2:$2,0)-1,FALSE),"")</f>
        <v/>
      </c>
      <c r="N162" s="16" t="str">
        <f>IFERROR(VLOOKUP($A162,집계!$B:$AD,MATCH(N$1,집계!$2:$2,0)-1,FALSE),"")</f>
        <v/>
      </c>
      <c r="O162" s="16" t="str">
        <f>IFERROR(VLOOKUP($A162,집계!$B:$AD,MATCH(O$1,집계!$2:$2,0)-1,FALSE),"")</f>
        <v/>
      </c>
      <c r="P162" s="31" t="str">
        <f>IFERROR(VLOOKUP($A162,집계!$B:$AD,MATCH(P$1,집계!$2:$2,0)-1,FALSE),"")</f>
        <v/>
      </c>
    </row>
    <row r="163" spans="1:16" ht="17.100000000000001" customHeight="1" x14ac:dyDescent="0.35">
      <c r="A163" s="2"/>
      <c r="B163" s="4" t="str">
        <f>IFERROR(VLOOKUP($A163,집계!$B:$AD,MATCH(B$1,집계!$2:$2,0)-1,FALSE),"")</f>
        <v/>
      </c>
      <c r="C163" s="4" t="str">
        <f>IFERROR(VLOOKUP($A163,집계!$B:$AD,MATCH(C$1,집계!$2:$2,0)-1,FALSE),"")</f>
        <v/>
      </c>
      <c r="D163" s="4" t="str">
        <f>IFERROR(VLOOKUP($A163,집계!$B:$AD,MATCH(D$1,집계!$2:$2,0)-1,FALSE),"")</f>
        <v/>
      </c>
      <c r="E163" s="4" t="str">
        <f>IFERROR(VLOOKUP($A163,집계!$B:$AD,MATCH(E$1,집계!$2:$2,0)-1,FALSE),"")</f>
        <v/>
      </c>
      <c r="F163" s="31" t="str">
        <f>IFERROR(VLOOKUP($A163,대상!$B:$AD,MATCH(F$1,대상!$1:$1,0)-1,FALSE),"")</f>
        <v/>
      </c>
      <c r="G163" s="3" t="str">
        <f>IFERROR(VLOOKUP($A163,집계!$B:$AD,MATCH(G$1,집계!$2:$2,0)-1,FALSE),"")</f>
        <v/>
      </c>
      <c r="H163" s="3" t="str">
        <f>IFERROR(VLOOKUP($A163,집계!$B:$AD,MATCH(H$1,집계!$2:$2,0)-1,FALSE),"")</f>
        <v/>
      </c>
      <c r="I163" s="3" t="str">
        <f>IFERROR(VLOOKUP($A163,집계!$B:$AD,MATCH(I$1,집계!$2:$2,0)-1,FALSE),"")</f>
        <v/>
      </c>
      <c r="J163" s="3" t="str">
        <f>IFERROR(VLOOKUP($A163,집계!$B:$AD,MATCH(J$1,집계!$2:$2,0)-1,FALSE),"")</f>
        <v/>
      </c>
      <c r="K163" s="3" t="str">
        <f>IFERROR(VLOOKUP($A163,집계!$B:$AD,MATCH(K$1,집계!$2:$2,0)-1,FALSE),"")</f>
        <v/>
      </c>
      <c r="L163" s="3" t="str">
        <f>IFERROR(VLOOKUP($A163,집계!$B:$AD,MATCH(L$1,집계!$2:$2,0)-1,FALSE),"")</f>
        <v/>
      </c>
      <c r="M163" s="16" t="str">
        <f>IFERROR(VLOOKUP($A163,집계!$B:$AD,MATCH(M$1,집계!$2:$2,0)-1,FALSE),"")</f>
        <v/>
      </c>
      <c r="N163" s="16" t="str">
        <f>IFERROR(VLOOKUP($A163,집계!$B:$AD,MATCH(N$1,집계!$2:$2,0)-1,FALSE),"")</f>
        <v/>
      </c>
      <c r="O163" s="16" t="str">
        <f>IFERROR(VLOOKUP($A163,집계!$B:$AD,MATCH(O$1,집계!$2:$2,0)-1,FALSE),"")</f>
        <v/>
      </c>
      <c r="P163" s="31" t="str">
        <f>IFERROR(VLOOKUP($A163,집계!$B:$AD,MATCH(P$1,집계!$2:$2,0)-1,FALSE),"")</f>
        <v/>
      </c>
    </row>
    <row r="164" spans="1:16" ht="17.100000000000001" customHeight="1" x14ac:dyDescent="0.35">
      <c r="A164" s="2"/>
      <c r="B164" s="4" t="str">
        <f>IFERROR(VLOOKUP($A164,집계!$B:$AD,MATCH(B$1,집계!$2:$2,0)-1,FALSE),"")</f>
        <v/>
      </c>
      <c r="C164" s="4" t="str">
        <f>IFERROR(VLOOKUP($A164,집계!$B:$AD,MATCH(C$1,집계!$2:$2,0)-1,FALSE),"")</f>
        <v/>
      </c>
      <c r="D164" s="4" t="str">
        <f>IFERROR(VLOOKUP($A164,집계!$B:$AD,MATCH(D$1,집계!$2:$2,0)-1,FALSE),"")</f>
        <v/>
      </c>
      <c r="E164" s="4" t="str">
        <f>IFERROR(VLOOKUP($A164,집계!$B:$AD,MATCH(E$1,집계!$2:$2,0)-1,FALSE),"")</f>
        <v/>
      </c>
      <c r="F164" s="31" t="str">
        <f>IFERROR(VLOOKUP($A164,대상!$B:$AD,MATCH(F$1,대상!$1:$1,0)-1,FALSE),"")</f>
        <v/>
      </c>
      <c r="G164" s="3" t="str">
        <f>IFERROR(VLOOKUP($A164,집계!$B:$AD,MATCH(G$1,집계!$2:$2,0)-1,FALSE),"")</f>
        <v/>
      </c>
      <c r="H164" s="3" t="str">
        <f>IFERROR(VLOOKUP($A164,집계!$B:$AD,MATCH(H$1,집계!$2:$2,0)-1,FALSE),"")</f>
        <v/>
      </c>
      <c r="I164" s="3" t="str">
        <f>IFERROR(VLOOKUP($A164,집계!$B:$AD,MATCH(I$1,집계!$2:$2,0)-1,FALSE),"")</f>
        <v/>
      </c>
      <c r="J164" s="3" t="str">
        <f>IFERROR(VLOOKUP($A164,집계!$B:$AD,MATCH(J$1,집계!$2:$2,0)-1,FALSE),"")</f>
        <v/>
      </c>
      <c r="K164" s="3" t="str">
        <f>IFERROR(VLOOKUP($A164,집계!$B:$AD,MATCH(K$1,집계!$2:$2,0)-1,FALSE),"")</f>
        <v/>
      </c>
      <c r="L164" s="3" t="str">
        <f>IFERROR(VLOOKUP($A164,집계!$B:$AD,MATCH(L$1,집계!$2:$2,0)-1,FALSE),"")</f>
        <v/>
      </c>
      <c r="M164" s="16" t="str">
        <f>IFERROR(VLOOKUP($A164,집계!$B:$AD,MATCH(M$1,집계!$2:$2,0)-1,FALSE),"")</f>
        <v/>
      </c>
      <c r="N164" s="16" t="str">
        <f>IFERROR(VLOOKUP($A164,집계!$B:$AD,MATCH(N$1,집계!$2:$2,0)-1,FALSE),"")</f>
        <v/>
      </c>
      <c r="O164" s="16" t="str">
        <f>IFERROR(VLOOKUP($A164,집계!$B:$AD,MATCH(O$1,집계!$2:$2,0)-1,FALSE),"")</f>
        <v/>
      </c>
      <c r="P164" s="31" t="str">
        <f>IFERROR(VLOOKUP($A164,집계!$B:$AD,MATCH(P$1,집계!$2:$2,0)-1,FALSE),"")</f>
        <v/>
      </c>
    </row>
    <row r="165" spans="1:16" ht="17.100000000000001" customHeight="1" x14ac:dyDescent="0.35">
      <c r="A165" s="2"/>
      <c r="B165" s="4" t="str">
        <f>IFERROR(VLOOKUP($A165,집계!$B:$AD,MATCH(B$1,집계!$2:$2,0)-1,FALSE),"")</f>
        <v/>
      </c>
      <c r="C165" s="4" t="str">
        <f>IFERROR(VLOOKUP($A165,집계!$B:$AD,MATCH(C$1,집계!$2:$2,0)-1,FALSE),"")</f>
        <v/>
      </c>
      <c r="D165" s="4" t="str">
        <f>IFERROR(VLOOKUP($A165,집계!$B:$AD,MATCH(D$1,집계!$2:$2,0)-1,FALSE),"")</f>
        <v/>
      </c>
      <c r="E165" s="4" t="str">
        <f>IFERROR(VLOOKUP($A165,집계!$B:$AD,MATCH(E$1,집계!$2:$2,0)-1,FALSE),"")</f>
        <v/>
      </c>
      <c r="F165" s="31" t="str">
        <f>IFERROR(VLOOKUP($A165,대상!$B:$AD,MATCH(F$1,대상!$1:$1,0)-1,FALSE),"")</f>
        <v/>
      </c>
      <c r="G165" s="3" t="str">
        <f>IFERROR(VLOOKUP($A165,집계!$B:$AD,MATCH(G$1,집계!$2:$2,0)-1,FALSE),"")</f>
        <v/>
      </c>
      <c r="H165" s="3" t="str">
        <f>IFERROR(VLOOKUP($A165,집계!$B:$AD,MATCH(H$1,집계!$2:$2,0)-1,FALSE),"")</f>
        <v/>
      </c>
      <c r="I165" s="3" t="str">
        <f>IFERROR(VLOOKUP($A165,집계!$B:$AD,MATCH(I$1,집계!$2:$2,0)-1,FALSE),"")</f>
        <v/>
      </c>
      <c r="J165" s="3" t="str">
        <f>IFERROR(VLOOKUP($A165,집계!$B:$AD,MATCH(J$1,집계!$2:$2,0)-1,FALSE),"")</f>
        <v/>
      </c>
      <c r="K165" s="3" t="str">
        <f>IFERROR(VLOOKUP($A165,집계!$B:$AD,MATCH(K$1,집계!$2:$2,0)-1,FALSE),"")</f>
        <v/>
      </c>
      <c r="L165" s="3" t="str">
        <f>IFERROR(VLOOKUP($A165,집계!$B:$AD,MATCH(L$1,집계!$2:$2,0)-1,FALSE),"")</f>
        <v/>
      </c>
      <c r="M165" s="16" t="str">
        <f>IFERROR(VLOOKUP($A165,집계!$B:$AD,MATCH(M$1,집계!$2:$2,0)-1,FALSE),"")</f>
        <v/>
      </c>
      <c r="N165" s="16" t="str">
        <f>IFERROR(VLOOKUP($A165,집계!$B:$AD,MATCH(N$1,집계!$2:$2,0)-1,FALSE),"")</f>
        <v/>
      </c>
      <c r="O165" s="16" t="str">
        <f>IFERROR(VLOOKUP($A165,집계!$B:$AD,MATCH(O$1,집계!$2:$2,0)-1,FALSE),"")</f>
        <v/>
      </c>
      <c r="P165" s="31" t="str">
        <f>IFERROR(VLOOKUP($A165,집계!$B:$AD,MATCH(P$1,집계!$2:$2,0)-1,FALSE),"")</f>
        <v/>
      </c>
    </row>
    <row r="166" spans="1:16" ht="17.100000000000001" customHeight="1" x14ac:dyDescent="0.35">
      <c r="A166" s="2"/>
      <c r="B166" s="4" t="str">
        <f>IFERROR(VLOOKUP($A166,집계!$B:$AD,MATCH(B$1,집계!$2:$2,0)-1,FALSE),"")</f>
        <v/>
      </c>
      <c r="C166" s="4" t="str">
        <f>IFERROR(VLOOKUP($A166,집계!$B:$AD,MATCH(C$1,집계!$2:$2,0)-1,FALSE),"")</f>
        <v/>
      </c>
      <c r="D166" s="4" t="str">
        <f>IFERROR(VLOOKUP($A166,집계!$B:$AD,MATCH(D$1,집계!$2:$2,0)-1,FALSE),"")</f>
        <v/>
      </c>
      <c r="E166" s="4" t="str">
        <f>IFERROR(VLOOKUP($A166,집계!$B:$AD,MATCH(E$1,집계!$2:$2,0)-1,FALSE),"")</f>
        <v/>
      </c>
      <c r="F166" s="31" t="str">
        <f>IFERROR(VLOOKUP($A166,대상!$B:$AD,MATCH(F$1,대상!$1:$1,0)-1,FALSE),"")</f>
        <v/>
      </c>
      <c r="G166" s="3" t="str">
        <f>IFERROR(VLOOKUP($A166,집계!$B:$AD,MATCH(G$1,집계!$2:$2,0)-1,FALSE),"")</f>
        <v/>
      </c>
      <c r="H166" s="3" t="str">
        <f>IFERROR(VLOOKUP($A166,집계!$B:$AD,MATCH(H$1,집계!$2:$2,0)-1,FALSE),"")</f>
        <v/>
      </c>
      <c r="I166" s="3" t="str">
        <f>IFERROR(VLOOKUP($A166,집계!$B:$AD,MATCH(I$1,집계!$2:$2,0)-1,FALSE),"")</f>
        <v/>
      </c>
      <c r="J166" s="3" t="str">
        <f>IFERROR(VLOOKUP($A166,집계!$B:$AD,MATCH(J$1,집계!$2:$2,0)-1,FALSE),"")</f>
        <v/>
      </c>
      <c r="K166" s="3" t="str">
        <f>IFERROR(VLOOKUP($A166,집계!$B:$AD,MATCH(K$1,집계!$2:$2,0)-1,FALSE),"")</f>
        <v/>
      </c>
      <c r="L166" s="3" t="str">
        <f>IFERROR(VLOOKUP($A166,집계!$B:$AD,MATCH(L$1,집계!$2:$2,0)-1,FALSE),"")</f>
        <v/>
      </c>
      <c r="M166" s="16" t="str">
        <f>IFERROR(VLOOKUP($A166,집계!$B:$AD,MATCH(M$1,집계!$2:$2,0)-1,FALSE),"")</f>
        <v/>
      </c>
      <c r="N166" s="16" t="str">
        <f>IFERROR(VLOOKUP($A166,집계!$B:$AD,MATCH(N$1,집계!$2:$2,0)-1,FALSE),"")</f>
        <v/>
      </c>
      <c r="O166" s="16" t="str">
        <f>IFERROR(VLOOKUP($A166,집계!$B:$AD,MATCH(O$1,집계!$2:$2,0)-1,FALSE),"")</f>
        <v/>
      </c>
      <c r="P166" s="31" t="str">
        <f>IFERROR(VLOOKUP($A166,집계!$B:$AD,MATCH(P$1,집계!$2:$2,0)-1,FALSE),"")</f>
        <v/>
      </c>
    </row>
    <row r="167" spans="1:16" ht="17.100000000000001" customHeight="1" x14ac:dyDescent="0.35">
      <c r="A167" s="2"/>
      <c r="B167" s="4" t="str">
        <f>IFERROR(VLOOKUP($A167,집계!$B:$AD,MATCH(B$1,집계!$2:$2,0)-1,FALSE),"")</f>
        <v/>
      </c>
      <c r="C167" s="4" t="str">
        <f>IFERROR(VLOOKUP($A167,집계!$B:$AD,MATCH(C$1,집계!$2:$2,0)-1,FALSE),"")</f>
        <v/>
      </c>
      <c r="D167" s="4" t="str">
        <f>IFERROR(VLOOKUP($A167,집계!$B:$AD,MATCH(D$1,집계!$2:$2,0)-1,FALSE),"")</f>
        <v/>
      </c>
      <c r="E167" s="4" t="str">
        <f>IFERROR(VLOOKUP($A167,집계!$B:$AD,MATCH(E$1,집계!$2:$2,0)-1,FALSE),"")</f>
        <v/>
      </c>
      <c r="F167" s="31" t="str">
        <f>IFERROR(VLOOKUP($A167,대상!$B:$AD,MATCH(F$1,대상!$1:$1,0)-1,FALSE),"")</f>
        <v/>
      </c>
      <c r="G167" s="3" t="str">
        <f>IFERROR(VLOOKUP($A167,집계!$B:$AD,MATCH(G$1,집계!$2:$2,0)-1,FALSE),"")</f>
        <v/>
      </c>
      <c r="H167" s="3" t="str">
        <f>IFERROR(VLOOKUP($A167,집계!$B:$AD,MATCH(H$1,집계!$2:$2,0)-1,FALSE),"")</f>
        <v/>
      </c>
      <c r="I167" s="3" t="str">
        <f>IFERROR(VLOOKUP($A167,집계!$B:$AD,MATCH(I$1,집계!$2:$2,0)-1,FALSE),"")</f>
        <v/>
      </c>
      <c r="J167" s="3" t="str">
        <f>IFERROR(VLOOKUP($A167,집계!$B:$AD,MATCH(J$1,집계!$2:$2,0)-1,FALSE),"")</f>
        <v/>
      </c>
      <c r="K167" s="3" t="str">
        <f>IFERROR(VLOOKUP($A167,집계!$B:$AD,MATCH(K$1,집계!$2:$2,0)-1,FALSE),"")</f>
        <v/>
      </c>
      <c r="L167" s="3" t="str">
        <f>IFERROR(VLOOKUP($A167,집계!$B:$AD,MATCH(L$1,집계!$2:$2,0)-1,FALSE),"")</f>
        <v/>
      </c>
      <c r="M167" s="16" t="str">
        <f>IFERROR(VLOOKUP($A167,집계!$B:$AD,MATCH(M$1,집계!$2:$2,0)-1,FALSE),"")</f>
        <v/>
      </c>
      <c r="N167" s="16" t="str">
        <f>IFERROR(VLOOKUP($A167,집계!$B:$AD,MATCH(N$1,집계!$2:$2,0)-1,FALSE),"")</f>
        <v/>
      </c>
      <c r="O167" s="16" t="str">
        <f>IFERROR(VLOOKUP($A167,집계!$B:$AD,MATCH(O$1,집계!$2:$2,0)-1,FALSE),"")</f>
        <v/>
      </c>
      <c r="P167" s="31" t="str">
        <f>IFERROR(VLOOKUP($A167,집계!$B:$AD,MATCH(P$1,집계!$2:$2,0)-1,FALSE),"")</f>
        <v/>
      </c>
    </row>
    <row r="168" spans="1:16" ht="17.100000000000001" customHeight="1" x14ac:dyDescent="0.35">
      <c r="A168" s="2"/>
      <c r="B168" s="4" t="str">
        <f>IFERROR(VLOOKUP($A168,집계!$B:$AD,MATCH(B$1,집계!$2:$2,0)-1,FALSE),"")</f>
        <v/>
      </c>
      <c r="C168" s="4" t="str">
        <f>IFERROR(VLOOKUP($A168,집계!$B:$AD,MATCH(C$1,집계!$2:$2,0)-1,FALSE),"")</f>
        <v/>
      </c>
      <c r="D168" s="4" t="str">
        <f>IFERROR(VLOOKUP($A168,집계!$B:$AD,MATCH(D$1,집계!$2:$2,0)-1,FALSE),"")</f>
        <v/>
      </c>
      <c r="E168" s="4" t="str">
        <f>IFERROR(VLOOKUP($A168,집계!$B:$AD,MATCH(E$1,집계!$2:$2,0)-1,FALSE),"")</f>
        <v/>
      </c>
      <c r="F168" s="31" t="str">
        <f>IFERROR(VLOOKUP($A168,대상!$B:$AD,MATCH(F$1,대상!$1:$1,0)-1,FALSE),"")</f>
        <v/>
      </c>
      <c r="G168" s="3" t="str">
        <f>IFERROR(VLOOKUP($A168,집계!$B:$AD,MATCH(G$1,집계!$2:$2,0)-1,FALSE),"")</f>
        <v/>
      </c>
      <c r="H168" s="3" t="str">
        <f>IFERROR(VLOOKUP($A168,집계!$B:$AD,MATCH(H$1,집계!$2:$2,0)-1,FALSE),"")</f>
        <v/>
      </c>
      <c r="I168" s="3" t="str">
        <f>IFERROR(VLOOKUP($A168,집계!$B:$AD,MATCH(I$1,집계!$2:$2,0)-1,FALSE),"")</f>
        <v/>
      </c>
      <c r="J168" s="3" t="str">
        <f>IFERROR(VLOOKUP($A168,집계!$B:$AD,MATCH(J$1,집계!$2:$2,0)-1,FALSE),"")</f>
        <v/>
      </c>
      <c r="K168" s="3" t="str">
        <f>IFERROR(VLOOKUP($A168,집계!$B:$AD,MATCH(K$1,집계!$2:$2,0)-1,FALSE),"")</f>
        <v/>
      </c>
      <c r="L168" s="3" t="str">
        <f>IFERROR(VLOOKUP($A168,집계!$B:$AD,MATCH(L$1,집계!$2:$2,0)-1,FALSE),"")</f>
        <v/>
      </c>
      <c r="M168" s="16" t="str">
        <f>IFERROR(VLOOKUP($A168,집계!$B:$AD,MATCH(M$1,집계!$2:$2,0)-1,FALSE),"")</f>
        <v/>
      </c>
      <c r="N168" s="16" t="str">
        <f>IFERROR(VLOOKUP($A168,집계!$B:$AD,MATCH(N$1,집계!$2:$2,0)-1,FALSE),"")</f>
        <v/>
      </c>
      <c r="O168" s="16" t="str">
        <f>IFERROR(VLOOKUP($A168,집계!$B:$AD,MATCH(O$1,집계!$2:$2,0)-1,FALSE),"")</f>
        <v/>
      </c>
      <c r="P168" s="31" t="str">
        <f>IFERROR(VLOOKUP($A168,집계!$B:$AD,MATCH(P$1,집계!$2:$2,0)-1,FALSE),"")</f>
        <v/>
      </c>
    </row>
    <row r="169" spans="1:16" ht="17.100000000000001" customHeight="1" x14ac:dyDescent="0.35">
      <c r="A169" s="2"/>
      <c r="B169" s="4" t="str">
        <f>IFERROR(VLOOKUP($A169,집계!$B:$AD,MATCH(B$1,집계!$2:$2,0)-1,FALSE),"")</f>
        <v/>
      </c>
      <c r="C169" s="4" t="str">
        <f>IFERROR(VLOOKUP($A169,집계!$B:$AD,MATCH(C$1,집계!$2:$2,0)-1,FALSE),"")</f>
        <v/>
      </c>
      <c r="D169" s="4" t="str">
        <f>IFERROR(VLOOKUP($A169,집계!$B:$AD,MATCH(D$1,집계!$2:$2,0)-1,FALSE),"")</f>
        <v/>
      </c>
      <c r="E169" s="4" t="str">
        <f>IFERROR(VLOOKUP($A169,집계!$B:$AD,MATCH(E$1,집계!$2:$2,0)-1,FALSE),"")</f>
        <v/>
      </c>
      <c r="F169" s="31" t="str">
        <f>IFERROR(VLOOKUP($A169,대상!$B:$AD,MATCH(F$1,대상!$1:$1,0)-1,FALSE),"")</f>
        <v/>
      </c>
      <c r="G169" s="3" t="str">
        <f>IFERROR(VLOOKUP($A169,집계!$B:$AD,MATCH(G$1,집계!$2:$2,0)-1,FALSE),"")</f>
        <v/>
      </c>
      <c r="H169" s="3" t="str">
        <f>IFERROR(VLOOKUP($A169,집계!$B:$AD,MATCH(H$1,집계!$2:$2,0)-1,FALSE),"")</f>
        <v/>
      </c>
      <c r="I169" s="3" t="str">
        <f>IFERROR(VLOOKUP($A169,집계!$B:$AD,MATCH(I$1,집계!$2:$2,0)-1,FALSE),"")</f>
        <v/>
      </c>
      <c r="J169" s="3" t="str">
        <f>IFERROR(VLOOKUP($A169,집계!$B:$AD,MATCH(J$1,집계!$2:$2,0)-1,FALSE),"")</f>
        <v/>
      </c>
      <c r="K169" s="3" t="str">
        <f>IFERROR(VLOOKUP($A169,집계!$B:$AD,MATCH(K$1,집계!$2:$2,0)-1,FALSE),"")</f>
        <v/>
      </c>
      <c r="L169" s="3" t="str">
        <f>IFERROR(VLOOKUP($A169,집계!$B:$AD,MATCH(L$1,집계!$2:$2,0)-1,FALSE),"")</f>
        <v/>
      </c>
      <c r="M169" s="16" t="str">
        <f>IFERROR(VLOOKUP($A169,집계!$B:$AD,MATCH(M$1,집계!$2:$2,0)-1,FALSE),"")</f>
        <v/>
      </c>
      <c r="N169" s="16" t="str">
        <f>IFERROR(VLOOKUP($A169,집계!$B:$AD,MATCH(N$1,집계!$2:$2,0)-1,FALSE),"")</f>
        <v/>
      </c>
      <c r="O169" s="16" t="str">
        <f>IFERROR(VLOOKUP($A169,집계!$B:$AD,MATCH(O$1,집계!$2:$2,0)-1,FALSE),"")</f>
        <v/>
      </c>
      <c r="P169" s="31" t="str">
        <f>IFERROR(VLOOKUP($A169,집계!$B:$AD,MATCH(P$1,집계!$2:$2,0)-1,FALSE),"")</f>
        <v/>
      </c>
    </row>
    <row r="170" spans="1:16" ht="17.100000000000001" customHeight="1" x14ac:dyDescent="0.35">
      <c r="A170" s="2"/>
      <c r="B170" s="4" t="str">
        <f>IFERROR(VLOOKUP($A170,집계!$B:$AD,MATCH(B$1,집계!$2:$2,0)-1,FALSE),"")</f>
        <v/>
      </c>
      <c r="C170" s="4" t="str">
        <f>IFERROR(VLOOKUP($A170,집계!$B:$AD,MATCH(C$1,집계!$2:$2,0)-1,FALSE),"")</f>
        <v/>
      </c>
      <c r="D170" s="4" t="str">
        <f>IFERROR(VLOOKUP($A170,집계!$B:$AD,MATCH(D$1,집계!$2:$2,0)-1,FALSE),"")</f>
        <v/>
      </c>
      <c r="E170" s="4" t="str">
        <f>IFERROR(VLOOKUP($A170,집계!$B:$AD,MATCH(E$1,집계!$2:$2,0)-1,FALSE),"")</f>
        <v/>
      </c>
      <c r="F170" s="31" t="str">
        <f>IFERROR(VLOOKUP($A170,대상!$B:$AD,MATCH(F$1,대상!$1:$1,0)-1,FALSE),"")</f>
        <v/>
      </c>
      <c r="G170" s="3" t="str">
        <f>IFERROR(VLOOKUP($A170,집계!$B:$AD,MATCH(G$1,집계!$2:$2,0)-1,FALSE),"")</f>
        <v/>
      </c>
      <c r="H170" s="3" t="str">
        <f>IFERROR(VLOOKUP($A170,집계!$B:$AD,MATCH(H$1,집계!$2:$2,0)-1,FALSE),"")</f>
        <v/>
      </c>
      <c r="I170" s="3" t="str">
        <f>IFERROR(VLOOKUP($A170,집계!$B:$AD,MATCH(I$1,집계!$2:$2,0)-1,FALSE),"")</f>
        <v/>
      </c>
      <c r="J170" s="3" t="str">
        <f>IFERROR(VLOOKUP($A170,집계!$B:$AD,MATCH(J$1,집계!$2:$2,0)-1,FALSE),"")</f>
        <v/>
      </c>
      <c r="K170" s="3" t="str">
        <f>IFERROR(VLOOKUP($A170,집계!$B:$AD,MATCH(K$1,집계!$2:$2,0)-1,FALSE),"")</f>
        <v/>
      </c>
      <c r="L170" s="3" t="str">
        <f>IFERROR(VLOOKUP($A170,집계!$B:$AD,MATCH(L$1,집계!$2:$2,0)-1,FALSE),"")</f>
        <v/>
      </c>
      <c r="M170" s="16" t="str">
        <f>IFERROR(VLOOKUP($A170,집계!$B:$AD,MATCH(M$1,집계!$2:$2,0)-1,FALSE),"")</f>
        <v/>
      </c>
      <c r="N170" s="16" t="str">
        <f>IFERROR(VLOOKUP($A170,집계!$B:$AD,MATCH(N$1,집계!$2:$2,0)-1,FALSE),"")</f>
        <v/>
      </c>
      <c r="O170" s="16" t="str">
        <f>IFERROR(VLOOKUP($A170,집계!$B:$AD,MATCH(O$1,집계!$2:$2,0)-1,FALSE),"")</f>
        <v/>
      </c>
      <c r="P170" s="31" t="str">
        <f>IFERROR(VLOOKUP($A170,집계!$B:$AD,MATCH(P$1,집계!$2:$2,0)-1,FALSE),"")</f>
        <v/>
      </c>
    </row>
    <row r="171" spans="1:16" ht="17.100000000000001" customHeight="1" x14ac:dyDescent="0.35">
      <c r="A171" s="2"/>
      <c r="B171" s="4" t="str">
        <f>IFERROR(VLOOKUP($A171,집계!$B:$AD,MATCH(B$1,집계!$2:$2,0)-1,FALSE),"")</f>
        <v/>
      </c>
      <c r="C171" s="4" t="str">
        <f>IFERROR(VLOOKUP($A171,집계!$B:$AD,MATCH(C$1,집계!$2:$2,0)-1,FALSE),"")</f>
        <v/>
      </c>
      <c r="D171" s="4" t="str">
        <f>IFERROR(VLOOKUP($A171,집계!$B:$AD,MATCH(D$1,집계!$2:$2,0)-1,FALSE),"")</f>
        <v/>
      </c>
      <c r="E171" s="4" t="str">
        <f>IFERROR(VLOOKUP($A171,집계!$B:$AD,MATCH(E$1,집계!$2:$2,0)-1,FALSE),"")</f>
        <v/>
      </c>
      <c r="F171" s="31" t="str">
        <f>IFERROR(VLOOKUP($A171,대상!$B:$AD,MATCH(F$1,대상!$1:$1,0)-1,FALSE),"")</f>
        <v/>
      </c>
      <c r="G171" s="3" t="str">
        <f>IFERROR(VLOOKUP($A171,집계!$B:$AD,MATCH(G$1,집계!$2:$2,0)-1,FALSE),"")</f>
        <v/>
      </c>
      <c r="H171" s="3" t="str">
        <f>IFERROR(VLOOKUP($A171,집계!$B:$AD,MATCH(H$1,집계!$2:$2,0)-1,FALSE),"")</f>
        <v/>
      </c>
      <c r="I171" s="3" t="str">
        <f>IFERROR(VLOOKUP($A171,집계!$B:$AD,MATCH(I$1,집계!$2:$2,0)-1,FALSE),"")</f>
        <v/>
      </c>
      <c r="J171" s="3" t="str">
        <f>IFERROR(VLOOKUP($A171,집계!$B:$AD,MATCH(J$1,집계!$2:$2,0)-1,FALSE),"")</f>
        <v/>
      </c>
      <c r="K171" s="3" t="str">
        <f>IFERROR(VLOOKUP($A171,집계!$B:$AD,MATCH(K$1,집계!$2:$2,0)-1,FALSE),"")</f>
        <v/>
      </c>
      <c r="L171" s="3" t="str">
        <f>IFERROR(VLOOKUP($A171,집계!$B:$AD,MATCH(L$1,집계!$2:$2,0)-1,FALSE),"")</f>
        <v/>
      </c>
      <c r="M171" s="16" t="str">
        <f>IFERROR(VLOOKUP($A171,집계!$B:$AD,MATCH(M$1,집계!$2:$2,0)-1,FALSE),"")</f>
        <v/>
      </c>
      <c r="N171" s="16" t="str">
        <f>IFERROR(VLOOKUP($A171,집계!$B:$AD,MATCH(N$1,집계!$2:$2,0)-1,FALSE),"")</f>
        <v/>
      </c>
      <c r="O171" s="16" t="str">
        <f>IFERROR(VLOOKUP($A171,집계!$B:$AD,MATCH(O$1,집계!$2:$2,0)-1,FALSE),"")</f>
        <v/>
      </c>
      <c r="P171" s="31" t="str">
        <f>IFERROR(VLOOKUP($A171,집계!$B:$AD,MATCH(P$1,집계!$2:$2,0)-1,FALSE),"")</f>
        <v/>
      </c>
    </row>
    <row r="172" spans="1:16" ht="17.100000000000001" customHeight="1" x14ac:dyDescent="0.35">
      <c r="A172" s="2"/>
      <c r="B172" s="4" t="str">
        <f>IFERROR(VLOOKUP($A172,집계!$B:$AD,MATCH(B$1,집계!$2:$2,0)-1,FALSE),"")</f>
        <v/>
      </c>
      <c r="C172" s="4" t="str">
        <f>IFERROR(VLOOKUP($A172,집계!$B:$AD,MATCH(C$1,집계!$2:$2,0)-1,FALSE),"")</f>
        <v/>
      </c>
      <c r="D172" s="4" t="str">
        <f>IFERROR(VLOOKUP($A172,집계!$B:$AD,MATCH(D$1,집계!$2:$2,0)-1,FALSE),"")</f>
        <v/>
      </c>
      <c r="E172" s="4" t="str">
        <f>IFERROR(VLOOKUP($A172,집계!$B:$AD,MATCH(E$1,집계!$2:$2,0)-1,FALSE),"")</f>
        <v/>
      </c>
      <c r="F172" s="31" t="str">
        <f>IFERROR(VLOOKUP($A172,대상!$B:$AD,MATCH(F$1,대상!$1:$1,0)-1,FALSE),"")</f>
        <v/>
      </c>
      <c r="G172" s="3" t="str">
        <f>IFERROR(VLOOKUP($A172,집계!$B:$AD,MATCH(G$1,집계!$2:$2,0)-1,FALSE),"")</f>
        <v/>
      </c>
      <c r="H172" s="3" t="str">
        <f>IFERROR(VLOOKUP($A172,집계!$B:$AD,MATCH(H$1,집계!$2:$2,0)-1,FALSE),"")</f>
        <v/>
      </c>
      <c r="I172" s="3" t="str">
        <f>IFERROR(VLOOKUP($A172,집계!$B:$AD,MATCH(I$1,집계!$2:$2,0)-1,FALSE),"")</f>
        <v/>
      </c>
      <c r="J172" s="3" t="str">
        <f>IFERROR(VLOOKUP($A172,집계!$B:$AD,MATCH(J$1,집계!$2:$2,0)-1,FALSE),"")</f>
        <v/>
      </c>
      <c r="K172" s="3" t="str">
        <f>IFERROR(VLOOKUP($A172,집계!$B:$AD,MATCH(K$1,집계!$2:$2,0)-1,FALSE),"")</f>
        <v/>
      </c>
      <c r="L172" s="3" t="str">
        <f>IFERROR(VLOOKUP($A172,집계!$B:$AD,MATCH(L$1,집계!$2:$2,0)-1,FALSE),"")</f>
        <v/>
      </c>
      <c r="M172" s="16" t="str">
        <f>IFERROR(VLOOKUP($A172,집계!$B:$AD,MATCH(M$1,집계!$2:$2,0)-1,FALSE),"")</f>
        <v/>
      </c>
      <c r="N172" s="16" t="str">
        <f>IFERROR(VLOOKUP($A172,집계!$B:$AD,MATCH(N$1,집계!$2:$2,0)-1,FALSE),"")</f>
        <v/>
      </c>
      <c r="O172" s="16" t="str">
        <f>IFERROR(VLOOKUP($A172,집계!$B:$AD,MATCH(O$1,집계!$2:$2,0)-1,FALSE),"")</f>
        <v/>
      </c>
      <c r="P172" s="31" t="str">
        <f>IFERROR(VLOOKUP($A172,집계!$B:$AD,MATCH(P$1,집계!$2:$2,0)-1,FALSE),"")</f>
        <v/>
      </c>
    </row>
    <row r="173" spans="1:16" ht="17.100000000000001" customHeight="1" x14ac:dyDescent="0.35">
      <c r="A173" s="2"/>
      <c r="B173" s="4" t="str">
        <f>IFERROR(VLOOKUP($A173,집계!$B:$AD,MATCH(B$1,집계!$2:$2,0)-1,FALSE),"")</f>
        <v/>
      </c>
      <c r="C173" s="4" t="str">
        <f>IFERROR(VLOOKUP($A173,집계!$B:$AD,MATCH(C$1,집계!$2:$2,0)-1,FALSE),"")</f>
        <v/>
      </c>
      <c r="D173" s="4" t="str">
        <f>IFERROR(VLOOKUP($A173,집계!$B:$AD,MATCH(D$1,집계!$2:$2,0)-1,FALSE),"")</f>
        <v/>
      </c>
      <c r="E173" s="4" t="str">
        <f>IFERROR(VLOOKUP($A173,집계!$B:$AD,MATCH(E$1,집계!$2:$2,0)-1,FALSE),"")</f>
        <v/>
      </c>
      <c r="F173" s="31" t="str">
        <f>IFERROR(VLOOKUP($A173,대상!$B:$AD,MATCH(F$1,대상!$1:$1,0)-1,FALSE),"")</f>
        <v/>
      </c>
      <c r="G173" s="3" t="str">
        <f>IFERROR(VLOOKUP($A173,집계!$B:$AD,MATCH(G$1,집계!$2:$2,0)-1,FALSE),"")</f>
        <v/>
      </c>
      <c r="H173" s="3" t="str">
        <f>IFERROR(VLOOKUP($A173,집계!$B:$AD,MATCH(H$1,집계!$2:$2,0)-1,FALSE),"")</f>
        <v/>
      </c>
      <c r="I173" s="3" t="str">
        <f>IFERROR(VLOOKUP($A173,집계!$B:$AD,MATCH(I$1,집계!$2:$2,0)-1,FALSE),"")</f>
        <v/>
      </c>
      <c r="J173" s="3" t="str">
        <f>IFERROR(VLOOKUP($A173,집계!$B:$AD,MATCH(J$1,집계!$2:$2,0)-1,FALSE),"")</f>
        <v/>
      </c>
      <c r="K173" s="3" t="str">
        <f>IFERROR(VLOOKUP($A173,집계!$B:$AD,MATCH(K$1,집계!$2:$2,0)-1,FALSE),"")</f>
        <v/>
      </c>
      <c r="L173" s="3" t="str">
        <f>IFERROR(VLOOKUP($A173,집계!$B:$AD,MATCH(L$1,집계!$2:$2,0)-1,FALSE),"")</f>
        <v/>
      </c>
      <c r="M173" s="16" t="str">
        <f>IFERROR(VLOOKUP($A173,집계!$B:$AD,MATCH(M$1,집계!$2:$2,0)-1,FALSE),"")</f>
        <v/>
      </c>
      <c r="N173" s="16" t="str">
        <f>IFERROR(VLOOKUP($A173,집계!$B:$AD,MATCH(N$1,집계!$2:$2,0)-1,FALSE),"")</f>
        <v/>
      </c>
      <c r="O173" s="16" t="str">
        <f>IFERROR(VLOOKUP($A173,집계!$B:$AD,MATCH(O$1,집계!$2:$2,0)-1,FALSE),"")</f>
        <v/>
      </c>
      <c r="P173" s="31" t="str">
        <f>IFERROR(VLOOKUP($A173,집계!$B:$AD,MATCH(P$1,집계!$2:$2,0)-1,FALSE),"")</f>
        <v/>
      </c>
    </row>
    <row r="174" spans="1:16" ht="17.100000000000001" customHeight="1" x14ac:dyDescent="0.35">
      <c r="A174" s="2"/>
      <c r="B174" s="4" t="str">
        <f>IFERROR(VLOOKUP($A174,집계!$B:$AD,MATCH(B$1,집계!$2:$2,0)-1,FALSE),"")</f>
        <v/>
      </c>
      <c r="C174" s="4" t="str">
        <f>IFERROR(VLOOKUP($A174,집계!$B:$AD,MATCH(C$1,집계!$2:$2,0)-1,FALSE),"")</f>
        <v/>
      </c>
      <c r="D174" s="4" t="str">
        <f>IFERROR(VLOOKUP($A174,집계!$B:$AD,MATCH(D$1,집계!$2:$2,0)-1,FALSE),"")</f>
        <v/>
      </c>
      <c r="E174" s="4" t="str">
        <f>IFERROR(VLOOKUP($A174,집계!$B:$AD,MATCH(E$1,집계!$2:$2,0)-1,FALSE),"")</f>
        <v/>
      </c>
      <c r="F174" s="31" t="str">
        <f>IFERROR(VLOOKUP($A174,대상!$B:$AD,MATCH(F$1,대상!$1:$1,0)-1,FALSE),"")</f>
        <v/>
      </c>
      <c r="G174" s="3" t="str">
        <f>IFERROR(VLOOKUP($A174,집계!$B:$AD,MATCH(G$1,집계!$2:$2,0)-1,FALSE),"")</f>
        <v/>
      </c>
      <c r="H174" s="3" t="str">
        <f>IFERROR(VLOOKUP($A174,집계!$B:$AD,MATCH(H$1,집계!$2:$2,0)-1,FALSE),"")</f>
        <v/>
      </c>
      <c r="I174" s="3" t="str">
        <f>IFERROR(VLOOKUP($A174,집계!$B:$AD,MATCH(I$1,집계!$2:$2,0)-1,FALSE),"")</f>
        <v/>
      </c>
      <c r="J174" s="3" t="str">
        <f>IFERROR(VLOOKUP($A174,집계!$B:$AD,MATCH(J$1,집계!$2:$2,0)-1,FALSE),"")</f>
        <v/>
      </c>
      <c r="K174" s="3" t="str">
        <f>IFERROR(VLOOKUP($A174,집계!$B:$AD,MATCH(K$1,집계!$2:$2,0)-1,FALSE),"")</f>
        <v/>
      </c>
      <c r="L174" s="3" t="str">
        <f>IFERROR(VLOOKUP($A174,집계!$B:$AD,MATCH(L$1,집계!$2:$2,0)-1,FALSE),"")</f>
        <v/>
      </c>
      <c r="M174" s="16" t="str">
        <f>IFERROR(VLOOKUP($A174,집계!$B:$AD,MATCH(M$1,집계!$2:$2,0)-1,FALSE),"")</f>
        <v/>
      </c>
      <c r="N174" s="16" t="str">
        <f>IFERROR(VLOOKUP($A174,집계!$B:$AD,MATCH(N$1,집계!$2:$2,0)-1,FALSE),"")</f>
        <v/>
      </c>
      <c r="O174" s="16" t="str">
        <f>IFERROR(VLOOKUP($A174,집계!$B:$AD,MATCH(O$1,집계!$2:$2,0)-1,FALSE),"")</f>
        <v/>
      </c>
      <c r="P174" s="31" t="str">
        <f>IFERROR(VLOOKUP($A174,집계!$B:$AD,MATCH(P$1,집계!$2:$2,0)-1,FALSE),"")</f>
        <v/>
      </c>
    </row>
    <row r="175" spans="1:16" ht="17.100000000000001" customHeight="1" x14ac:dyDescent="0.35">
      <c r="A175" s="2"/>
      <c r="B175" s="4" t="str">
        <f>IFERROR(VLOOKUP($A175,집계!$B:$AD,MATCH(B$1,집계!$2:$2,0)-1,FALSE),"")</f>
        <v/>
      </c>
      <c r="C175" s="4" t="str">
        <f>IFERROR(VLOOKUP($A175,집계!$B:$AD,MATCH(C$1,집계!$2:$2,0)-1,FALSE),"")</f>
        <v/>
      </c>
      <c r="D175" s="4" t="str">
        <f>IFERROR(VLOOKUP($A175,집계!$B:$AD,MATCH(D$1,집계!$2:$2,0)-1,FALSE),"")</f>
        <v/>
      </c>
      <c r="E175" s="4" t="str">
        <f>IFERROR(VLOOKUP($A175,집계!$B:$AD,MATCH(E$1,집계!$2:$2,0)-1,FALSE),"")</f>
        <v/>
      </c>
      <c r="F175" s="31" t="str">
        <f>IFERROR(VLOOKUP($A175,대상!$B:$AD,MATCH(F$1,대상!$1:$1,0)-1,FALSE),"")</f>
        <v/>
      </c>
      <c r="G175" s="3" t="str">
        <f>IFERROR(VLOOKUP($A175,집계!$B:$AD,MATCH(G$1,집계!$2:$2,0)-1,FALSE),"")</f>
        <v/>
      </c>
      <c r="H175" s="3" t="str">
        <f>IFERROR(VLOOKUP($A175,집계!$B:$AD,MATCH(H$1,집계!$2:$2,0)-1,FALSE),"")</f>
        <v/>
      </c>
      <c r="I175" s="3" t="str">
        <f>IFERROR(VLOOKUP($A175,집계!$B:$AD,MATCH(I$1,집계!$2:$2,0)-1,FALSE),"")</f>
        <v/>
      </c>
      <c r="J175" s="3" t="str">
        <f>IFERROR(VLOOKUP($A175,집계!$B:$AD,MATCH(J$1,집계!$2:$2,0)-1,FALSE),"")</f>
        <v/>
      </c>
      <c r="K175" s="3" t="str">
        <f>IFERROR(VLOOKUP($A175,집계!$B:$AD,MATCH(K$1,집계!$2:$2,0)-1,FALSE),"")</f>
        <v/>
      </c>
      <c r="L175" s="3" t="str">
        <f>IFERROR(VLOOKUP($A175,집계!$B:$AD,MATCH(L$1,집계!$2:$2,0)-1,FALSE),"")</f>
        <v/>
      </c>
      <c r="M175" s="16" t="str">
        <f>IFERROR(VLOOKUP($A175,집계!$B:$AD,MATCH(M$1,집계!$2:$2,0)-1,FALSE),"")</f>
        <v/>
      </c>
      <c r="N175" s="16" t="str">
        <f>IFERROR(VLOOKUP($A175,집계!$B:$AD,MATCH(N$1,집계!$2:$2,0)-1,FALSE),"")</f>
        <v/>
      </c>
      <c r="O175" s="16" t="str">
        <f>IFERROR(VLOOKUP($A175,집계!$B:$AD,MATCH(O$1,집계!$2:$2,0)-1,FALSE),"")</f>
        <v/>
      </c>
      <c r="P175" s="31" t="str">
        <f>IFERROR(VLOOKUP($A175,집계!$B:$AD,MATCH(P$1,집계!$2:$2,0)-1,FALSE),"")</f>
        <v/>
      </c>
    </row>
    <row r="176" spans="1:16" ht="17.100000000000001" customHeight="1" x14ac:dyDescent="0.35">
      <c r="A176" s="2"/>
      <c r="B176" s="4" t="str">
        <f>IFERROR(VLOOKUP($A176,집계!$B:$AD,MATCH(B$1,집계!$2:$2,0)-1,FALSE),"")</f>
        <v/>
      </c>
      <c r="C176" s="4" t="str">
        <f>IFERROR(VLOOKUP($A176,집계!$B:$AD,MATCH(C$1,집계!$2:$2,0)-1,FALSE),"")</f>
        <v/>
      </c>
      <c r="D176" s="4" t="str">
        <f>IFERROR(VLOOKUP($A176,집계!$B:$AD,MATCH(D$1,집계!$2:$2,0)-1,FALSE),"")</f>
        <v/>
      </c>
      <c r="E176" s="4" t="str">
        <f>IFERROR(VLOOKUP($A176,집계!$B:$AD,MATCH(E$1,집계!$2:$2,0)-1,FALSE),"")</f>
        <v/>
      </c>
      <c r="F176" s="31" t="str">
        <f>IFERROR(VLOOKUP($A176,대상!$B:$AD,MATCH(F$1,대상!$1:$1,0)-1,FALSE),"")</f>
        <v/>
      </c>
      <c r="G176" s="3" t="str">
        <f>IFERROR(VLOOKUP($A176,집계!$B:$AD,MATCH(G$1,집계!$2:$2,0)-1,FALSE),"")</f>
        <v/>
      </c>
      <c r="H176" s="3" t="str">
        <f>IFERROR(VLOOKUP($A176,집계!$B:$AD,MATCH(H$1,집계!$2:$2,0)-1,FALSE),"")</f>
        <v/>
      </c>
      <c r="I176" s="3" t="str">
        <f>IFERROR(VLOOKUP($A176,집계!$B:$AD,MATCH(I$1,집계!$2:$2,0)-1,FALSE),"")</f>
        <v/>
      </c>
      <c r="J176" s="3" t="str">
        <f>IFERROR(VLOOKUP($A176,집계!$B:$AD,MATCH(J$1,집계!$2:$2,0)-1,FALSE),"")</f>
        <v/>
      </c>
      <c r="K176" s="3" t="str">
        <f>IFERROR(VLOOKUP($A176,집계!$B:$AD,MATCH(K$1,집계!$2:$2,0)-1,FALSE),"")</f>
        <v/>
      </c>
      <c r="L176" s="3" t="str">
        <f>IFERROR(VLOOKUP($A176,집계!$B:$AD,MATCH(L$1,집계!$2:$2,0)-1,FALSE),"")</f>
        <v/>
      </c>
      <c r="M176" s="16" t="str">
        <f>IFERROR(VLOOKUP($A176,집계!$B:$AD,MATCH(M$1,집계!$2:$2,0)-1,FALSE),"")</f>
        <v/>
      </c>
      <c r="N176" s="16" t="str">
        <f>IFERROR(VLOOKUP($A176,집계!$B:$AD,MATCH(N$1,집계!$2:$2,0)-1,FALSE),"")</f>
        <v/>
      </c>
      <c r="O176" s="16" t="str">
        <f>IFERROR(VLOOKUP($A176,집계!$B:$AD,MATCH(O$1,집계!$2:$2,0)-1,FALSE),"")</f>
        <v/>
      </c>
      <c r="P176" s="31" t="str">
        <f>IFERROR(VLOOKUP($A176,집계!$B:$AD,MATCH(P$1,집계!$2:$2,0)-1,FALSE),"")</f>
        <v/>
      </c>
    </row>
    <row r="177" spans="1:16" ht="17.100000000000001" customHeight="1" x14ac:dyDescent="0.35">
      <c r="A177" s="2"/>
      <c r="B177" s="4" t="str">
        <f>IFERROR(VLOOKUP($A177,집계!$B:$AD,MATCH(B$1,집계!$2:$2,0)-1,FALSE),"")</f>
        <v/>
      </c>
      <c r="C177" s="4" t="str">
        <f>IFERROR(VLOOKUP($A177,집계!$B:$AD,MATCH(C$1,집계!$2:$2,0)-1,FALSE),"")</f>
        <v/>
      </c>
      <c r="D177" s="4" t="str">
        <f>IFERROR(VLOOKUP($A177,집계!$B:$AD,MATCH(D$1,집계!$2:$2,0)-1,FALSE),"")</f>
        <v/>
      </c>
      <c r="E177" s="4" t="str">
        <f>IFERROR(VLOOKUP($A177,집계!$B:$AD,MATCH(E$1,집계!$2:$2,0)-1,FALSE),"")</f>
        <v/>
      </c>
      <c r="F177" s="31" t="str">
        <f>IFERROR(VLOOKUP($A177,대상!$B:$AD,MATCH(F$1,대상!$1:$1,0)-1,FALSE),"")</f>
        <v/>
      </c>
      <c r="G177" s="3" t="str">
        <f>IFERROR(VLOOKUP($A177,집계!$B:$AD,MATCH(G$1,집계!$2:$2,0)-1,FALSE),"")</f>
        <v/>
      </c>
      <c r="H177" s="3" t="str">
        <f>IFERROR(VLOOKUP($A177,집계!$B:$AD,MATCH(H$1,집계!$2:$2,0)-1,FALSE),"")</f>
        <v/>
      </c>
      <c r="I177" s="3" t="str">
        <f>IFERROR(VLOOKUP($A177,집계!$B:$AD,MATCH(I$1,집계!$2:$2,0)-1,FALSE),"")</f>
        <v/>
      </c>
      <c r="J177" s="3" t="str">
        <f>IFERROR(VLOOKUP($A177,집계!$B:$AD,MATCH(J$1,집계!$2:$2,0)-1,FALSE),"")</f>
        <v/>
      </c>
      <c r="K177" s="3" t="str">
        <f>IFERROR(VLOOKUP($A177,집계!$B:$AD,MATCH(K$1,집계!$2:$2,0)-1,FALSE),"")</f>
        <v/>
      </c>
      <c r="L177" s="3" t="str">
        <f>IFERROR(VLOOKUP($A177,집계!$B:$AD,MATCH(L$1,집계!$2:$2,0)-1,FALSE),"")</f>
        <v/>
      </c>
      <c r="M177" s="16" t="str">
        <f>IFERROR(VLOOKUP($A177,집계!$B:$AD,MATCH(M$1,집계!$2:$2,0)-1,FALSE),"")</f>
        <v/>
      </c>
      <c r="N177" s="16" t="str">
        <f>IFERROR(VLOOKUP($A177,집계!$B:$AD,MATCH(N$1,집계!$2:$2,0)-1,FALSE),"")</f>
        <v/>
      </c>
      <c r="O177" s="16" t="str">
        <f>IFERROR(VLOOKUP($A177,집계!$B:$AD,MATCH(O$1,집계!$2:$2,0)-1,FALSE),"")</f>
        <v/>
      </c>
      <c r="P177" s="31" t="str">
        <f>IFERROR(VLOOKUP($A177,집계!$B:$AD,MATCH(P$1,집계!$2:$2,0)-1,FALSE),"")</f>
        <v/>
      </c>
    </row>
    <row r="178" spans="1:16" ht="17.100000000000001" customHeight="1" x14ac:dyDescent="0.35">
      <c r="A178" s="2"/>
      <c r="B178" s="4" t="str">
        <f>IFERROR(VLOOKUP($A178,집계!$B:$AD,MATCH(B$1,집계!$2:$2,0)-1,FALSE),"")</f>
        <v/>
      </c>
      <c r="C178" s="4" t="str">
        <f>IFERROR(VLOOKUP($A178,집계!$B:$AD,MATCH(C$1,집계!$2:$2,0)-1,FALSE),"")</f>
        <v/>
      </c>
      <c r="D178" s="4" t="str">
        <f>IFERROR(VLOOKUP($A178,집계!$B:$AD,MATCH(D$1,집계!$2:$2,0)-1,FALSE),"")</f>
        <v/>
      </c>
      <c r="E178" s="4" t="str">
        <f>IFERROR(VLOOKUP($A178,집계!$B:$AD,MATCH(E$1,집계!$2:$2,0)-1,FALSE),"")</f>
        <v/>
      </c>
      <c r="F178" s="31" t="str">
        <f>IFERROR(VLOOKUP($A178,대상!$B:$AD,MATCH(F$1,대상!$1:$1,0)-1,FALSE),"")</f>
        <v/>
      </c>
      <c r="G178" s="3" t="str">
        <f>IFERROR(VLOOKUP($A178,집계!$B:$AD,MATCH(G$1,집계!$2:$2,0)-1,FALSE),"")</f>
        <v/>
      </c>
      <c r="H178" s="3" t="str">
        <f>IFERROR(VLOOKUP($A178,집계!$B:$AD,MATCH(H$1,집계!$2:$2,0)-1,FALSE),"")</f>
        <v/>
      </c>
      <c r="I178" s="3" t="str">
        <f>IFERROR(VLOOKUP($A178,집계!$B:$AD,MATCH(I$1,집계!$2:$2,0)-1,FALSE),"")</f>
        <v/>
      </c>
      <c r="J178" s="3" t="str">
        <f>IFERROR(VLOOKUP($A178,집계!$B:$AD,MATCH(J$1,집계!$2:$2,0)-1,FALSE),"")</f>
        <v/>
      </c>
      <c r="K178" s="3" t="str">
        <f>IFERROR(VLOOKUP($A178,집계!$B:$AD,MATCH(K$1,집계!$2:$2,0)-1,FALSE),"")</f>
        <v/>
      </c>
      <c r="L178" s="3" t="str">
        <f>IFERROR(VLOOKUP($A178,집계!$B:$AD,MATCH(L$1,집계!$2:$2,0)-1,FALSE),"")</f>
        <v/>
      </c>
      <c r="M178" s="16" t="str">
        <f>IFERROR(VLOOKUP($A178,집계!$B:$AD,MATCH(M$1,집계!$2:$2,0)-1,FALSE),"")</f>
        <v/>
      </c>
      <c r="N178" s="16" t="str">
        <f>IFERROR(VLOOKUP($A178,집계!$B:$AD,MATCH(N$1,집계!$2:$2,0)-1,FALSE),"")</f>
        <v/>
      </c>
      <c r="O178" s="16" t="str">
        <f>IFERROR(VLOOKUP($A178,집계!$B:$AD,MATCH(O$1,집계!$2:$2,0)-1,FALSE),"")</f>
        <v/>
      </c>
      <c r="P178" s="31" t="str">
        <f>IFERROR(VLOOKUP($A178,집계!$B:$AD,MATCH(P$1,집계!$2:$2,0)-1,FALSE),"")</f>
        <v/>
      </c>
    </row>
    <row r="179" spans="1:16" ht="17.100000000000001" customHeight="1" x14ac:dyDescent="0.35">
      <c r="A179" s="2"/>
      <c r="B179" s="4" t="str">
        <f>IFERROR(VLOOKUP($A179,집계!$B:$AD,MATCH(B$1,집계!$2:$2,0)-1,FALSE),"")</f>
        <v/>
      </c>
      <c r="C179" s="4" t="str">
        <f>IFERROR(VLOOKUP($A179,집계!$B:$AD,MATCH(C$1,집계!$2:$2,0)-1,FALSE),"")</f>
        <v/>
      </c>
      <c r="D179" s="4" t="str">
        <f>IFERROR(VLOOKUP($A179,집계!$B:$AD,MATCH(D$1,집계!$2:$2,0)-1,FALSE),"")</f>
        <v/>
      </c>
      <c r="E179" s="4" t="str">
        <f>IFERROR(VLOOKUP($A179,집계!$B:$AD,MATCH(E$1,집계!$2:$2,0)-1,FALSE),"")</f>
        <v/>
      </c>
      <c r="F179" s="31" t="str">
        <f>IFERROR(VLOOKUP($A179,대상!$B:$AD,MATCH(F$1,대상!$1:$1,0)-1,FALSE),"")</f>
        <v/>
      </c>
      <c r="G179" s="3" t="str">
        <f>IFERROR(VLOOKUP($A179,집계!$B:$AD,MATCH(G$1,집계!$2:$2,0)-1,FALSE),"")</f>
        <v/>
      </c>
      <c r="H179" s="3" t="str">
        <f>IFERROR(VLOOKUP($A179,집계!$B:$AD,MATCH(H$1,집계!$2:$2,0)-1,FALSE),"")</f>
        <v/>
      </c>
      <c r="I179" s="3" t="str">
        <f>IFERROR(VLOOKUP($A179,집계!$B:$AD,MATCH(I$1,집계!$2:$2,0)-1,FALSE),"")</f>
        <v/>
      </c>
      <c r="J179" s="3" t="str">
        <f>IFERROR(VLOOKUP($A179,집계!$B:$AD,MATCH(J$1,집계!$2:$2,0)-1,FALSE),"")</f>
        <v/>
      </c>
      <c r="K179" s="3" t="str">
        <f>IFERROR(VLOOKUP($A179,집계!$B:$AD,MATCH(K$1,집계!$2:$2,0)-1,FALSE),"")</f>
        <v/>
      </c>
      <c r="L179" s="3" t="str">
        <f>IFERROR(VLOOKUP($A179,집계!$B:$AD,MATCH(L$1,집계!$2:$2,0)-1,FALSE),"")</f>
        <v/>
      </c>
      <c r="M179" s="16" t="str">
        <f>IFERROR(VLOOKUP($A179,집계!$B:$AD,MATCH(M$1,집계!$2:$2,0)-1,FALSE),"")</f>
        <v/>
      </c>
      <c r="N179" s="16" t="str">
        <f>IFERROR(VLOOKUP($A179,집계!$B:$AD,MATCH(N$1,집계!$2:$2,0)-1,FALSE),"")</f>
        <v/>
      </c>
      <c r="O179" s="16" t="str">
        <f>IFERROR(VLOOKUP($A179,집계!$B:$AD,MATCH(O$1,집계!$2:$2,0)-1,FALSE),"")</f>
        <v/>
      </c>
      <c r="P179" s="31" t="str">
        <f>IFERROR(VLOOKUP($A179,집계!$B:$AD,MATCH(P$1,집계!$2:$2,0)-1,FALSE),"")</f>
        <v/>
      </c>
    </row>
    <row r="180" spans="1:16" ht="17.100000000000001" customHeight="1" x14ac:dyDescent="0.35">
      <c r="A180" s="2"/>
      <c r="B180" s="4" t="str">
        <f>IFERROR(VLOOKUP($A180,집계!$B:$AD,MATCH(B$1,집계!$2:$2,0)-1,FALSE),"")</f>
        <v/>
      </c>
      <c r="C180" s="4" t="str">
        <f>IFERROR(VLOOKUP($A180,집계!$B:$AD,MATCH(C$1,집계!$2:$2,0)-1,FALSE),"")</f>
        <v/>
      </c>
      <c r="D180" s="4" t="str">
        <f>IFERROR(VLOOKUP($A180,집계!$B:$AD,MATCH(D$1,집계!$2:$2,0)-1,FALSE),"")</f>
        <v/>
      </c>
      <c r="E180" s="4" t="str">
        <f>IFERROR(VLOOKUP($A180,집계!$B:$AD,MATCH(E$1,집계!$2:$2,0)-1,FALSE),"")</f>
        <v/>
      </c>
      <c r="F180" s="31" t="str">
        <f>IFERROR(VLOOKUP($A180,대상!$B:$AD,MATCH(F$1,대상!$1:$1,0)-1,FALSE),"")</f>
        <v/>
      </c>
      <c r="G180" s="3" t="str">
        <f>IFERROR(VLOOKUP($A180,집계!$B:$AD,MATCH(G$1,집계!$2:$2,0)-1,FALSE),"")</f>
        <v/>
      </c>
      <c r="H180" s="3" t="str">
        <f>IFERROR(VLOOKUP($A180,집계!$B:$AD,MATCH(H$1,집계!$2:$2,0)-1,FALSE),"")</f>
        <v/>
      </c>
      <c r="I180" s="3" t="str">
        <f>IFERROR(VLOOKUP($A180,집계!$B:$AD,MATCH(I$1,집계!$2:$2,0)-1,FALSE),"")</f>
        <v/>
      </c>
      <c r="J180" s="3" t="str">
        <f>IFERROR(VLOOKUP($A180,집계!$B:$AD,MATCH(J$1,집계!$2:$2,0)-1,FALSE),"")</f>
        <v/>
      </c>
      <c r="K180" s="3" t="str">
        <f>IFERROR(VLOOKUP($A180,집계!$B:$AD,MATCH(K$1,집계!$2:$2,0)-1,FALSE),"")</f>
        <v/>
      </c>
      <c r="L180" s="3" t="str">
        <f>IFERROR(VLOOKUP($A180,집계!$B:$AD,MATCH(L$1,집계!$2:$2,0)-1,FALSE),"")</f>
        <v/>
      </c>
      <c r="M180" s="16" t="str">
        <f>IFERROR(VLOOKUP($A180,집계!$B:$AD,MATCH(M$1,집계!$2:$2,0)-1,FALSE),"")</f>
        <v/>
      </c>
      <c r="N180" s="16" t="str">
        <f>IFERROR(VLOOKUP($A180,집계!$B:$AD,MATCH(N$1,집계!$2:$2,0)-1,FALSE),"")</f>
        <v/>
      </c>
      <c r="O180" s="16" t="str">
        <f>IFERROR(VLOOKUP($A180,집계!$B:$AD,MATCH(O$1,집계!$2:$2,0)-1,FALSE),"")</f>
        <v/>
      </c>
      <c r="P180" s="31" t="str">
        <f>IFERROR(VLOOKUP($A180,집계!$B:$AD,MATCH(P$1,집계!$2:$2,0)-1,FALSE),"")</f>
        <v/>
      </c>
    </row>
    <row r="181" spans="1:16" ht="17.100000000000001" customHeight="1" x14ac:dyDescent="0.35">
      <c r="A181" s="4"/>
      <c r="B181" s="4" t="str">
        <f>IFERROR(VLOOKUP($A181,집계!$B:$AD,MATCH(B$1,집계!$2:$2,0)-1,FALSE),"")</f>
        <v/>
      </c>
      <c r="C181" s="4" t="str">
        <f>IFERROR(VLOOKUP($A181,집계!$B:$AD,MATCH(C$1,집계!$2:$2,0)-1,FALSE),"")</f>
        <v/>
      </c>
      <c r="D181" s="4" t="str">
        <f>IFERROR(VLOOKUP($A181,집계!$B:$AD,MATCH(D$1,집계!$2:$2,0)-1,FALSE),"")</f>
        <v/>
      </c>
      <c r="E181" s="4" t="str">
        <f>IFERROR(VLOOKUP($A181,집계!$B:$AD,MATCH(E$1,집계!$2:$2,0)-1,FALSE),"")</f>
        <v/>
      </c>
      <c r="F181" s="31" t="str">
        <f>IFERROR(VLOOKUP($A181,대상!$B:$AD,MATCH(F$1,대상!$1:$1,0)-1,FALSE),"")</f>
        <v/>
      </c>
      <c r="G181" s="3" t="str">
        <f>IFERROR(VLOOKUP($A181,집계!$B:$AD,MATCH(G$1,집계!$2:$2,0)-1,FALSE),"")</f>
        <v/>
      </c>
      <c r="H181" s="3" t="str">
        <f>IFERROR(VLOOKUP($A181,집계!$B:$AD,MATCH(H$1,집계!$2:$2,0)-1,FALSE),"")</f>
        <v/>
      </c>
      <c r="I181" s="3" t="str">
        <f>IFERROR(VLOOKUP($A181,집계!$B:$AD,MATCH(I$1,집계!$2:$2,0)-1,FALSE),"")</f>
        <v/>
      </c>
      <c r="J181" s="3" t="str">
        <f>IFERROR(VLOOKUP($A181,집계!$B:$AD,MATCH(J$1,집계!$2:$2,0)-1,FALSE),"")</f>
        <v/>
      </c>
      <c r="K181" s="3" t="str">
        <f>IFERROR(VLOOKUP($A181,집계!$B:$AD,MATCH(K$1,집계!$2:$2,0)-1,FALSE),"")</f>
        <v/>
      </c>
      <c r="L181" s="3" t="str">
        <f>IFERROR(VLOOKUP($A181,집계!$B:$AD,MATCH(L$1,집계!$2:$2,0)-1,FALSE),"")</f>
        <v/>
      </c>
      <c r="M181" s="16" t="str">
        <f>IFERROR(VLOOKUP($A181,집계!$B:$AD,MATCH(M$1,집계!$2:$2,0)-1,FALSE),"")</f>
        <v/>
      </c>
      <c r="N181" s="16" t="str">
        <f>IFERROR(VLOOKUP($A181,집계!$B:$AD,MATCH(N$1,집계!$2:$2,0)-1,FALSE),"")</f>
        <v/>
      </c>
      <c r="O181" s="16" t="str">
        <f>IFERROR(VLOOKUP($A181,집계!$B:$AD,MATCH(O$1,집계!$2:$2,0)-1,FALSE),"")</f>
        <v/>
      </c>
      <c r="P181" s="31" t="str">
        <f>IFERROR(VLOOKUP($A181,집계!$B:$AD,MATCH(P$1,집계!$2:$2,0)-1,FALSE),"")</f>
        <v/>
      </c>
    </row>
    <row r="182" spans="1:16" ht="17.100000000000001" customHeight="1" x14ac:dyDescent="0.35">
      <c r="A182" s="2"/>
      <c r="B182" s="4" t="str">
        <f>IFERROR(VLOOKUP($A182,집계!$B:$AD,MATCH(B$1,집계!$2:$2,0)-1,FALSE),"")</f>
        <v/>
      </c>
      <c r="C182" s="4" t="str">
        <f>IFERROR(VLOOKUP($A182,집계!$B:$AD,MATCH(C$1,집계!$2:$2,0)-1,FALSE),"")</f>
        <v/>
      </c>
      <c r="D182" s="4" t="str">
        <f>IFERROR(VLOOKUP($A182,집계!$B:$AD,MATCH(D$1,집계!$2:$2,0)-1,FALSE),"")</f>
        <v/>
      </c>
      <c r="E182" s="4" t="str">
        <f>IFERROR(VLOOKUP($A182,집계!$B:$AD,MATCH(E$1,집계!$2:$2,0)-1,FALSE),"")</f>
        <v/>
      </c>
      <c r="F182" s="31" t="str">
        <f>IFERROR(VLOOKUP($A182,대상!$B:$AD,MATCH(F$1,대상!$1:$1,0)-1,FALSE),"")</f>
        <v/>
      </c>
      <c r="G182" s="3" t="str">
        <f>IFERROR(VLOOKUP($A182,집계!$B:$AD,MATCH(G$1,집계!$2:$2,0)-1,FALSE),"")</f>
        <v/>
      </c>
      <c r="H182" s="3" t="str">
        <f>IFERROR(VLOOKUP($A182,집계!$B:$AD,MATCH(H$1,집계!$2:$2,0)-1,FALSE),"")</f>
        <v/>
      </c>
      <c r="I182" s="3" t="str">
        <f>IFERROR(VLOOKUP($A182,집계!$B:$AD,MATCH(I$1,집계!$2:$2,0)-1,FALSE),"")</f>
        <v/>
      </c>
      <c r="J182" s="3" t="str">
        <f>IFERROR(VLOOKUP($A182,집계!$B:$AD,MATCH(J$1,집계!$2:$2,0)-1,FALSE),"")</f>
        <v/>
      </c>
      <c r="K182" s="3" t="str">
        <f>IFERROR(VLOOKUP($A182,집계!$B:$AD,MATCH(K$1,집계!$2:$2,0)-1,FALSE),"")</f>
        <v/>
      </c>
      <c r="L182" s="3" t="str">
        <f>IFERROR(VLOOKUP($A182,집계!$B:$AD,MATCH(L$1,집계!$2:$2,0)-1,FALSE),"")</f>
        <v/>
      </c>
      <c r="M182" s="16" t="str">
        <f>IFERROR(VLOOKUP($A182,집계!$B:$AD,MATCH(M$1,집계!$2:$2,0)-1,FALSE),"")</f>
        <v/>
      </c>
      <c r="N182" s="16" t="str">
        <f>IFERROR(VLOOKUP($A182,집계!$B:$AD,MATCH(N$1,집계!$2:$2,0)-1,FALSE),"")</f>
        <v/>
      </c>
      <c r="O182" s="16" t="str">
        <f>IFERROR(VLOOKUP($A182,집계!$B:$AD,MATCH(O$1,집계!$2:$2,0)-1,FALSE),"")</f>
        <v/>
      </c>
      <c r="P182" s="31" t="str">
        <f>IFERROR(VLOOKUP($A182,집계!$B:$AD,MATCH(P$1,집계!$2:$2,0)-1,FALSE),"")</f>
        <v/>
      </c>
    </row>
    <row r="183" spans="1:16" ht="17.100000000000001" customHeight="1" x14ac:dyDescent="0.35">
      <c r="A183" s="2"/>
      <c r="B183" s="4" t="str">
        <f>IFERROR(VLOOKUP($A183,집계!$B:$AD,MATCH(B$1,집계!$2:$2,0)-1,FALSE),"")</f>
        <v/>
      </c>
      <c r="C183" s="4" t="str">
        <f>IFERROR(VLOOKUP($A183,집계!$B:$AD,MATCH(C$1,집계!$2:$2,0)-1,FALSE),"")</f>
        <v/>
      </c>
      <c r="D183" s="4" t="str">
        <f>IFERROR(VLOOKUP($A183,집계!$B:$AD,MATCH(D$1,집계!$2:$2,0)-1,FALSE),"")</f>
        <v/>
      </c>
      <c r="E183" s="4" t="str">
        <f>IFERROR(VLOOKUP($A183,집계!$B:$AD,MATCH(E$1,집계!$2:$2,0)-1,FALSE),"")</f>
        <v/>
      </c>
      <c r="F183" s="31" t="str">
        <f>IFERROR(VLOOKUP($A183,대상!$B:$AD,MATCH(F$1,대상!$1:$1,0)-1,FALSE),"")</f>
        <v/>
      </c>
      <c r="G183" s="3" t="str">
        <f>IFERROR(VLOOKUP($A183,집계!$B:$AD,MATCH(G$1,집계!$2:$2,0)-1,FALSE),"")</f>
        <v/>
      </c>
      <c r="H183" s="3" t="str">
        <f>IFERROR(VLOOKUP($A183,집계!$B:$AD,MATCH(H$1,집계!$2:$2,0)-1,FALSE),"")</f>
        <v/>
      </c>
      <c r="I183" s="3" t="str">
        <f>IFERROR(VLOOKUP($A183,집계!$B:$AD,MATCH(I$1,집계!$2:$2,0)-1,FALSE),"")</f>
        <v/>
      </c>
      <c r="J183" s="3" t="str">
        <f>IFERROR(VLOOKUP($A183,집계!$B:$AD,MATCH(J$1,집계!$2:$2,0)-1,FALSE),"")</f>
        <v/>
      </c>
      <c r="K183" s="3" t="str">
        <f>IFERROR(VLOOKUP($A183,집계!$B:$AD,MATCH(K$1,집계!$2:$2,0)-1,FALSE),"")</f>
        <v/>
      </c>
      <c r="L183" s="3" t="str">
        <f>IFERROR(VLOOKUP($A183,집계!$B:$AD,MATCH(L$1,집계!$2:$2,0)-1,FALSE),"")</f>
        <v/>
      </c>
      <c r="M183" s="16" t="str">
        <f>IFERROR(VLOOKUP($A183,집계!$B:$AD,MATCH(M$1,집계!$2:$2,0)-1,FALSE),"")</f>
        <v/>
      </c>
      <c r="N183" s="16" t="str">
        <f>IFERROR(VLOOKUP($A183,집계!$B:$AD,MATCH(N$1,집계!$2:$2,0)-1,FALSE),"")</f>
        <v/>
      </c>
      <c r="O183" s="16" t="str">
        <f>IFERROR(VLOOKUP($A183,집계!$B:$AD,MATCH(O$1,집계!$2:$2,0)-1,FALSE),"")</f>
        <v/>
      </c>
      <c r="P183" s="31" t="str">
        <f>IFERROR(VLOOKUP($A183,집계!$B:$AD,MATCH(P$1,집계!$2:$2,0)-1,FALSE),"")</f>
        <v/>
      </c>
    </row>
    <row r="184" spans="1:16" ht="17.100000000000001" customHeight="1" x14ac:dyDescent="0.35">
      <c r="A184" s="2"/>
      <c r="B184" s="4" t="str">
        <f>IFERROR(VLOOKUP($A184,집계!$B:$AD,MATCH(B$1,집계!$2:$2,0)-1,FALSE),"")</f>
        <v/>
      </c>
      <c r="C184" s="4" t="str">
        <f>IFERROR(VLOOKUP($A184,집계!$B:$AD,MATCH(C$1,집계!$2:$2,0)-1,FALSE),"")</f>
        <v/>
      </c>
      <c r="D184" s="4" t="str">
        <f>IFERROR(VLOOKUP($A184,집계!$B:$AD,MATCH(D$1,집계!$2:$2,0)-1,FALSE),"")</f>
        <v/>
      </c>
      <c r="E184" s="4" t="str">
        <f>IFERROR(VLOOKUP($A184,집계!$B:$AD,MATCH(E$1,집계!$2:$2,0)-1,FALSE),"")</f>
        <v/>
      </c>
      <c r="F184" s="31" t="str">
        <f>IFERROR(VLOOKUP($A184,대상!$B:$AD,MATCH(F$1,대상!$1:$1,0)-1,FALSE),"")</f>
        <v/>
      </c>
      <c r="G184" s="3" t="str">
        <f>IFERROR(VLOOKUP($A184,집계!$B:$AD,MATCH(G$1,집계!$2:$2,0)-1,FALSE),"")</f>
        <v/>
      </c>
      <c r="H184" s="3" t="str">
        <f>IFERROR(VLOOKUP($A184,집계!$B:$AD,MATCH(H$1,집계!$2:$2,0)-1,FALSE),"")</f>
        <v/>
      </c>
      <c r="I184" s="3" t="str">
        <f>IFERROR(VLOOKUP($A184,집계!$B:$AD,MATCH(I$1,집계!$2:$2,0)-1,FALSE),"")</f>
        <v/>
      </c>
      <c r="J184" s="3" t="str">
        <f>IFERROR(VLOOKUP($A184,집계!$B:$AD,MATCH(J$1,집계!$2:$2,0)-1,FALSE),"")</f>
        <v/>
      </c>
      <c r="K184" s="3" t="str">
        <f>IFERROR(VLOOKUP($A184,집계!$B:$AD,MATCH(K$1,집계!$2:$2,0)-1,FALSE),"")</f>
        <v/>
      </c>
      <c r="L184" s="3" t="str">
        <f>IFERROR(VLOOKUP($A184,집계!$B:$AD,MATCH(L$1,집계!$2:$2,0)-1,FALSE),"")</f>
        <v/>
      </c>
      <c r="M184" s="16" t="str">
        <f>IFERROR(VLOOKUP($A184,집계!$B:$AD,MATCH(M$1,집계!$2:$2,0)-1,FALSE),"")</f>
        <v/>
      </c>
      <c r="N184" s="16" t="str">
        <f>IFERROR(VLOOKUP($A184,집계!$B:$AD,MATCH(N$1,집계!$2:$2,0)-1,FALSE),"")</f>
        <v/>
      </c>
      <c r="O184" s="16" t="str">
        <f>IFERROR(VLOOKUP($A184,집계!$B:$AD,MATCH(O$1,집계!$2:$2,0)-1,FALSE),"")</f>
        <v/>
      </c>
      <c r="P184" s="31" t="str">
        <f>IFERROR(VLOOKUP($A184,집계!$B:$AD,MATCH(P$1,집계!$2:$2,0)-1,FALSE),"")</f>
        <v/>
      </c>
    </row>
    <row r="185" spans="1:16" ht="17.100000000000001" customHeight="1" x14ac:dyDescent="0.35">
      <c r="A185" s="2"/>
      <c r="B185" s="4" t="str">
        <f>IFERROR(VLOOKUP($A185,집계!$B:$AD,MATCH(B$1,집계!$2:$2,0)-1,FALSE),"")</f>
        <v/>
      </c>
      <c r="C185" s="4" t="str">
        <f>IFERROR(VLOOKUP($A185,집계!$B:$AD,MATCH(C$1,집계!$2:$2,0)-1,FALSE),"")</f>
        <v/>
      </c>
      <c r="D185" s="4" t="str">
        <f>IFERROR(VLOOKUP($A185,집계!$B:$AD,MATCH(D$1,집계!$2:$2,0)-1,FALSE),"")</f>
        <v/>
      </c>
      <c r="E185" s="4" t="str">
        <f>IFERROR(VLOOKUP($A185,집계!$B:$AD,MATCH(E$1,집계!$2:$2,0)-1,FALSE),"")</f>
        <v/>
      </c>
      <c r="F185" s="31" t="str">
        <f>IFERROR(VLOOKUP($A185,대상!$B:$AD,MATCH(F$1,대상!$1:$1,0)-1,FALSE),"")</f>
        <v/>
      </c>
      <c r="G185" s="3" t="str">
        <f>IFERROR(VLOOKUP($A185,집계!$B:$AD,MATCH(G$1,집계!$2:$2,0)-1,FALSE),"")</f>
        <v/>
      </c>
      <c r="H185" s="3" t="str">
        <f>IFERROR(VLOOKUP($A185,집계!$B:$AD,MATCH(H$1,집계!$2:$2,0)-1,FALSE),"")</f>
        <v/>
      </c>
      <c r="I185" s="3" t="str">
        <f>IFERROR(VLOOKUP($A185,집계!$B:$AD,MATCH(I$1,집계!$2:$2,0)-1,FALSE),"")</f>
        <v/>
      </c>
      <c r="J185" s="3" t="str">
        <f>IFERROR(VLOOKUP($A185,집계!$B:$AD,MATCH(J$1,집계!$2:$2,0)-1,FALSE),"")</f>
        <v/>
      </c>
      <c r="K185" s="3" t="str">
        <f>IFERROR(VLOOKUP($A185,집계!$B:$AD,MATCH(K$1,집계!$2:$2,0)-1,FALSE),"")</f>
        <v/>
      </c>
      <c r="L185" s="3" t="str">
        <f>IFERROR(VLOOKUP($A185,집계!$B:$AD,MATCH(L$1,집계!$2:$2,0)-1,FALSE),"")</f>
        <v/>
      </c>
      <c r="M185" s="16" t="str">
        <f>IFERROR(VLOOKUP($A185,집계!$B:$AD,MATCH(M$1,집계!$2:$2,0)-1,FALSE),"")</f>
        <v/>
      </c>
      <c r="N185" s="16" t="str">
        <f>IFERROR(VLOOKUP($A185,집계!$B:$AD,MATCH(N$1,집계!$2:$2,0)-1,FALSE),"")</f>
        <v/>
      </c>
      <c r="O185" s="16" t="str">
        <f>IFERROR(VLOOKUP($A185,집계!$B:$AD,MATCH(O$1,집계!$2:$2,0)-1,FALSE),"")</f>
        <v/>
      </c>
      <c r="P185" s="31" t="str">
        <f>IFERROR(VLOOKUP($A185,집계!$B:$AD,MATCH(P$1,집계!$2:$2,0)-1,FALSE),"")</f>
        <v/>
      </c>
    </row>
    <row r="186" spans="1:16" ht="17.100000000000001" customHeight="1" x14ac:dyDescent="0.35">
      <c r="A186" s="2"/>
      <c r="B186" s="4" t="str">
        <f>IFERROR(VLOOKUP($A186,집계!$B:$AD,MATCH(B$1,집계!$2:$2,0)-1,FALSE),"")</f>
        <v/>
      </c>
      <c r="C186" s="4" t="str">
        <f>IFERROR(VLOOKUP($A186,집계!$B:$AD,MATCH(C$1,집계!$2:$2,0)-1,FALSE),"")</f>
        <v/>
      </c>
      <c r="D186" s="4" t="str">
        <f>IFERROR(VLOOKUP($A186,집계!$B:$AD,MATCH(D$1,집계!$2:$2,0)-1,FALSE),"")</f>
        <v/>
      </c>
      <c r="E186" s="4" t="str">
        <f>IFERROR(VLOOKUP($A186,집계!$B:$AD,MATCH(E$1,집계!$2:$2,0)-1,FALSE),"")</f>
        <v/>
      </c>
      <c r="F186" s="31" t="str">
        <f>IFERROR(VLOOKUP($A186,대상!$B:$AD,MATCH(F$1,대상!$1:$1,0)-1,FALSE),"")</f>
        <v/>
      </c>
      <c r="G186" s="3" t="str">
        <f>IFERROR(VLOOKUP($A186,집계!$B:$AD,MATCH(G$1,집계!$2:$2,0)-1,FALSE),"")</f>
        <v/>
      </c>
      <c r="H186" s="3" t="str">
        <f>IFERROR(VLOOKUP($A186,집계!$B:$AD,MATCH(H$1,집계!$2:$2,0)-1,FALSE),"")</f>
        <v/>
      </c>
      <c r="I186" s="3" t="str">
        <f>IFERROR(VLOOKUP($A186,집계!$B:$AD,MATCH(I$1,집계!$2:$2,0)-1,FALSE),"")</f>
        <v/>
      </c>
      <c r="J186" s="3" t="str">
        <f>IFERROR(VLOOKUP($A186,집계!$B:$AD,MATCH(J$1,집계!$2:$2,0)-1,FALSE),"")</f>
        <v/>
      </c>
      <c r="K186" s="3" t="str">
        <f>IFERROR(VLOOKUP($A186,집계!$B:$AD,MATCH(K$1,집계!$2:$2,0)-1,FALSE),"")</f>
        <v/>
      </c>
      <c r="L186" s="3" t="str">
        <f>IFERROR(VLOOKUP($A186,집계!$B:$AD,MATCH(L$1,집계!$2:$2,0)-1,FALSE),"")</f>
        <v/>
      </c>
      <c r="M186" s="16" t="str">
        <f>IFERROR(VLOOKUP($A186,집계!$B:$AD,MATCH(M$1,집계!$2:$2,0)-1,FALSE),"")</f>
        <v/>
      </c>
      <c r="N186" s="16" t="str">
        <f>IFERROR(VLOOKUP($A186,집계!$B:$AD,MATCH(N$1,집계!$2:$2,0)-1,FALSE),"")</f>
        <v/>
      </c>
      <c r="O186" s="16" t="str">
        <f>IFERROR(VLOOKUP($A186,집계!$B:$AD,MATCH(O$1,집계!$2:$2,0)-1,FALSE),"")</f>
        <v/>
      </c>
      <c r="P186" s="31" t="str">
        <f>IFERROR(VLOOKUP($A186,집계!$B:$AD,MATCH(P$1,집계!$2:$2,0)-1,FALSE),"")</f>
        <v/>
      </c>
    </row>
    <row r="187" spans="1:16" ht="17.100000000000001" customHeight="1" x14ac:dyDescent="0.35">
      <c r="A187" s="2"/>
      <c r="B187" s="4" t="str">
        <f>IFERROR(VLOOKUP($A187,집계!$B:$AD,MATCH(B$1,집계!$2:$2,0)-1,FALSE),"")</f>
        <v/>
      </c>
      <c r="C187" s="4" t="str">
        <f>IFERROR(VLOOKUP($A187,집계!$B:$AD,MATCH(C$1,집계!$2:$2,0)-1,FALSE),"")</f>
        <v/>
      </c>
      <c r="D187" s="4" t="str">
        <f>IFERROR(VLOOKUP($A187,집계!$B:$AD,MATCH(D$1,집계!$2:$2,0)-1,FALSE),"")</f>
        <v/>
      </c>
      <c r="E187" s="4" t="str">
        <f>IFERROR(VLOOKUP($A187,집계!$B:$AD,MATCH(E$1,집계!$2:$2,0)-1,FALSE),"")</f>
        <v/>
      </c>
      <c r="F187" s="31" t="str">
        <f>IFERROR(VLOOKUP($A187,대상!$B:$AD,MATCH(F$1,대상!$1:$1,0)-1,FALSE),"")</f>
        <v/>
      </c>
      <c r="G187" s="3" t="str">
        <f>IFERROR(VLOOKUP($A187,집계!$B:$AD,MATCH(G$1,집계!$2:$2,0)-1,FALSE),"")</f>
        <v/>
      </c>
      <c r="H187" s="3" t="str">
        <f>IFERROR(VLOOKUP($A187,집계!$B:$AD,MATCH(H$1,집계!$2:$2,0)-1,FALSE),"")</f>
        <v/>
      </c>
      <c r="I187" s="3" t="str">
        <f>IFERROR(VLOOKUP($A187,집계!$B:$AD,MATCH(I$1,집계!$2:$2,0)-1,FALSE),"")</f>
        <v/>
      </c>
      <c r="J187" s="3" t="str">
        <f>IFERROR(VLOOKUP($A187,집계!$B:$AD,MATCH(J$1,집계!$2:$2,0)-1,FALSE),"")</f>
        <v/>
      </c>
      <c r="K187" s="3" t="str">
        <f>IFERROR(VLOOKUP($A187,집계!$B:$AD,MATCH(K$1,집계!$2:$2,0)-1,FALSE),"")</f>
        <v/>
      </c>
      <c r="L187" s="3" t="str">
        <f>IFERROR(VLOOKUP($A187,집계!$B:$AD,MATCH(L$1,집계!$2:$2,0)-1,FALSE),"")</f>
        <v/>
      </c>
      <c r="M187" s="16" t="str">
        <f>IFERROR(VLOOKUP($A187,집계!$B:$AD,MATCH(M$1,집계!$2:$2,0)-1,FALSE),"")</f>
        <v/>
      </c>
      <c r="N187" s="16" t="str">
        <f>IFERROR(VLOOKUP($A187,집계!$B:$AD,MATCH(N$1,집계!$2:$2,0)-1,FALSE),"")</f>
        <v/>
      </c>
      <c r="O187" s="16" t="str">
        <f>IFERROR(VLOOKUP($A187,집계!$B:$AD,MATCH(O$1,집계!$2:$2,0)-1,FALSE),"")</f>
        <v/>
      </c>
      <c r="P187" s="31" t="str">
        <f>IFERROR(VLOOKUP($A187,집계!$B:$AD,MATCH(P$1,집계!$2:$2,0)-1,FALSE),"")</f>
        <v/>
      </c>
    </row>
    <row r="188" spans="1:16" ht="17.100000000000001" customHeight="1" x14ac:dyDescent="0.35">
      <c r="A188" s="2"/>
      <c r="B188" s="4" t="str">
        <f>IFERROR(VLOOKUP($A188,집계!$B:$AD,MATCH(B$1,집계!$2:$2,0)-1,FALSE),"")</f>
        <v/>
      </c>
      <c r="C188" s="4" t="str">
        <f>IFERROR(VLOOKUP($A188,집계!$B:$AD,MATCH(C$1,집계!$2:$2,0)-1,FALSE),"")</f>
        <v/>
      </c>
      <c r="D188" s="4" t="str">
        <f>IFERROR(VLOOKUP($A188,집계!$B:$AD,MATCH(D$1,집계!$2:$2,0)-1,FALSE),"")</f>
        <v/>
      </c>
      <c r="E188" s="4" t="str">
        <f>IFERROR(VLOOKUP($A188,집계!$B:$AD,MATCH(E$1,집계!$2:$2,0)-1,FALSE),"")</f>
        <v/>
      </c>
      <c r="F188" s="31" t="str">
        <f>IFERROR(VLOOKUP($A188,대상!$B:$AD,MATCH(F$1,대상!$1:$1,0)-1,FALSE),"")</f>
        <v/>
      </c>
      <c r="G188" s="3" t="str">
        <f>IFERROR(VLOOKUP($A188,집계!$B:$AD,MATCH(G$1,집계!$2:$2,0)-1,FALSE),"")</f>
        <v/>
      </c>
      <c r="H188" s="3" t="str">
        <f>IFERROR(VLOOKUP($A188,집계!$B:$AD,MATCH(H$1,집계!$2:$2,0)-1,FALSE),"")</f>
        <v/>
      </c>
      <c r="I188" s="3" t="str">
        <f>IFERROR(VLOOKUP($A188,집계!$B:$AD,MATCH(I$1,집계!$2:$2,0)-1,FALSE),"")</f>
        <v/>
      </c>
      <c r="J188" s="3" t="str">
        <f>IFERROR(VLOOKUP($A188,집계!$B:$AD,MATCH(J$1,집계!$2:$2,0)-1,FALSE),"")</f>
        <v/>
      </c>
      <c r="K188" s="3" t="str">
        <f>IFERROR(VLOOKUP($A188,집계!$B:$AD,MATCH(K$1,집계!$2:$2,0)-1,FALSE),"")</f>
        <v/>
      </c>
      <c r="L188" s="3" t="str">
        <f>IFERROR(VLOOKUP($A188,집계!$B:$AD,MATCH(L$1,집계!$2:$2,0)-1,FALSE),"")</f>
        <v/>
      </c>
      <c r="M188" s="16" t="str">
        <f>IFERROR(VLOOKUP($A188,집계!$B:$AD,MATCH(M$1,집계!$2:$2,0)-1,FALSE),"")</f>
        <v/>
      </c>
      <c r="N188" s="16" t="str">
        <f>IFERROR(VLOOKUP($A188,집계!$B:$AD,MATCH(N$1,집계!$2:$2,0)-1,FALSE),"")</f>
        <v/>
      </c>
      <c r="O188" s="16" t="str">
        <f>IFERROR(VLOOKUP($A188,집계!$B:$AD,MATCH(O$1,집계!$2:$2,0)-1,FALSE),"")</f>
        <v/>
      </c>
      <c r="P188" s="31" t="str">
        <f>IFERROR(VLOOKUP($A188,집계!$B:$AD,MATCH(P$1,집계!$2:$2,0)-1,FALSE),"")</f>
        <v/>
      </c>
    </row>
    <row r="189" spans="1:16" ht="17.100000000000001" customHeight="1" x14ac:dyDescent="0.35">
      <c r="A189" s="2"/>
      <c r="B189" s="4" t="str">
        <f>IFERROR(VLOOKUP($A189,집계!$B:$AD,MATCH(B$1,집계!$2:$2,0)-1,FALSE),"")</f>
        <v/>
      </c>
      <c r="C189" s="4" t="str">
        <f>IFERROR(VLOOKUP($A189,집계!$B:$AD,MATCH(C$1,집계!$2:$2,0)-1,FALSE),"")</f>
        <v/>
      </c>
      <c r="D189" s="4" t="str">
        <f>IFERROR(VLOOKUP($A189,집계!$B:$AD,MATCH(D$1,집계!$2:$2,0)-1,FALSE),"")</f>
        <v/>
      </c>
      <c r="E189" s="4" t="str">
        <f>IFERROR(VLOOKUP($A189,집계!$B:$AD,MATCH(E$1,집계!$2:$2,0)-1,FALSE),"")</f>
        <v/>
      </c>
      <c r="F189" s="31" t="str">
        <f>IFERROR(VLOOKUP($A189,대상!$B:$AD,MATCH(F$1,대상!$1:$1,0)-1,FALSE),"")</f>
        <v/>
      </c>
      <c r="G189" s="3" t="str">
        <f>IFERROR(VLOOKUP($A189,집계!$B:$AD,MATCH(G$1,집계!$2:$2,0)-1,FALSE),"")</f>
        <v/>
      </c>
      <c r="H189" s="3" t="str">
        <f>IFERROR(VLOOKUP($A189,집계!$B:$AD,MATCH(H$1,집계!$2:$2,0)-1,FALSE),"")</f>
        <v/>
      </c>
      <c r="I189" s="3" t="str">
        <f>IFERROR(VLOOKUP($A189,집계!$B:$AD,MATCH(I$1,집계!$2:$2,0)-1,FALSE),"")</f>
        <v/>
      </c>
      <c r="J189" s="3" t="str">
        <f>IFERROR(VLOOKUP($A189,집계!$B:$AD,MATCH(J$1,집계!$2:$2,0)-1,FALSE),"")</f>
        <v/>
      </c>
      <c r="K189" s="3" t="str">
        <f>IFERROR(VLOOKUP($A189,집계!$B:$AD,MATCH(K$1,집계!$2:$2,0)-1,FALSE),"")</f>
        <v/>
      </c>
      <c r="L189" s="3" t="str">
        <f>IFERROR(VLOOKUP($A189,집계!$B:$AD,MATCH(L$1,집계!$2:$2,0)-1,FALSE),"")</f>
        <v/>
      </c>
      <c r="M189" s="16" t="str">
        <f>IFERROR(VLOOKUP($A189,집계!$B:$AD,MATCH(M$1,집계!$2:$2,0)-1,FALSE),"")</f>
        <v/>
      </c>
      <c r="N189" s="16" t="str">
        <f>IFERROR(VLOOKUP($A189,집계!$B:$AD,MATCH(N$1,집계!$2:$2,0)-1,FALSE),"")</f>
        <v/>
      </c>
      <c r="O189" s="16" t="str">
        <f>IFERROR(VLOOKUP($A189,집계!$B:$AD,MATCH(O$1,집계!$2:$2,0)-1,FALSE),"")</f>
        <v/>
      </c>
      <c r="P189" s="31" t="str">
        <f>IFERROR(VLOOKUP($A189,집계!$B:$AD,MATCH(P$1,집계!$2:$2,0)-1,FALSE),"")</f>
        <v/>
      </c>
    </row>
    <row r="190" spans="1:16" ht="17.100000000000001" customHeight="1" x14ac:dyDescent="0.35">
      <c r="A190" s="2"/>
      <c r="B190" s="4" t="str">
        <f>IFERROR(VLOOKUP($A190,집계!$B:$AD,MATCH(B$1,집계!$2:$2,0)-1,FALSE),"")</f>
        <v/>
      </c>
      <c r="C190" s="4" t="str">
        <f>IFERROR(VLOOKUP($A190,집계!$B:$AD,MATCH(C$1,집계!$2:$2,0)-1,FALSE),"")</f>
        <v/>
      </c>
      <c r="D190" s="4" t="str">
        <f>IFERROR(VLOOKUP($A190,집계!$B:$AD,MATCH(D$1,집계!$2:$2,0)-1,FALSE),"")</f>
        <v/>
      </c>
      <c r="E190" s="4" t="str">
        <f>IFERROR(VLOOKUP($A190,집계!$B:$AD,MATCH(E$1,집계!$2:$2,0)-1,FALSE),"")</f>
        <v/>
      </c>
      <c r="F190" s="31" t="str">
        <f>IFERROR(VLOOKUP($A190,대상!$B:$AD,MATCH(F$1,대상!$1:$1,0)-1,FALSE),"")</f>
        <v/>
      </c>
      <c r="G190" s="3" t="str">
        <f>IFERROR(VLOOKUP($A190,집계!$B:$AD,MATCH(G$1,집계!$2:$2,0)-1,FALSE),"")</f>
        <v/>
      </c>
      <c r="H190" s="3" t="str">
        <f>IFERROR(VLOOKUP($A190,집계!$B:$AD,MATCH(H$1,집계!$2:$2,0)-1,FALSE),"")</f>
        <v/>
      </c>
      <c r="I190" s="3" t="str">
        <f>IFERROR(VLOOKUP($A190,집계!$B:$AD,MATCH(I$1,집계!$2:$2,0)-1,FALSE),"")</f>
        <v/>
      </c>
      <c r="J190" s="3" t="str">
        <f>IFERROR(VLOOKUP($A190,집계!$B:$AD,MATCH(J$1,집계!$2:$2,0)-1,FALSE),"")</f>
        <v/>
      </c>
      <c r="K190" s="3" t="str">
        <f>IFERROR(VLOOKUP($A190,집계!$B:$AD,MATCH(K$1,집계!$2:$2,0)-1,FALSE),"")</f>
        <v/>
      </c>
      <c r="L190" s="3" t="str">
        <f>IFERROR(VLOOKUP($A190,집계!$B:$AD,MATCH(L$1,집계!$2:$2,0)-1,FALSE),"")</f>
        <v/>
      </c>
      <c r="M190" s="16" t="str">
        <f>IFERROR(VLOOKUP($A190,집계!$B:$AD,MATCH(M$1,집계!$2:$2,0)-1,FALSE),"")</f>
        <v/>
      </c>
      <c r="N190" s="16" t="str">
        <f>IFERROR(VLOOKUP($A190,집계!$B:$AD,MATCH(N$1,집계!$2:$2,0)-1,FALSE),"")</f>
        <v/>
      </c>
      <c r="O190" s="16" t="str">
        <f>IFERROR(VLOOKUP($A190,집계!$B:$AD,MATCH(O$1,집계!$2:$2,0)-1,FALSE),"")</f>
        <v/>
      </c>
      <c r="P190" s="31" t="str">
        <f>IFERROR(VLOOKUP($A190,집계!$B:$AD,MATCH(P$1,집계!$2:$2,0)-1,FALSE),"")</f>
        <v/>
      </c>
    </row>
    <row r="191" spans="1:16" ht="17.100000000000001" customHeight="1" x14ac:dyDescent="0.35">
      <c r="A191" s="2"/>
      <c r="B191" s="4" t="str">
        <f>IFERROR(VLOOKUP($A191,집계!$B:$AD,MATCH(B$1,집계!$2:$2,0)-1,FALSE),"")</f>
        <v/>
      </c>
      <c r="C191" s="4" t="str">
        <f>IFERROR(VLOOKUP($A191,집계!$B:$AD,MATCH(C$1,집계!$2:$2,0)-1,FALSE),"")</f>
        <v/>
      </c>
      <c r="D191" s="4" t="str">
        <f>IFERROR(VLOOKUP($A191,집계!$B:$AD,MATCH(D$1,집계!$2:$2,0)-1,FALSE),"")</f>
        <v/>
      </c>
      <c r="E191" s="4" t="str">
        <f>IFERROR(VLOOKUP($A191,집계!$B:$AD,MATCH(E$1,집계!$2:$2,0)-1,FALSE),"")</f>
        <v/>
      </c>
      <c r="F191" s="31" t="str">
        <f>IFERROR(VLOOKUP($A191,대상!$B:$AD,MATCH(F$1,대상!$1:$1,0)-1,FALSE),"")</f>
        <v/>
      </c>
      <c r="G191" s="3" t="str">
        <f>IFERROR(VLOOKUP($A191,집계!$B:$AD,MATCH(G$1,집계!$2:$2,0)-1,FALSE),"")</f>
        <v/>
      </c>
      <c r="H191" s="3" t="str">
        <f>IFERROR(VLOOKUP($A191,집계!$B:$AD,MATCH(H$1,집계!$2:$2,0)-1,FALSE),"")</f>
        <v/>
      </c>
      <c r="I191" s="3" t="str">
        <f>IFERROR(VLOOKUP($A191,집계!$B:$AD,MATCH(I$1,집계!$2:$2,0)-1,FALSE),"")</f>
        <v/>
      </c>
      <c r="J191" s="3" t="str">
        <f>IFERROR(VLOOKUP($A191,집계!$B:$AD,MATCH(J$1,집계!$2:$2,0)-1,FALSE),"")</f>
        <v/>
      </c>
      <c r="K191" s="3" t="str">
        <f>IFERROR(VLOOKUP($A191,집계!$B:$AD,MATCH(K$1,집계!$2:$2,0)-1,FALSE),"")</f>
        <v/>
      </c>
      <c r="L191" s="3" t="str">
        <f>IFERROR(VLOOKUP($A191,집계!$B:$AD,MATCH(L$1,집계!$2:$2,0)-1,FALSE),"")</f>
        <v/>
      </c>
      <c r="M191" s="16" t="str">
        <f>IFERROR(VLOOKUP($A191,집계!$B:$AD,MATCH(M$1,집계!$2:$2,0)-1,FALSE),"")</f>
        <v/>
      </c>
      <c r="N191" s="16" t="str">
        <f>IFERROR(VLOOKUP($A191,집계!$B:$AD,MATCH(N$1,집계!$2:$2,0)-1,FALSE),"")</f>
        <v/>
      </c>
      <c r="O191" s="16" t="str">
        <f>IFERROR(VLOOKUP($A191,집계!$B:$AD,MATCH(O$1,집계!$2:$2,0)-1,FALSE),"")</f>
        <v/>
      </c>
      <c r="P191" s="31" t="str">
        <f>IFERROR(VLOOKUP($A191,집계!$B:$AD,MATCH(P$1,집계!$2:$2,0)-1,FALSE),"")</f>
        <v/>
      </c>
    </row>
    <row r="192" spans="1:16" ht="17.100000000000001" customHeight="1" x14ac:dyDescent="0.35">
      <c r="A192" s="2"/>
      <c r="B192" s="4" t="str">
        <f>IFERROR(VLOOKUP($A192,집계!$B:$AD,MATCH(B$1,집계!$2:$2,0)-1,FALSE),"")</f>
        <v/>
      </c>
      <c r="C192" s="4" t="str">
        <f>IFERROR(VLOOKUP($A192,집계!$B:$AD,MATCH(C$1,집계!$2:$2,0)-1,FALSE),"")</f>
        <v/>
      </c>
      <c r="D192" s="4" t="str">
        <f>IFERROR(VLOOKUP($A192,집계!$B:$AD,MATCH(D$1,집계!$2:$2,0)-1,FALSE),"")</f>
        <v/>
      </c>
      <c r="E192" s="4" t="str">
        <f>IFERROR(VLOOKUP($A192,집계!$B:$AD,MATCH(E$1,집계!$2:$2,0)-1,FALSE),"")</f>
        <v/>
      </c>
      <c r="F192" s="31" t="str">
        <f>IFERROR(VLOOKUP($A192,대상!$B:$AD,MATCH(F$1,대상!$1:$1,0)-1,FALSE),"")</f>
        <v/>
      </c>
      <c r="G192" s="3" t="str">
        <f>IFERROR(VLOOKUP($A192,집계!$B:$AD,MATCH(G$1,집계!$2:$2,0)-1,FALSE),"")</f>
        <v/>
      </c>
      <c r="H192" s="3" t="str">
        <f>IFERROR(VLOOKUP($A192,집계!$B:$AD,MATCH(H$1,집계!$2:$2,0)-1,FALSE),"")</f>
        <v/>
      </c>
      <c r="I192" s="3" t="str">
        <f>IFERROR(VLOOKUP($A192,집계!$B:$AD,MATCH(I$1,집계!$2:$2,0)-1,FALSE),"")</f>
        <v/>
      </c>
      <c r="J192" s="3" t="str">
        <f>IFERROR(VLOOKUP($A192,집계!$B:$AD,MATCH(J$1,집계!$2:$2,0)-1,FALSE),"")</f>
        <v/>
      </c>
      <c r="K192" s="3" t="str">
        <f>IFERROR(VLOOKUP($A192,집계!$B:$AD,MATCH(K$1,집계!$2:$2,0)-1,FALSE),"")</f>
        <v/>
      </c>
      <c r="L192" s="3" t="str">
        <f>IFERROR(VLOOKUP($A192,집계!$B:$AD,MATCH(L$1,집계!$2:$2,0)-1,FALSE),"")</f>
        <v/>
      </c>
      <c r="M192" s="16" t="str">
        <f>IFERROR(VLOOKUP($A192,집계!$B:$AD,MATCH(M$1,집계!$2:$2,0)-1,FALSE),"")</f>
        <v/>
      </c>
      <c r="N192" s="16" t="str">
        <f>IFERROR(VLOOKUP($A192,집계!$B:$AD,MATCH(N$1,집계!$2:$2,0)-1,FALSE),"")</f>
        <v/>
      </c>
      <c r="O192" s="16" t="str">
        <f>IFERROR(VLOOKUP($A192,집계!$B:$AD,MATCH(O$1,집계!$2:$2,0)-1,FALSE),"")</f>
        <v/>
      </c>
      <c r="P192" s="31" t="str">
        <f>IFERROR(VLOOKUP($A192,집계!$B:$AD,MATCH(P$1,집계!$2:$2,0)-1,FALSE),"")</f>
        <v/>
      </c>
    </row>
    <row r="193" spans="1:16" ht="17.100000000000001" customHeight="1" x14ac:dyDescent="0.35">
      <c r="A193" s="2"/>
      <c r="B193" s="4" t="str">
        <f>IFERROR(VLOOKUP($A193,집계!$B:$AD,MATCH(B$1,집계!$2:$2,0)-1,FALSE),"")</f>
        <v/>
      </c>
      <c r="C193" s="4" t="str">
        <f>IFERROR(VLOOKUP($A193,집계!$B:$AD,MATCH(C$1,집계!$2:$2,0)-1,FALSE),"")</f>
        <v/>
      </c>
      <c r="D193" s="4" t="str">
        <f>IFERROR(VLOOKUP($A193,집계!$B:$AD,MATCH(D$1,집계!$2:$2,0)-1,FALSE),"")</f>
        <v/>
      </c>
      <c r="E193" s="4" t="str">
        <f>IFERROR(VLOOKUP($A193,집계!$B:$AD,MATCH(E$1,집계!$2:$2,0)-1,FALSE),"")</f>
        <v/>
      </c>
      <c r="F193" s="31" t="str">
        <f>IFERROR(VLOOKUP($A193,대상!$B:$AD,MATCH(F$1,대상!$1:$1,0)-1,FALSE),"")</f>
        <v/>
      </c>
      <c r="G193" s="3" t="str">
        <f>IFERROR(VLOOKUP($A193,집계!$B:$AD,MATCH(G$1,집계!$2:$2,0)-1,FALSE),"")</f>
        <v/>
      </c>
      <c r="H193" s="3" t="str">
        <f>IFERROR(VLOOKUP($A193,집계!$B:$AD,MATCH(H$1,집계!$2:$2,0)-1,FALSE),"")</f>
        <v/>
      </c>
      <c r="I193" s="3" t="str">
        <f>IFERROR(VLOOKUP($A193,집계!$B:$AD,MATCH(I$1,집계!$2:$2,0)-1,FALSE),"")</f>
        <v/>
      </c>
      <c r="J193" s="3" t="str">
        <f>IFERROR(VLOOKUP($A193,집계!$B:$AD,MATCH(J$1,집계!$2:$2,0)-1,FALSE),"")</f>
        <v/>
      </c>
      <c r="K193" s="3" t="str">
        <f>IFERROR(VLOOKUP($A193,집계!$B:$AD,MATCH(K$1,집계!$2:$2,0)-1,FALSE),"")</f>
        <v/>
      </c>
      <c r="L193" s="3" t="str">
        <f>IFERROR(VLOOKUP($A193,집계!$B:$AD,MATCH(L$1,집계!$2:$2,0)-1,FALSE),"")</f>
        <v/>
      </c>
      <c r="M193" s="16" t="str">
        <f>IFERROR(VLOOKUP($A193,집계!$B:$AD,MATCH(M$1,집계!$2:$2,0)-1,FALSE),"")</f>
        <v/>
      </c>
      <c r="N193" s="16" t="str">
        <f>IFERROR(VLOOKUP($A193,집계!$B:$AD,MATCH(N$1,집계!$2:$2,0)-1,FALSE),"")</f>
        <v/>
      </c>
      <c r="O193" s="16" t="str">
        <f>IFERROR(VLOOKUP($A193,집계!$B:$AD,MATCH(O$1,집계!$2:$2,0)-1,FALSE),"")</f>
        <v/>
      </c>
      <c r="P193" s="31" t="str">
        <f>IFERROR(VLOOKUP($A193,집계!$B:$AD,MATCH(P$1,집계!$2:$2,0)-1,FALSE),"")</f>
        <v/>
      </c>
    </row>
    <row r="194" spans="1:16" ht="17.100000000000001" customHeight="1" x14ac:dyDescent="0.35">
      <c r="A194" s="2"/>
      <c r="B194" s="4" t="str">
        <f>IFERROR(VLOOKUP($A194,집계!$B:$AD,MATCH(B$1,집계!$2:$2,0)-1,FALSE),"")</f>
        <v/>
      </c>
      <c r="C194" s="4" t="str">
        <f>IFERROR(VLOOKUP($A194,집계!$B:$AD,MATCH(C$1,집계!$2:$2,0)-1,FALSE),"")</f>
        <v/>
      </c>
      <c r="D194" s="4" t="str">
        <f>IFERROR(VLOOKUP($A194,집계!$B:$AD,MATCH(D$1,집계!$2:$2,0)-1,FALSE),"")</f>
        <v/>
      </c>
      <c r="E194" s="4" t="str">
        <f>IFERROR(VLOOKUP($A194,집계!$B:$AD,MATCH(E$1,집계!$2:$2,0)-1,FALSE),"")</f>
        <v/>
      </c>
      <c r="F194" s="31" t="str">
        <f>IFERROR(VLOOKUP($A194,대상!$B:$AD,MATCH(F$1,대상!$1:$1,0)-1,FALSE),"")</f>
        <v/>
      </c>
      <c r="G194" s="3" t="str">
        <f>IFERROR(VLOOKUP($A194,집계!$B:$AD,MATCH(G$1,집계!$2:$2,0)-1,FALSE),"")</f>
        <v/>
      </c>
      <c r="H194" s="3" t="str">
        <f>IFERROR(VLOOKUP($A194,집계!$B:$AD,MATCH(H$1,집계!$2:$2,0)-1,FALSE),"")</f>
        <v/>
      </c>
      <c r="I194" s="3" t="str">
        <f>IFERROR(VLOOKUP($A194,집계!$B:$AD,MATCH(I$1,집계!$2:$2,0)-1,FALSE),"")</f>
        <v/>
      </c>
      <c r="J194" s="3" t="str">
        <f>IFERROR(VLOOKUP($A194,집계!$B:$AD,MATCH(J$1,집계!$2:$2,0)-1,FALSE),"")</f>
        <v/>
      </c>
      <c r="K194" s="3" t="str">
        <f>IFERROR(VLOOKUP($A194,집계!$B:$AD,MATCH(K$1,집계!$2:$2,0)-1,FALSE),"")</f>
        <v/>
      </c>
      <c r="L194" s="3" t="str">
        <f>IFERROR(VLOOKUP($A194,집계!$B:$AD,MATCH(L$1,집계!$2:$2,0)-1,FALSE),"")</f>
        <v/>
      </c>
      <c r="M194" s="16" t="str">
        <f>IFERROR(VLOOKUP($A194,집계!$B:$AD,MATCH(M$1,집계!$2:$2,0)-1,FALSE),"")</f>
        <v/>
      </c>
      <c r="N194" s="16" t="str">
        <f>IFERROR(VLOOKUP($A194,집계!$B:$AD,MATCH(N$1,집계!$2:$2,0)-1,FALSE),"")</f>
        <v/>
      </c>
      <c r="O194" s="16" t="str">
        <f>IFERROR(VLOOKUP($A194,집계!$B:$AD,MATCH(O$1,집계!$2:$2,0)-1,FALSE),"")</f>
        <v/>
      </c>
      <c r="P194" s="31" t="str">
        <f>IFERROR(VLOOKUP($A194,집계!$B:$AD,MATCH(P$1,집계!$2:$2,0)-1,FALSE),"")</f>
        <v/>
      </c>
    </row>
    <row r="195" spans="1:16" ht="17.100000000000001" customHeight="1" x14ac:dyDescent="0.35">
      <c r="A195" s="2"/>
      <c r="B195" s="4" t="str">
        <f>IFERROR(VLOOKUP($A195,집계!$B:$AD,MATCH(B$1,집계!$2:$2,0)-1,FALSE),"")</f>
        <v/>
      </c>
      <c r="C195" s="4" t="str">
        <f>IFERROR(VLOOKUP($A195,집계!$B:$AD,MATCH(C$1,집계!$2:$2,0)-1,FALSE),"")</f>
        <v/>
      </c>
      <c r="D195" s="4" t="str">
        <f>IFERROR(VLOOKUP($A195,집계!$B:$AD,MATCH(D$1,집계!$2:$2,0)-1,FALSE),"")</f>
        <v/>
      </c>
      <c r="E195" s="4" t="str">
        <f>IFERROR(VLOOKUP($A195,집계!$B:$AD,MATCH(E$1,집계!$2:$2,0)-1,FALSE),"")</f>
        <v/>
      </c>
      <c r="F195" s="31" t="str">
        <f>IFERROR(VLOOKUP($A195,대상!$B:$AD,MATCH(F$1,대상!$1:$1,0)-1,FALSE),"")</f>
        <v/>
      </c>
      <c r="G195" s="3" t="str">
        <f>IFERROR(VLOOKUP($A195,집계!$B:$AD,MATCH(G$1,집계!$2:$2,0)-1,FALSE),"")</f>
        <v/>
      </c>
      <c r="H195" s="3" t="str">
        <f>IFERROR(VLOOKUP($A195,집계!$B:$AD,MATCH(H$1,집계!$2:$2,0)-1,FALSE),"")</f>
        <v/>
      </c>
      <c r="I195" s="3" t="str">
        <f>IFERROR(VLOOKUP($A195,집계!$B:$AD,MATCH(I$1,집계!$2:$2,0)-1,FALSE),"")</f>
        <v/>
      </c>
      <c r="J195" s="3" t="str">
        <f>IFERROR(VLOOKUP($A195,집계!$B:$AD,MATCH(J$1,집계!$2:$2,0)-1,FALSE),"")</f>
        <v/>
      </c>
      <c r="K195" s="3" t="str">
        <f>IFERROR(VLOOKUP($A195,집계!$B:$AD,MATCH(K$1,집계!$2:$2,0)-1,FALSE),"")</f>
        <v/>
      </c>
      <c r="L195" s="3" t="str">
        <f>IFERROR(VLOOKUP($A195,집계!$B:$AD,MATCH(L$1,집계!$2:$2,0)-1,FALSE),"")</f>
        <v/>
      </c>
      <c r="M195" s="16" t="str">
        <f>IFERROR(VLOOKUP($A195,집계!$B:$AD,MATCH(M$1,집계!$2:$2,0)-1,FALSE),"")</f>
        <v/>
      </c>
      <c r="N195" s="16" t="str">
        <f>IFERROR(VLOOKUP($A195,집계!$B:$AD,MATCH(N$1,집계!$2:$2,0)-1,FALSE),"")</f>
        <v/>
      </c>
      <c r="O195" s="16" t="str">
        <f>IFERROR(VLOOKUP($A195,집계!$B:$AD,MATCH(O$1,집계!$2:$2,0)-1,FALSE),"")</f>
        <v/>
      </c>
      <c r="P195" s="31" t="str">
        <f>IFERROR(VLOOKUP($A195,집계!$B:$AD,MATCH(P$1,집계!$2:$2,0)-1,FALSE),"")</f>
        <v/>
      </c>
    </row>
    <row r="196" spans="1:16" ht="17.100000000000001" customHeight="1" x14ac:dyDescent="0.35">
      <c r="A196" s="2"/>
      <c r="B196" s="4" t="str">
        <f>IFERROR(VLOOKUP($A196,집계!$B:$AD,MATCH(B$1,집계!$2:$2,0)-1,FALSE),"")</f>
        <v/>
      </c>
      <c r="C196" s="4" t="str">
        <f>IFERROR(VLOOKUP($A196,집계!$B:$AD,MATCH(C$1,집계!$2:$2,0)-1,FALSE),"")</f>
        <v/>
      </c>
      <c r="D196" s="4" t="str">
        <f>IFERROR(VLOOKUP($A196,집계!$B:$AD,MATCH(D$1,집계!$2:$2,0)-1,FALSE),"")</f>
        <v/>
      </c>
      <c r="E196" s="4" t="str">
        <f>IFERROR(VLOOKUP($A196,집계!$B:$AD,MATCH(E$1,집계!$2:$2,0)-1,FALSE),"")</f>
        <v/>
      </c>
      <c r="F196" s="31" t="str">
        <f>IFERROR(VLOOKUP($A196,대상!$B:$AD,MATCH(F$1,대상!$1:$1,0)-1,FALSE),"")</f>
        <v/>
      </c>
      <c r="G196" s="3" t="str">
        <f>IFERROR(VLOOKUP($A196,집계!$B:$AD,MATCH(G$1,집계!$2:$2,0)-1,FALSE),"")</f>
        <v/>
      </c>
      <c r="H196" s="3" t="str">
        <f>IFERROR(VLOOKUP($A196,집계!$B:$AD,MATCH(H$1,집계!$2:$2,0)-1,FALSE),"")</f>
        <v/>
      </c>
      <c r="I196" s="3" t="str">
        <f>IFERROR(VLOOKUP($A196,집계!$B:$AD,MATCH(I$1,집계!$2:$2,0)-1,FALSE),"")</f>
        <v/>
      </c>
      <c r="J196" s="3" t="str">
        <f>IFERROR(VLOOKUP($A196,집계!$B:$AD,MATCH(J$1,집계!$2:$2,0)-1,FALSE),"")</f>
        <v/>
      </c>
      <c r="K196" s="3" t="str">
        <f>IFERROR(VLOOKUP($A196,집계!$B:$AD,MATCH(K$1,집계!$2:$2,0)-1,FALSE),"")</f>
        <v/>
      </c>
      <c r="L196" s="3" t="str">
        <f>IFERROR(VLOOKUP($A196,집계!$B:$AD,MATCH(L$1,집계!$2:$2,0)-1,FALSE),"")</f>
        <v/>
      </c>
      <c r="M196" s="16" t="str">
        <f>IFERROR(VLOOKUP($A196,집계!$B:$AD,MATCH(M$1,집계!$2:$2,0)-1,FALSE),"")</f>
        <v/>
      </c>
      <c r="N196" s="16" t="str">
        <f>IFERROR(VLOOKUP($A196,집계!$B:$AD,MATCH(N$1,집계!$2:$2,0)-1,FALSE),"")</f>
        <v/>
      </c>
      <c r="O196" s="16" t="str">
        <f>IFERROR(VLOOKUP($A196,집계!$B:$AD,MATCH(O$1,집계!$2:$2,0)-1,FALSE),"")</f>
        <v/>
      </c>
      <c r="P196" s="31" t="str">
        <f>IFERROR(VLOOKUP($A196,집계!$B:$AD,MATCH(P$1,집계!$2:$2,0)-1,FALSE),"")</f>
        <v/>
      </c>
    </row>
    <row r="197" spans="1:16" ht="17.100000000000001" customHeight="1" x14ac:dyDescent="0.35">
      <c r="A197" s="2"/>
      <c r="B197" s="4" t="str">
        <f>IFERROR(VLOOKUP($A197,집계!$B:$AD,MATCH(B$1,집계!$2:$2,0)-1,FALSE),"")</f>
        <v/>
      </c>
      <c r="C197" s="4" t="str">
        <f>IFERROR(VLOOKUP($A197,집계!$B:$AD,MATCH(C$1,집계!$2:$2,0)-1,FALSE),"")</f>
        <v/>
      </c>
      <c r="D197" s="4" t="str">
        <f>IFERROR(VLOOKUP($A197,집계!$B:$AD,MATCH(D$1,집계!$2:$2,0)-1,FALSE),"")</f>
        <v/>
      </c>
      <c r="E197" s="4" t="str">
        <f>IFERROR(VLOOKUP($A197,집계!$B:$AD,MATCH(E$1,집계!$2:$2,0)-1,FALSE),"")</f>
        <v/>
      </c>
      <c r="F197" s="31" t="str">
        <f>IFERROR(VLOOKUP($A197,대상!$B:$AD,MATCH(F$1,대상!$1:$1,0)-1,FALSE),"")</f>
        <v/>
      </c>
      <c r="G197" s="3" t="str">
        <f>IFERROR(VLOOKUP($A197,집계!$B:$AD,MATCH(G$1,집계!$2:$2,0)-1,FALSE),"")</f>
        <v/>
      </c>
      <c r="H197" s="3" t="str">
        <f>IFERROR(VLOOKUP($A197,집계!$B:$AD,MATCH(H$1,집계!$2:$2,0)-1,FALSE),"")</f>
        <v/>
      </c>
      <c r="I197" s="3" t="str">
        <f>IFERROR(VLOOKUP($A197,집계!$B:$AD,MATCH(I$1,집계!$2:$2,0)-1,FALSE),"")</f>
        <v/>
      </c>
      <c r="J197" s="3" t="str">
        <f>IFERROR(VLOOKUP($A197,집계!$B:$AD,MATCH(J$1,집계!$2:$2,0)-1,FALSE),"")</f>
        <v/>
      </c>
      <c r="K197" s="3" t="str">
        <f>IFERROR(VLOOKUP($A197,집계!$B:$AD,MATCH(K$1,집계!$2:$2,0)-1,FALSE),"")</f>
        <v/>
      </c>
      <c r="L197" s="3" t="str">
        <f>IFERROR(VLOOKUP($A197,집계!$B:$AD,MATCH(L$1,집계!$2:$2,0)-1,FALSE),"")</f>
        <v/>
      </c>
      <c r="M197" s="16" t="str">
        <f>IFERROR(VLOOKUP($A197,집계!$B:$AD,MATCH(M$1,집계!$2:$2,0)-1,FALSE),"")</f>
        <v/>
      </c>
      <c r="N197" s="16" t="str">
        <f>IFERROR(VLOOKUP($A197,집계!$B:$AD,MATCH(N$1,집계!$2:$2,0)-1,FALSE),"")</f>
        <v/>
      </c>
      <c r="O197" s="16" t="str">
        <f>IFERROR(VLOOKUP($A197,집계!$B:$AD,MATCH(O$1,집계!$2:$2,0)-1,FALSE),"")</f>
        <v/>
      </c>
      <c r="P197" s="31" t="str">
        <f>IFERROR(VLOOKUP($A197,집계!$B:$AD,MATCH(P$1,집계!$2:$2,0)-1,FALSE),"")</f>
        <v/>
      </c>
    </row>
    <row r="198" spans="1:16" ht="17.100000000000001" customHeight="1" x14ac:dyDescent="0.35">
      <c r="A198" s="2"/>
      <c r="B198" s="4" t="str">
        <f>IFERROR(VLOOKUP($A198,집계!$B:$AD,MATCH(B$1,집계!$2:$2,0)-1,FALSE),"")</f>
        <v/>
      </c>
      <c r="C198" s="4" t="str">
        <f>IFERROR(VLOOKUP($A198,집계!$B:$AD,MATCH(C$1,집계!$2:$2,0)-1,FALSE),"")</f>
        <v/>
      </c>
      <c r="D198" s="4" t="str">
        <f>IFERROR(VLOOKUP($A198,집계!$B:$AD,MATCH(D$1,집계!$2:$2,0)-1,FALSE),"")</f>
        <v/>
      </c>
      <c r="E198" s="4" t="str">
        <f>IFERROR(VLOOKUP($A198,집계!$B:$AD,MATCH(E$1,집계!$2:$2,0)-1,FALSE),"")</f>
        <v/>
      </c>
      <c r="F198" s="31" t="str">
        <f>IFERROR(VLOOKUP($A198,대상!$B:$AD,MATCH(F$1,대상!$1:$1,0)-1,FALSE),"")</f>
        <v/>
      </c>
      <c r="G198" s="3" t="str">
        <f>IFERROR(VLOOKUP($A198,집계!$B:$AD,MATCH(G$1,집계!$2:$2,0)-1,FALSE),"")</f>
        <v/>
      </c>
      <c r="H198" s="3" t="str">
        <f>IFERROR(VLOOKUP($A198,집계!$B:$AD,MATCH(H$1,집계!$2:$2,0)-1,FALSE),"")</f>
        <v/>
      </c>
      <c r="I198" s="3" t="str">
        <f>IFERROR(VLOOKUP($A198,집계!$B:$AD,MATCH(I$1,집계!$2:$2,0)-1,FALSE),"")</f>
        <v/>
      </c>
      <c r="J198" s="3" t="str">
        <f>IFERROR(VLOOKUP($A198,집계!$B:$AD,MATCH(J$1,집계!$2:$2,0)-1,FALSE),"")</f>
        <v/>
      </c>
      <c r="K198" s="3" t="str">
        <f>IFERROR(VLOOKUP($A198,집계!$B:$AD,MATCH(K$1,집계!$2:$2,0)-1,FALSE),"")</f>
        <v/>
      </c>
      <c r="L198" s="3" t="str">
        <f>IFERROR(VLOOKUP($A198,집계!$B:$AD,MATCH(L$1,집계!$2:$2,0)-1,FALSE),"")</f>
        <v/>
      </c>
      <c r="M198" s="16" t="str">
        <f>IFERROR(VLOOKUP($A198,집계!$B:$AD,MATCH(M$1,집계!$2:$2,0)-1,FALSE),"")</f>
        <v/>
      </c>
      <c r="N198" s="16" t="str">
        <f>IFERROR(VLOOKUP($A198,집계!$B:$AD,MATCH(N$1,집계!$2:$2,0)-1,FALSE),"")</f>
        <v/>
      </c>
      <c r="O198" s="16" t="str">
        <f>IFERROR(VLOOKUP($A198,집계!$B:$AD,MATCH(O$1,집계!$2:$2,0)-1,FALSE),"")</f>
        <v/>
      </c>
      <c r="P198" s="31" t="str">
        <f>IFERROR(VLOOKUP($A198,집계!$B:$AD,MATCH(P$1,집계!$2:$2,0)-1,FALSE),"")</f>
        <v/>
      </c>
    </row>
    <row r="199" spans="1:16" ht="17.100000000000001" customHeight="1" x14ac:dyDescent="0.35">
      <c r="A199" s="2"/>
      <c r="B199" s="4" t="str">
        <f>IFERROR(VLOOKUP($A199,집계!$B:$AD,MATCH(B$1,집계!$2:$2,0)-1,FALSE),"")</f>
        <v/>
      </c>
      <c r="C199" s="4" t="str">
        <f>IFERROR(VLOOKUP($A199,집계!$B:$AD,MATCH(C$1,집계!$2:$2,0)-1,FALSE),"")</f>
        <v/>
      </c>
      <c r="D199" s="4" t="str">
        <f>IFERROR(VLOOKUP($A199,집계!$B:$AD,MATCH(D$1,집계!$2:$2,0)-1,FALSE),"")</f>
        <v/>
      </c>
      <c r="E199" s="4" t="str">
        <f>IFERROR(VLOOKUP($A199,집계!$B:$AD,MATCH(E$1,집계!$2:$2,0)-1,FALSE),"")</f>
        <v/>
      </c>
      <c r="F199" s="31" t="str">
        <f>IFERROR(VLOOKUP($A199,대상!$B:$AD,MATCH(F$1,대상!$1:$1,0)-1,FALSE),"")</f>
        <v/>
      </c>
      <c r="G199" s="3" t="str">
        <f>IFERROR(VLOOKUP($A199,집계!$B:$AD,MATCH(G$1,집계!$2:$2,0)-1,FALSE),"")</f>
        <v/>
      </c>
      <c r="H199" s="3" t="str">
        <f>IFERROR(VLOOKUP($A199,집계!$B:$AD,MATCH(H$1,집계!$2:$2,0)-1,FALSE),"")</f>
        <v/>
      </c>
      <c r="I199" s="3" t="str">
        <f>IFERROR(VLOOKUP($A199,집계!$B:$AD,MATCH(I$1,집계!$2:$2,0)-1,FALSE),"")</f>
        <v/>
      </c>
      <c r="J199" s="3" t="str">
        <f>IFERROR(VLOOKUP($A199,집계!$B:$AD,MATCH(J$1,집계!$2:$2,0)-1,FALSE),"")</f>
        <v/>
      </c>
      <c r="K199" s="3" t="str">
        <f>IFERROR(VLOOKUP($A199,집계!$B:$AD,MATCH(K$1,집계!$2:$2,0)-1,FALSE),"")</f>
        <v/>
      </c>
      <c r="L199" s="3" t="str">
        <f>IFERROR(VLOOKUP($A199,집계!$B:$AD,MATCH(L$1,집계!$2:$2,0)-1,FALSE),"")</f>
        <v/>
      </c>
      <c r="M199" s="16" t="str">
        <f>IFERROR(VLOOKUP($A199,집계!$B:$AD,MATCH(M$1,집계!$2:$2,0)-1,FALSE),"")</f>
        <v/>
      </c>
      <c r="N199" s="16" t="str">
        <f>IFERROR(VLOOKUP($A199,집계!$B:$AD,MATCH(N$1,집계!$2:$2,0)-1,FALSE),"")</f>
        <v/>
      </c>
      <c r="O199" s="16" t="str">
        <f>IFERROR(VLOOKUP($A199,집계!$B:$AD,MATCH(O$1,집계!$2:$2,0)-1,FALSE),"")</f>
        <v/>
      </c>
      <c r="P199" s="31" t="str">
        <f>IFERROR(VLOOKUP($A199,집계!$B:$AD,MATCH(P$1,집계!$2:$2,0)-1,FALSE),"")</f>
        <v/>
      </c>
    </row>
    <row r="200" spans="1:16" ht="17.100000000000001" customHeight="1" x14ac:dyDescent="0.35">
      <c r="A200" s="2"/>
      <c r="B200" s="4" t="str">
        <f>IFERROR(VLOOKUP($A200,집계!$B:$AD,MATCH(B$1,집계!$2:$2,0)-1,FALSE),"")</f>
        <v/>
      </c>
      <c r="C200" s="4" t="str">
        <f>IFERROR(VLOOKUP($A200,집계!$B:$AD,MATCH(C$1,집계!$2:$2,0)-1,FALSE),"")</f>
        <v/>
      </c>
      <c r="D200" s="4" t="str">
        <f>IFERROR(VLOOKUP($A200,집계!$B:$AD,MATCH(D$1,집계!$2:$2,0)-1,FALSE),"")</f>
        <v/>
      </c>
      <c r="E200" s="4" t="str">
        <f>IFERROR(VLOOKUP($A200,집계!$B:$AD,MATCH(E$1,집계!$2:$2,0)-1,FALSE),"")</f>
        <v/>
      </c>
      <c r="F200" s="31" t="str">
        <f>IFERROR(VLOOKUP($A200,대상!$B:$AD,MATCH(F$1,대상!$1:$1,0)-1,FALSE),"")</f>
        <v/>
      </c>
      <c r="G200" s="3" t="str">
        <f>IFERROR(VLOOKUP($A200,집계!$B:$AD,MATCH(G$1,집계!$2:$2,0)-1,FALSE),"")</f>
        <v/>
      </c>
      <c r="H200" s="3" t="str">
        <f>IFERROR(VLOOKUP($A200,집계!$B:$AD,MATCH(H$1,집계!$2:$2,0)-1,FALSE),"")</f>
        <v/>
      </c>
      <c r="I200" s="3" t="str">
        <f>IFERROR(VLOOKUP($A200,집계!$B:$AD,MATCH(I$1,집계!$2:$2,0)-1,FALSE),"")</f>
        <v/>
      </c>
      <c r="J200" s="3" t="str">
        <f>IFERROR(VLOOKUP($A200,집계!$B:$AD,MATCH(J$1,집계!$2:$2,0)-1,FALSE),"")</f>
        <v/>
      </c>
      <c r="K200" s="3" t="str">
        <f>IFERROR(VLOOKUP($A200,집계!$B:$AD,MATCH(K$1,집계!$2:$2,0)-1,FALSE),"")</f>
        <v/>
      </c>
      <c r="L200" s="3" t="str">
        <f>IFERROR(VLOOKUP($A200,집계!$B:$AD,MATCH(L$1,집계!$2:$2,0)-1,FALSE),"")</f>
        <v/>
      </c>
      <c r="M200" s="16" t="str">
        <f>IFERROR(VLOOKUP($A200,집계!$B:$AD,MATCH(M$1,집계!$2:$2,0)-1,FALSE),"")</f>
        <v/>
      </c>
      <c r="N200" s="16" t="str">
        <f>IFERROR(VLOOKUP($A200,집계!$B:$AD,MATCH(N$1,집계!$2:$2,0)-1,FALSE),"")</f>
        <v/>
      </c>
      <c r="O200" s="16" t="str">
        <f>IFERROR(VLOOKUP($A200,집계!$B:$AD,MATCH(O$1,집계!$2:$2,0)-1,FALSE),"")</f>
        <v/>
      </c>
      <c r="P200" s="31" t="str">
        <f>IFERROR(VLOOKUP($A200,집계!$B:$AD,MATCH(P$1,집계!$2:$2,0)-1,FALSE),"")</f>
        <v/>
      </c>
    </row>
    <row r="201" spans="1:16" ht="17.100000000000001" customHeight="1" x14ac:dyDescent="0.35">
      <c r="A201" s="2"/>
      <c r="B201" s="4" t="str">
        <f>IFERROR(VLOOKUP($A201,집계!$B:$AD,MATCH(B$1,집계!$2:$2,0)-1,FALSE),"")</f>
        <v/>
      </c>
      <c r="C201" s="4" t="str">
        <f>IFERROR(VLOOKUP($A201,집계!$B:$AD,MATCH(C$1,집계!$2:$2,0)-1,FALSE),"")</f>
        <v/>
      </c>
      <c r="D201" s="4" t="str">
        <f>IFERROR(VLOOKUP($A201,집계!$B:$AD,MATCH(D$1,집계!$2:$2,0)-1,FALSE),"")</f>
        <v/>
      </c>
      <c r="E201" s="4" t="str">
        <f>IFERROR(VLOOKUP($A201,집계!$B:$AD,MATCH(E$1,집계!$2:$2,0)-1,FALSE),"")</f>
        <v/>
      </c>
      <c r="F201" s="31" t="str">
        <f>IFERROR(VLOOKUP($A201,대상!$B:$AD,MATCH(F$1,대상!$1:$1,0)-1,FALSE),"")</f>
        <v/>
      </c>
      <c r="G201" s="3" t="str">
        <f>IFERROR(VLOOKUP($A201,집계!$B:$AD,MATCH(G$1,집계!$2:$2,0)-1,FALSE),"")</f>
        <v/>
      </c>
      <c r="H201" s="3" t="str">
        <f>IFERROR(VLOOKUP($A201,집계!$B:$AD,MATCH(H$1,집계!$2:$2,0)-1,FALSE),"")</f>
        <v/>
      </c>
      <c r="I201" s="3" t="str">
        <f>IFERROR(VLOOKUP($A201,집계!$B:$AD,MATCH(I$1,집계!$2:$2,0)-1,FALSE),"")</f>
        <v/>
      </c>
      <c r="J201" s="3" t="str">
        <f>IFERROR(VLOOKUP($A201,집계!$B:$AD,MATCH(J$1,집계!$2:$2,0)-1,FALSE),"")</f>
        <v/>
      </c>
      <c r="K201" s="3" t="str">
        <f>IFERROR(VLOOKUP($A201,집계!$B:$AD,MATCH(K$1,집계!$2:$2,0)-1,FALSE),"")</f>
        <v/>
      </c>
      <c r="L201" s="3" t="str">
        <f>IFERROR(VLOOKUP($A201,집계!$B:$AD,MATCH(L$1,집계!$2:$2,0)-1,FALSE),"")</f>
        <v/>
      </c>
      <c r="M201" s="16" t="str">
        <f>IFERROR(VLOOKUP($A201,집계!$B:$AD,MATCH(M$1,집계!$2:$2,0)-1,FALSE),"")</f>
        <v/>
      </c>
      <c r="N201" s="16" t="str">
        <f>IFERROR(VLOOKUP($A201,집계!$B:$AD,MATCH(N$1,집계!$2:$2,0)-1,FALSE),"")</f>
        <v/>
      </c>
      <c r="O201" s="16" t="str">
        <f>IFERROR(VLOOKUP($A201,집계!$B:$AD,MATCH(O$1,집계!$2:$2,0)-1,FALSE),"")</f>
        <v/>
      </c>
      <c r="P201" s="31" t="str">
        <f>IFERROR(VLOOKUP($A201,집계!$B:$AD,MATCH(P$1,집계!$2:$2,0)-1,FALSE),"")</f>
        <v/>
      </c>
    </row>
    <row r="202" spans="1:16" ht="17.100000000000001" customHeight="1" x14ac:dyDescent="0.35">
      <c r="A202" s="2"/>
      <c r="B202" s="4" t="str">
        <f>IFERROR(VLOOKUP($A202,집계!$B:$AD,MATCH(B$1,집계!$2:$2,0)-1,FALSE),"")</f>
        <v/>
      </c>
      <c r="C202" s="4" t="str">
        <f>IFERROR(VLOOKUP($A202,집계!$B:$AD,MATCH(C$1,집계!$2:$2,0)-1,FALSE),"")</f>
        <v/>
      </c>
      <c r="D202" s="4" t="str">
        <f>IFERROR(VLOOKUP($A202,집계!$B:$AD,MATCH(D$1,집계!$2:$2,0)-1,FALSE),"")</f>
        <v/>
      </c>
      <c r="E202" s="4" t="str">
        <f>IFERROR(VLOOKUP($A202,집계!$B:$AD,MATCH(E$1,집계!$2:$2,0)-1,FALSE),"")</f>
        <v/>
      </c>
      <c r="F202" s="31" t="str">
        <f>IFERROR(VLOOKUP($A202,대상!$B:$AD,MATCH(F$1,대상!$1:$1,0)-1,FALSE),"")</f>
        <v/>
      </c>
      <c r="G202" s="3" t="str">
        <f>IFERROR(VLOOKUP($A202,집계!$B:$AD,MATCH(G$1,집계!$2:$2,0)-1,FALSE),"")</f>
        <v/>
      </c>
      <c r="H202" s="3" t="str">
        <f>IFERROR(VLOOKUP($A202,집계!$B:$AD,MATCH(H$1,집계!$2:$2,0)-1,FALSE),"")</f>
        <v/>
      </c>
      <c r="I202" s="3" t="str">
        <f>IFERROR(VLOOKUP($A202,집계!$B:$AD,MATCH(I$1,집계!$2:$2,0)-1,FALSE),"")</f>
        <v/>
      </c>
      <c r="J202" s="3" t="str">
        <f>IFERROR(VLOOKUP($A202,집계!$B:$AD,MATCH(J$1,집계!$2:$2,0)-1,FALSE),"")</f>
        <v/>
      </c>
      <c r="K202" s="3" t="str">
        <f>IFERROR(VLOOKUP($A202,집계!$B:$AD,MATCH(K$1,집계!$2:$2,0)-1,FALSE),"")</f>
        <v/>
      </c>
      <c r="L202" s="3" t="str">
        <f>IFERROR(VLOOKUP($A202,집계!$B:$AD,MATCH(L$1,집계!$2:$2,0)-1,FALSE),"")</f>
        <v/>
      </c>
      <c r="M202" s="16" t="str">
        <f>IFERROR(VLOOKUP($A202,집계!$B:$AD,MATCH(M$1,집계!$2:$2,0)-1,FALSE),"")</f>
        <v/>
      </c>
      <c r="N202" s="16" t="str">
        <f>IFERROR(VLOOKUP($A202,집계!$B:$AD,MATCH(N$1,집계!$2:$2,0)-1,FALSE),"")</f>
        <v/>
      </c>
      <c r="O202" s="16" t="str">
        <f>IFERROR(VLOOKUP($A202,집계!$B:$AD,MATCH(O$1,집계!$2:$2,0)-1,FALSE),"")</f>
        <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2026-04-07T08:18:40Z</dcterms:modified>
</cp:coreProperties>
</file>